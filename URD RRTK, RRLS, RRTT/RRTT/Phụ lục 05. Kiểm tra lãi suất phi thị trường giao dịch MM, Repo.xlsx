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ables/table2.xml" ContentType="application/vnd.openxmlformats-officedocument.spreadsheetml.table+xml"/>
  <Override PartName="/xl/queryTables/queryTable2.xml" ContentType="application/vnd.openxmlformats-officedocument.spreadsheetml.queryTable+xml"/>
  <Override PartName="/xl/comments2.xml" ContentType="application/vnd.openxmlformats-officedocument.spreadsheetml.comments+xml"/>
  <Override PartName="/xl/tables/table3.xml" ContentType="application/vnd.openxmlformats-officedocument.spreadsheetml.table+xml"/>
  <Override PartName="/xl/queryTables/queryTable3.xml" ContentType="application/vnd.openxmlformats-officedocument.spreadsheetml.query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66925"/>
  <mc:AlternateContent xmlns:mc="http://schemas.openxmlformats.org/markup-compatibility/2006">
    <mc:Choice Requires="x15">
      <x15ac:absPath xmlns:x15ac="http://schemas.microsoft.com/office/spreadsheetml/2010/11/ac" url="\\10.0.250.249\ShareDataPhongBan\QLRRTT\URD\RRTT, RRTTr TD\"/>
    </mc:Choice>
  </mc:AlternateContent>
  <xr:revisionPtr revIDLastSave="0" documentId="13_ncr:1_{D85E1788-F6E0-4D84-8D58-043FF472B99D}" xr6:coauthVersionLast="47" xr6:coauthVersionMax="47" xr10:uidLastSave="{00000000-0000-0000-0000-000000000000}"/>
  <bookViews>
    <workbookView xWindow="-120" yWindow="-120" windowWidth="29040" windowHeight="15720" firstSheet="2" activeTab="3" xr2:uid="{DD58FB0A-BFD2-4C63-BF77-C9DDBC2D7A9C}"/>
  </bookViews>
  <sheets>
    <sheet name="Báo cáo hàng ngày" sheetId="31" state="hidden" r:id="rId1"/>
    <sheet name="Ghi chú" sheetId="40" r:id="rId2"/>
    <sheet name="Giao dịch MM" sheetId="33" r:id="rId3"/>
    <sheet name="Giao dịch Repo" sheetId="37" r:id="rId4"/>
    <sheet name="Sao kê giao dịch Repo" sheetId="42" r:id="rId5"/>
    <sheet name="Sao kê giao dịch MM" sheetId="41" r:id="rId6"/>
    <sheet name="Data VNIBOR" sheetId="34" r:id="rId7"/>
    <sheet name="Data Repo" sheetId="38" r:id="rId8"/>
    <sheet name="Thang kỳ hạn MM" sheetId="43" r:id="rId9"/>
    <sheet name="Thang kỳ hạn Repo" sheetId="35" r:id="rId10"/>
    <sheet name="Biên độ MM, Repo" sheetId="39" r:id="rId11"/>
  </sheets>
  <definedNames>
    <definedName name="ExternalData_1" localSheetId="6" hidden="1">'Data VNIBOR'!$B$1:$K$1254</definedName>
    <definedName name="ExternalData_1" localSheetId="2" hidden="1">'Giao dịch MM'!$A$1:$H$4</definedName>
    <definedName name="ExternalData_1" localSheetId="3" hidden="1">'Giao dịch Repo'!$A$1:$W$6</definedName>
    <definedName name="methods">#REF!</definedName>
    <definedName name="Ti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6" i="37" l="1"/>
  <c r="AB4" i="37"/>
  <c r="AA2" i="37"/>
  <c r="AA3" i="37"/>
  <c r="AA4" i="37"/>
  <c r="AA5" i="37"/>
  <c r="AA6" i="37"/>
  <c r="Z6" i="37"/>
  <c r="Z2" i="37"/>
  <c r="Z3" i="37"/>
  <c r="Z4" i="37"/>
  <c r="Z5" i="37"/>
  <c r="Q4" i="33"/>
  <c r="P4" i="33"/>
  <c r="L3" i="33"/>
  <c r="K2" i="33"/>
  <c r="K3" i="33"/>
  <c r="K4" i="33"/>
  <c r="J2" i="33"/>
  <c r="J3" i="33"/>
  <c r="J4" i="33"/>
  <c r="X6" i="42" l="1"/>
  <c r="X5" i="42"/>
  <c r="X4" i="42"/>
  <c r="X3" i="42"/>
  <c r="X2" i="42"/>
  <c r="I2" i="33"/>
  <c r="I3" i="33"/>
  <c r="N3" i="33" s="1"/>
  <c r="I4" i="33"/>
  <c r="X2" i="37"/>
  <c r="Y2" i="37" s="1"/>
  <c r="X3" i="37"/>
  <c r="Y3" i="37" s="1"/>
  <c r="X4" i="37"/>
  <c r="Y4" i="37" s="1"/>
  <c r="X5" i="37"/>
  <c r="Y5" i="37" s="1"/>
  <c r="X6" i="37"/>
  <c r="Y6" i="37" s="1"/>
  <c r="F1" i="31"/>
  <c r="B4" i="31" s="1"/>
  <c r="A4" i="31"/>
  <c r="Q3" i="33" l="1"/>
  <c r="P3" i="33"/>
  <c r="B6" i="31"/>
  <c r="B5" i="31"/>
  <c r="M3" i="33"/>
  <c r="L4" i="33"/>
  <c r="M4" i="33"/>
  <c r="N4" i="33"/>
  <c r="O3" i="33"/>
  <c r="M2" i="33"/>
  <c r="N2" i="33"/>
  <c r="O4" i="33"/>
  <c r="AC2" i="37"/>
  <c r="AB6" i="37"/>
  <c r="AG6" i="37"/>
  <c r="AD6" i="37"/>
  <c r="AC6" i="37"/>
  <c r="AE6" i="37"/>
  <c r="AG5" i="37"/>
  <c r="AD5" i="37"/>
  <c r="AE5" i="37"/>
  <c r="AF5" i="37"/>
  <c r="AB5" i="37"/>
  <c r="AC5" i="37"/>
  <c r="AE3" i="37"/>
  <c r="AE2" i="37"/>
  <c r="AD3" i="37"/>
  <c r="AC3" i="37"/>
  <c r="AD2" i="37"/>
  <c r="AE4" i="37"/>
  <c r="Y8" i="34"/>
  <c r="Y11" i="34"/>
  <c r="Y9" i="34"/>
  <c r="Y3" i="34"/>
  <c r="Y6" i="34"/>
  <c r="Y5" i="34"/>
  <c r="Y7" i="34"/>
  <c r="X1" i="34"/>
  <c r="Y4" i="34"/>
  <c r="Y10" i="34"/>
  <c r="O2" i="33" l="1"/>
  <c r="R3" i="33"/>
  <c r="L2" i="33"/>
  <c r="Q2" i="33" s="1"/>
  <c r="AF3" i="37"/>
  <c r="P2" i="33"/>
  <c r="AD4" i="37"/>
  <c r="AF4" i="37" s="1"/>
  <c r="S4" i="33"/>
  <c r="R4" i="33"/>
  <c r="S3" i="33"/>
  <c r="AB3" i="37"/>
  <c r="AG3" i="37" s="1"/>
  <c r="AB2" i="37"/>
  <c r="AG2" i="37" s="1"/>
  <c r="AF2" i="37"/>
  <c r="AC4" i="37"/>
  <c r="AG4" i="37" s="1"/>
  <c r="AI6" i="37"/>
  <c r="AH6" i="37"/>
  <c r="AJ6" i="37" s="1"/>
  <c r="AI5" i="37"/>
  <c r="AH5" i="37"/>
  <c r="AJ5" i="37" s="1"/>
  <c r="AI3" i="37" l="1"/>
  <c r="S2" i="33"/>
  <c r="R2" i="33"/>
  <c r="T4" i="33"/>
  <c r="T3" i="33"/>
  <c r="AH3" i="37"/>
  <c r="AJ3" i="37" s="1"/>
  <c r="AI4" i="37"/>
  <c r="AH4" i="37"/>
  <c r="AJ4" i="37" s="1"/>
  <c r="AH2" i="37"/>
  <c r="AJ2" i="37" s="1"/>
  <c r="AI2" i="37"/>
  <c r="T2"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Tran Bao. Toan</author>
  </authors>
  <commentList>
    <comment ref="J1" authorId="0" shapeId="0" xr:uid="{2E8C765A-FEE0-470B-8A18-3102D58A70DA}">
      <text>
        <r>
          <rPr>
            <b/>
            <sz val="9"/>
            <color indexed="81"/>
            <rFont val="Tahoma"/>
            <charset val="1"/>
          </rPr>
          <t>Tran Bao. Toan:</t>
        </r>
        <r>
          <rPr>
            <sz val="9"/>
            <color indexed="81"/>
            <rFont val="Tahoma"/>
            <charset val="1"/>
          </rPr>
          <t xml:space="preserve">
Nếu là kỳ hạn lẻ thì tìm kỳ hạn chuẩn ngắn hơn
</t>
        </r>
      </text>
    </comment>
    <comment ref="K1" authorId="0" shapeId="0" xr:uid="{E982DBFB-74F0-44E6-ABB0-BFA9C42D5678}">
      <text>
        <r>
          <rPr>
            <b/>
            <sz val="9"/>
            <color indexed="81"/>
            <rFont val="Tahoma"/>
            <charset val="1"/>
          </rPr>
          <t>Tran Bao. Toan:</t>
        </r>
        <r>
          <rPr>
            <sz val="9"/>
            <color indexed="81"/>
            <rFont val="Tahoma"/>
            <charset val="1"/>
          </rPr>
          <t xml:space="preserve">
Nếu là kỳ hạn lẻ thì tìm kỳ hạn chuẩn dài hơn</t>
        </r>
      </text>
    </comment>
    <comment ref="L1" authorId="0" shapeId="0" xr:uid="{60287FD2-A0DE-4E98-B73F-EC468DE02F56}">
      <text>
        <r>
          <rPr>
            <b/>
            <sz val="9"/>
            <color indexed="81"/>
            <rFont val="Tahoma"/>
            <charset val="1"/>
          </rPr>
          <t>Tran Bao. Toan:</t>
        </r>
        <r>
          <rPr>
            <sz val="9"/>
            <color indexed="81"/>
            <rFont val="Tahoma"/>
            <charset val="1"/>
          </rPr>
          <t xml:space="preserve">
tìm lãi suất của kỳ hạn chuẩn ngắn hơn tại ngày giao dịch
</t>
        </r>
      </text>
    </comment>
    <comment ref="M1" authorId="0" shapeId="0" xr:uid="{884B75FA-302A-49B7-A838-88894E02B75B}">
      <text>
        <r>
          <rPr>
            <b/>
            <sz val="9"/>
            <color indexed="81"/>
            <rFont val="Tahoma"/>
            <charset val="1"/>
          </rPr>
          <t>Tran Bao. Toan:</t>
        </r>
        <r>
          <rPr>
            <sz val="9"/>
            <color indexed="81"/>
            <rFont val="Tahoma"/>
            <charset val="1"/>
          </rPr>
          <t xml:space="preserve">
Tìm lãi suất của kỳ hạn chuẩn dài hơn tại ngày giao dịch
</t>
        </r>
      </text>
    </comment>
    <comment ref="N1" authorId="0" shapeId="0" xr:uid="{261E097B-CED0-415D-AD61-74661391C4D5}">
      <text>
        <r>
          <rPr>
            <b/>
            <sz val="9"/>
            <color indexed="81"/>
            <rFont val="Tahoma"/>
            <charset val="1"/>
          </rPr>
          <t>Tran Bao. Toan:</t>
        </r>
        <r>
          <rPr>
            <sz val="9"/>
            <color indexed="81"/>
            <rFont val="Tahoma"/>
            <charset val="1"/>
          </rPr>
          <t xml:space="preserve">
Tìm biên độ của kỳ hạn chuẩn ngắn hơn
</t>
        </r>
      </text>
    </comment>
    <comment ref="O1" authorId="0" shapeId="0" xr:uid="{61336141-F7EF-492E-8DAC-3B40C1156502}">
      <text>
        <r>
          <rPr>
            <b/>
            <sz val="9"/>
            <color indexed="81"/>
            <rFont val="Tahoma"/>
            <charset val="1"/>
          </rPr>
          <t>Tran Bao. Toan:</t>
        </r>
        <r>
          <rPr>
            <sz val="9"/>
            <color indexed="81"/>
            <rFont val="Tahoma"/>
            <charset val="1"/>
          </rPr>
          <t xml:space="preserve">
Tìm biên độ của kỳ hạn chuẩn dài hơn</t>
        </r>
      </text>
    </comment>
    <comment ref="P1" authorId="0" shapeId="0" xr:uid="{391C8087-9C4B-4AAA-A387-E59869B081B6}">
      <text>
        <r>
          <rPr>
            <b/>
            <sz val="9"/>
            <color indexed="81"/>
            <rFont val="Tahoma"/>
            <charset val="1"/>
          </rPr>
          <t>Tran Bao. Toan:</t>
        </r>
        <r>
          <rPr>
            <sz val="9"/>
            <color indexed="81"/>
            <rFont val="Tahoma"/>
            <charset val="1"/>
          </rPr>
          <t xml:space="preserve">
Tìm biên độ ở sheet biên độ áp dụng nếu là kỳ hạn chuẩn
Nếu là kỳ hạn lẻ thì nội suy</t>
        </r>
      </text>
    </comment>
    <comment ref="Q1" authorId="0" shapeId="0" xr:uid="{EBF55B6C-84CD-4CCA-8777-AC81AABD4FA7}">
      <text>
        <r>
          <rPr>
            <b/>
            <sz val="9"/>
            <color indexed="81"/>
            <rFont val="Tahoma"/>
            <charset val="1"/>
          </rPr>
          <t>Tran Bao. Toan:</t>
        </r>
        <r>
          <rPr>
            <sz val="9"/>
            <color indexed="81"/>
            <rFont val="Tahoma"/>
            <charset val="1"/>
          </rPr>
          <t xml:space="preserve">
Nếu là kỳ hạn lẻ thì nội suy lãi suất
Kỳ hạn chuẩn thì tìm kiếm lãi suất với kỳ hạn tương ứng tại ngày giao dịch
</t>
        </r>
      </text>
    </comment>
    <comment ref="R1" authorId="0" shapeId="0" xr:uid="{C92A93A8-0F1B-410F-8316-3D37376B1727}">
      <text>
        <r>
          <rPr>
            <b/>
            <sz val="9"/>
            <color indexed="81"/>
            <rFont val="Tahoma"/>
            <charset val="1"/>
          </rPr>
          <t>Tran Bao. Toan:</t>
        </r>
        <r>
          <rPr>
            <sz val="9"/>
            <color indexed="81"/>
            <rFont val="Tahoma"/>
            <charset val="1"/>
          </rPr>
          <t xml:space="preserve">
Đổi lại biên độ
</t>
        </r>
      </text>
    </comment>
    <comment ref="I3" authorId="0" shapeId="0" xr:uid="{56BCFBE7-4650-45B7-AB8C-278652E6D11E}">
      <text>
        <r>
          <rPr>
            <b/>
            <sz val="9"/>
            <color indexed="81"/>
            <rFont val="Tahoma"/>
            <charset val="1"/>
          </rPr>
          <t>Tran Bao. Toan:</t>
        </r>
        <r>
          <rPr>
            <sz val="9"/>
            <color indexed="81"/>
            <rFont val="Tahoma"/>
            <charset val="1"/>
          </rPr>
          <t xml:space="preserve">
Check xem có phải kỳ hạn chuẩn hay không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Tran Bao. Toan</author>
  </authors>
  <commentList>
    <comment ref="AH1" authorId="0" shapeId="0" xr:uid="{1F18F8DF-F45C-4FD5-9471-2CE972A3BBEA}">
      <text>
        <r>
          <rPr>
            <b/>
            <sz val="9"/>
            <color indexed="81"/>
            <rFont val="Tahoma"/>
            <charset val="1"/>
          </rPr>
          <t>Tran Bao. Toan:</t>
        </r>
        <r>
          <rPr>
            <sz val="9"/>
            <color indexed="81"/>
            <rFont val="Tahoma"/>
            <charset val="1"/>
          </rPr>
          <t xml:space="preserve">
Đổi lại biên độ theo kỳ hạn tương ứng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Tran Bao. Toan</author>
  </authors>
  <commentList>
    <comment ref="A1" authorId="0" shapeId="0" xr:uid="{DDF5EC8E-03E0-418F-A71F-F530F8C20470}">
      <text>
        <r>
          <rPr>
            <b/>
            <sz val="9"/>
            <color indexed="81"/>
            <rFont val="Tahoma"/>
            <charset val="1"/>
          </rPr>
          <t>Tran Bao. Toan:
Bảng kỳ hạn MM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Tran Bao. Toan</author>
  </authors>
  <commentList>
    <comment ref="A1" authorId="0" shapeId="0" xr:uid="{EF47F06E-FF97-436B-8D24-2116442F42DC}">
      <text>
        <r>
          <rPr>
            <b/>
            <sz val="9"/>
            <color indexed="81"/>
            <rFont val="Tahoma"/>
            <charset val="1"/>
          </rPr>
          <t>Tran Bao. Toan:</t>
        </r>
        <r>
          <rPr>
            <sz val="9"/>
            <color indexed="81"/>
            <rFont val="Tahoma"/>
            <charset val="1"/>
          </rPr>
          <t xml:space="preserve">
Bảng kỳ hạn Repo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28B7E7-AFB6-437D-B225-556EA836F1F7}" keepAlive="1" name="Query - Sheet 1" description="Connection to the 'Sheet 1' query in the workbook." type="5" refreshedVersion="8" background="1" saveData="1">
    <dbPr connection="Provider=Microsoft.Mashup.OleDb.1;Data Source=$Workbook$;Location=&quot;Sheet 1&quot;;Extended Properties=&quot;&quot;" command="SELECT * FROM [Sheet 1]"/>
  </connection>
  <connection id="2" xr16:uid="{F4726643-87B3-46D3-B577-4F690FB9235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754A65B0-A612-4DA0-A234-D57BB2FD1039}" keepAlive="1" name="Query - VNIBOR VND" description="Connection to the 'VNIBOR VND' query in the workbook." type="5" refreshedVersion="8" background="1" saveData="1">
    <dbPr connection="Provider=Microsoft.Mashup.OleDb.1;Data Source=$Workbook$;Location=&quot;VNIBOR VND&quot;;Extended Properties=&quot;&quot;" command="SELECT * FROM [VNIBOR VND]"/>
  </connection>
</connections>
</file>

<file path=xl/sharedStrings.xml><?xml version="1.0" encoding="utf-8"?>
<sst xmlns="http://schemas.openxmlformats.org/spreadsheetml/2006/main" count="1336" uniqueCount="181">
  <si>
    <t>Ngày đáo hạn</t>
  </si>
  <si>
    <t>STT</t>
  </si>
  <si>
    <t>Timestamp</t>
  </si>
  <si>
    <t>Lãi suất tham chiếu</t>
  </si>
  <si>
    <t>Biên độ</t>
  </si>
  <si>
    <t>Loại tiền tệ</t>
  </si>
  <si>
    <t>Ngày phát hành</t>
  </si>
  <si>
    <t>Kỳ hạn</t>
  </si>
  <si>
    <t>Tên đối tác</t>
  </si>
  <si>
    <t>Ngày giao dịch</t>
  </si>
  <si>
    <t>KHCL</t>
  </si>
  <si>
    <t>VNIVNDOND=</t>
  </si>
  <si>
    <t>VNIVNDSWD=</t>
  </si>
  <si>
    <t>VNIVND2WD=</t>
  </si>
  <si>
    <t>VNIVND1MD=</t>
  </si>
  <si>
    <t>VNIVND2MD=</t>
  </si>
  <si>
    <t>VNIVND3MD=</t>
  </si>
  <si>
    <t>VNIVND6MD=</t>
  </si>
  <si>
    <t>VNIVND9MD=</t>
  </si>
  <si>
    <t>Kỳ hạn còn lại</t>
  </si>
  <si>
    <t>VNIVND1YD=</t>
  </si>
  <si>
    <t>FIXING_1</t>
  </si>
  <si>
    <t>Hình thức giao dịch</t>
  </si>
  <si>
    <t>Giá trị (VND)</t>
  </si>
  <si>
    <t>Lãi suất giao dịch (%/năm)</t>
  </si>
  <si>
    <t>Lãi suất tham chiếu (%/năm)</t>
  </si>
  <si>
    <t>Lãi suất tham chiếu lớn nhất</t>
  </si>
  <si>
    <t>Lãi suất tham chiếu nhỏ nhất</t>
  </si>
  <si>
    <t>Hợp lý/Phi thị trường</t>
  </si>
  <si>
    <t>TEN_DOITAC</t>
  </si>
  <si>
    <t>SODU_QUYDOI</t>
  </si>
  <si>
    <t>KYAHAN</t>
  </si>
  <si>
    <t>LAISUAT</t>
  </si>
  <si>
    <t>Column1</t>
  </si>
  <si>
    <t>Ngày kiểm tra</t>
  </si>
  <si>
    <t>Mã kỳ hạn</t>
  </si>
  <si>
    <t>Mã kỳ hạn chuẩn</t>
  </si>
  <si>
    <t>Kỳ hạn VNIBOR chuẩn (shorter)</t>
  </si>
  <si>
    <t>Kỳ hạn VNIBOR chuẩn (longer)</t>
  </si>
  <si>
    <t>LS VNIBOR chuẩn (shorter)</t>
  </si>
  <si>
    <t>LS VNIBOR chuẩn (longer)</t>
  </si>
  <si>
    <t>Đánh giá</t>
  </si>
  <si>
    <t>Loại giao dịch</t>
  </si>
  <si>
    <t>Mã GTCG</t>
  </si>
  <si>
    <t>Loại GTCG</t>
  </si>
  <si>
    <t>Mệnh giá</t>
  </si>
  <si>
    <t>Đơn vị kỳ hạn</t>
  </si>
  <si>
    <t>Lãi suất phát hành</t>
  </si>
  <si>
    <t>Số HĐMB</t>
  </si>
  <si>
    <t>Ngày hợp đồng</t>
  </si>
  <si>
    <t>Ngày giao dịch lần 1</t>
  </si>
  <si>
    <t>Ngày thanh toán lần 1</t>
  </si>
  <si>
    <t>Số lượng mua/bán</t>
  </si>
  <si>
    <t>Tổng mệnh giá mua/bán</t>
  </si>
  <si>
    <t>Giá trị GDHD lần 1</t>
  </si>
  <si>
    <t>Lãi suất repo</t>
  </si>
  <si>
    <t>Ngày giao dịch lần 2</t>
  </si>
  <si>
    <t>Ngày thanh toán lần 2</t>
  </si>
  <si>
    <t>Giá trị GDHD lần 2</t>
  </si>
  <si>
    <t>Hợp đồng bán có kỳ hạn GTCG</t>
  </si>
  <si>
    <t>HDBL2431009</t>
  </si>
  <si>
    <t>Trái phiếu</t>
  </si>
  <si>
    <t>VND-Việt Nam đồng</t>
  </si>
  <si>
    <t>Năm</t>
  </si>
  <si>
    <t>1000001002 - NH TMCP BAC A</t>
  </si>
  <si>
    <t>28112024.04/REPO/BAB-CB</t>
  </si>
  <si>
    <t>HDBL2431002</t>
  </si>
  <si>
    <t>28112024.03/REPO/BAB-CB</t>
  </si>
  <si>
    <t>28112024.03/ REPO/BAB-CB</t>
  </si>
  <si>
    <t>LPBL2431001</t>
  </si>
  <si>
    <t>25112024.01/REPO/BAB-CB</t>
  </si>
  <si>
    <t>LPBL2431004</t>
  </si>
  <si>
    <t>HD: 25112024.02/REPO/BAB-CB</t>
  </si>
  <si>
    <t>Đánh giá QLRRTT</t>
  </si>
  <si>
    <t>Biên độ chuẩn (shorter)</t>
  </si>
  <si>
    <t>Biên độ chuẩn (longer)</t>
  </si>
  <si>
    <t>VND</t>
  </si>
  <si>
    <t>2W</t>
  </si>
  <si>
    <t>3W</t>
  </si>
  <si>
    <t>1M</t>
  </si>
  <si>
    <t>2M</t>
  </si>
  <si>
    <t>3M</t>
  </si>
  <si>
    <t>6M</t>
  </si>
  <si>
    <t>9M</t>
  </si>
  <si>
    <t>1Y</t>
  </si>
  <si>
    <t>N/A</t>
  </si>
  <si>
    <t>Ngày</t>
  </si>
  <si>
    <t>Kỳ hạn chuẩn</t>
  </si>
  <si>
    <t>Qua đêm</t>
  </si>
  <si>
    <t>1W</t>
  </si>
  <si>
    <t>12M</t>
  </si>
  <si>
    <t>Kỳ hạn Repo chuẩn (shorter)</t>
  </si>
  <si>
    <t>Kỳ hạn Repo chuẩn (longer)</t>
  </si>
  <si>
    <t>LS Repo chuẩn (shorter)</t>
  </si>
  <si>
    <t>LS Repo chuẩn (longer)</t>
  </si>
  <si>
    <t>Biên độ kỳ hạn chuẩn MM</t>
  </si>
  <si>
    <t>Biên độ kỳ hạn chuẩn Repo</t>
  </si>
  <si>
    <t>Phương pháp xác định</t>
  </si>
  <si>
    <t>ON</t>
  </si>
  <si>
    <t>Bước 1: Thu thập 02 năm dữ liệu quá khứ liền trước tháng rà soát của lãi suất các kỳ hạn chuẩn từ 1 năm – 30 năm do VBMA công bố.
Bước 2: Xác định trị tuyệt đối biến động theo ngày của từng kỳ hạn chuẩn.
Bước 3: Xác định Biên độ bằng cách lấy percentile 97,5% chuỗi biến động được tính toán ở bước 2.
Lưu ý: 
- Biên độ được áp dụng cho từng kỳ hạn
- Biên độ đối với kỳ hạn giao dịch lẻ (theo ngày) được xác định bằng phương pháp nội suy tuyến tính (interpolation) từ biên độ các kỳ hạn giao dịch chuẩn gần nhất quy theo ngày.</t>
  </si>
  <si>
    <t>1 tuần</t>
  </si>
  <si>
    <t>2 tuần</t>
  </si>
  <si>
    <t>1 tháng</t>
  </si>
  <si>
    <t>2 tháng</t>
  </si>
  <si>
    <t>3 tháng</t>
  </si>
  <si>
    <t>6 tháng</t>
  </si>
  <si>
    <t>9 tháng</t>
  </si>
  <si>
    <t>1 năm</t>
  </si>
  <si>
    <t>PV</t>
  </si>
  <si>
    <t>VCB</t>
  </si>
  <si>
    <t>VIB</t>
  </si>
  <si>
    <t>Ghi chú</t>
  </si>
  <si>
    <t>Nội dung</t>
  </si>
  <si>
    <t>Chi tiết</t>
  </si>
  <si>
    <t>Bước 2</t>
  </si>
  <si>
    <t xml:space="preserve">Xác định kỳ hạn chuẩn hay lẻ </t>
  </si>
  <si>
    <t>Bước 3</t>
  </si>
  <si>
    <t>Bước 4</t>
  </si>
  <si>
    <t>Bước 5</t>
  </si>
  <si>
    <t>Tính toán Lãi suất tham chiếu</t>
  </si>
  <si>
    <t>Đối với kỳ hạn lẻ: Xác định bằng cách nội suy tuyến tính Lãi suất của Kỳ hạn VNIBOR chuẩn (shorter) và Kỳ hạn VNIBOR chuẩn (longer)
Đối với kỳ hạn chuẩn: Lãi suất VNIBOR tại các thanh kỳ hạn chuẩn</t>
  </si>
  <si>
    <t>Bước 6</t>
  </si>
  <si>
    <t>Xác định biên độ áp dụng cho từng kỳ hạn</t>
  </si>
  <si>
    <t>Bước 7</t>
  </si>
  <si>
    <t>Xác định Khoảng lãi suất hợp lý</t>
  </si>
  <si>
    <t>Lãi suất tham chiếu lớn nhất: Lãi suất tham chiếu + Biên độ
Lãi suất tham chiếu nhỏ nhất: Lãi suất tham chiếu - Biên độ</t>
  </si>
  <si>
    <t>Bước 8</t>
  </si>
  <si>
    <t>Xác định xem giao dịch MM có nằm trong Khoảng lãi suất hợp lý hay không</t>
  </si>
  <si>
    <t>Bước 1</t>
  </si>
  <si>
    <r>
      <rPr>
        <b/>
        <sz val="11"/>
        <color theme="1"/>
        <rFont val="Times New Roman"/>
        <family val="1"/>
      </rPr>
      <t>Dữ liệu thị trường</t>
    </r>
    <r>
      <rPr>
        <sz val="11"/>
        <color theme="1"/>
        <rFont val="Times New Roman"/>
        <family val="1"/>
      </rPr>
      <t xml:space="preserve">: Thu thập dữ liệu Lãi suất VNIBOR từ Refinitive
</t>
    </r>
    <r>
      <rPr>
        <b/>
        <sz val="11"/>
        <color theme="1"/>
        <rFont val="Times New Roman"/>
        <family val="1"/>
      </rPr>
      <t>Dữ liệu giao dịch MM</t>
    </r>
    <r>
      <rPr>
        <sz val="11"/>
        <color theme="1"/>
        <rFont val="Times New Roman"/>
        <family val="1"/>
      </rPr>
      <t>: Thu thập dữ liệu giao dịch MM của ngày báo cáo (Tên đối tác, loại tiền, Số tiền, Loại hình giao dịch, Kỳ hạn, Ngày giao dịch, Ngày đáo hạn,…)</t>
    </r>
  </si>
  <si>
    <t>Xác định Lãi suất của Kỳ hạn VNIBOR chuẩn ngắn hơn (shorter) và Kỳ hạn VNIBOR chuẩn dài hơn (longer)</t>
  </si>
  <si>
    <r>
      <rPr>
        <b/>
        <sz val="11"/>
        <color theme="1"/>
        <rFont val="Times New Roman"/>
        <family val="1"/>
      </rPr>
      <t>Đối với kỳ hạn lẻ</t>
    </r>
    <r>
      <rPr>
        <sz val="11"/>
        <color theme="1"/>
        <rFont val="Times New Roman"/>
        <family val="1"/>
      </rPr>
      <t xml:space="preserve">: Xác định Kỳ hạn VNIBOR chuẩn ngắn hơn (shorter) và Kỳ hạn VNIBOR chuẩn dài hơn (longer)
</t>
    </r>
    <r>
      <rPr>
        <b/>
        <sz val="11"/>
        <color theme="1"/>
        <rFont val="Times New Roman"/>
        <family val="1"/>
      </rPr>
      <t>Đối với kỳ hạn chuẩn</t>
    </r>
    <r>
      <rPr>
        <sz val="11"/>
        <color theme="1"/>
        <rFont val="Times New Roman"/>
        <family val="1"/>
      </rPr>
      <t>: Chuyển sang bước 5</t>
    </r>
  </si>
  <si>
    <t>Nếu là kỳ hạn lẻ, căn cứ vào kỳ hạn của giao dịch MM để xác định Kỳ hạn VNIBOR chuẩn ngắn hơn (shorter) và Kỳ hạn VNIBOR chuẩn dài hơn (longer)</t>
  </si>
  <si>
    <t>Sau khi xác định Kỳ hạn VNIBOR chuẩn ngắn hơn (shorter) và Kỳ hạn VNIBOR chuẩn dài hơn (longer)). Tiếp tục xác định Lãi suất của Kỳ hạn VNIBOR chuẩn (shorter) và Kỳ hạn VNIBOR chuẩn (longer) tại ngày báo cáo</t>
  </si>
  <si>
    <t>Đối với kỳ hạn lẻ: Xác định biên độ bằng cách nội suy tuyến tính Biên độ của Kỳ hạn VNIBOR chuẩn ngắn hơn (shorter) và Kỳ hạn VNIBOR chuẩn dài hơn (longer) tại Sheet "Biên độ áp dụng"
Đối với kỳ hạn chuẩn: Biên độ của kỳ hạn chuẩn tại Sheet "Biên độ áp dụng"</t>
  </si>
  <si>
    <r>
      <rPr>
        <b/>
        <sz val="11"/>
        <color theme="1"/>
        <rFont val="Times New Roman"/>
        <family val="1"/>
      </rPr>
      <t>So sánh Lãi suất giao dịch với Khoảng lãi suất hợp lý:</t>
    </r>
    <r>
      <rPr>
        <sz val="11"/>
        <color theme="1"/>
        <rFont val="Times New Roman"/>
        <family val="1"/>
      </rPr>
      <t xml:space="preserve">
</t>
    </r>
    <r>
      <rPr>
        <b/>
        <sz val="11"/>
        <color theme="1"/>
        <rFont val="Times New Roman"/>
        <family val="1"/>
      </rPr>
      <t>- Trường hợp 1: Nếu Lãi suất giao dịch nằm trong Khoảng lãi suất hợp lý</t>
    </r>
    <r>
      <rPr>
        <sz val="11"/>
        <color theme="1"/>
        <rFont val="Times New Roman"/>
        <family val="1"/>
      </rPr>
      <t xml:space="preserve"> =&gt; GD Hợp lý
</t>
    </r>
    <r>
      <rPr>
        <b/>
        <sz val="11"/>
        <color theme="1"/>
        <rFont val="Times New Roman"/>
        <family val="1"/>
      </rPr>
      <t xml:space="preserve">- Trường hợp 2: Lãi suất giao dịch thấp hơn Khoảng lãi suất hợp lý
</t>
    </r>
    <r>
      <rPr>
        <sz val="11"/>
        <color theme="1"/>
        <rFont val="Times New Roman"/>
        <family val="1"/>
      </rPr>
      <t xml:space="preserve">   + Trường hợp 2.1: Nếu là giao dịch MM vay (VCBNeo đi vay/TCTD đi gửi MM cho VCBNeo) =&gt; GD có lợi cho VCBNeo
   + Trường hợp 2.2: Nếu là giao dịch MM gửi (VCBNeo đi gửi MM tại TCTD khác) =&gt; GD bất lợi cho VCBNeo
</t>
    </r>
    <r>
      <rPr>
        <b/>
        <sz val="11"/>
        <color theme="1"/>
        <rFont val="Times New Roman"/>
        <family val="1"/>
      </rPr>
      <t>- Trường hợp 3: Lãi suất giao dịch cao hơn Khoảng lãi suất hợp lý</t>
    </r>
    <r>
      <rPr>
        <sz val="11"/>
        <color theme="1"/>
        <rFont val="Times New Roman"/>
        <family val="1"/>
      </rPr>
      <t xml:space="preserve">
   + Trường hợp 3.1: Nếu là giao dịch MM vay (VCBNeo đi vay/TCTD đi gửi MM cho VCBNeo) =&gt; GD bất lợi cho VCBNeo
   + Trường hợp 3.2: Nếu là giao dịch MM gửi (VCBNeo đi gửi MM tại TCTD khác) =&gt; GD có lợi cho VCBNeo</t>
    </r>
  </si>
  <si>
    <t>Biên độ áp dụng sẽ được tính toán định kỳ và áp dụng cho cả năm nên sẽ tính toán và nhập tay vào Sheet "Biên độ áp dụng"</t>
  </si>
  <si>
    <r>
      <rPr>
        <b/>
        <sz val="11"/>
        <color theme="1"/>
        <rFont val="Times New Roman"/>
        <family val="1"/>
      </rPr>
      <t>Dữ liệu thị trường</t>
    </r>
    <r>
      <rPr>
        <sz val="11"/>
        <color theme="1"/>
        <rFont val="Times New Roman"/>
        <family val="1"/>
      </rPr>
      <t xml:space="preserve">: Thu thập dữ liệu Lãi suất Repo từ VBMA (VBMA’s short-term benchmark rates) do VBMA công bố tại trang web www.vbma.org.vn 
</t>
    </r>
    <r>
      <rPr>
        <b/>
        <sz val="11"/>
        <color theme="1"/>
        <rFont val="Times New Roman"/>
        <family val="1"/>
      </rPr>
      <t>Dữ liệu giao dịch Repo</t>
    </r>
    <r>
      <rPr>
        <sz val="11"/>
        <color theme="1"/>
        <rFont val="Times New Roman"/>
        <family val="1"/>
      </rPr>
      <t>: Thu thập dữ liệu giao dịch Repo của ngày báo cáo (Tên đối tác, loại tiền, Số tiền, Loại hình giao dịch, Kỳ hạn, Ngày giao dịch, Ngày đáo hạn,…)</t>
    </r>
  </si>
  <si>
    <t>Căn cứ vào thông tin kỳ hạn của giao dịch Repo để xác định Kỳ hạn chuẩn/Lẻ theo Sheet "Bảng kỳ hạn" của kỳ hạn Repo</t>
  </si>
  <si>
    <r>
      <rPr>
        <b/>
        <sz val="11"/>
        <color theme="1"/>
        <rFont val="Times New Roman"/>
        <family val="1"/>
      </rPr>
      <t>Đối với kỳ hạn lẻ</t>
    </r>
    <r>
      <rPr>
        <sz val="11"/>
        <color theme="1"/>
        <rFont val="Times New Roman"/>
        <family val="1"/>
      </rPr>
      <t xml:space="preserve">: Xác định Kỳ hạn Repo chuẩn ngắn hơn (shorter) và Kỳ hạn Repo chuẩn dài hơn (longer)
</t>
    </r>
    <r>
      <rPr>
        <b/>
        <sz val="11"/>
        <color theme="1"/>
        <rFont val="Times New Roman"/>
        <family val="1"/>
      </rPr>
      <t>Đối với kỳ hạn chuẩn</t>
    </r>
    <r>
      <rPr>
        <sz val="11"/>
        <color theme="1"/>
        <rFont val="Times New Roman"/>
        <family val="1"/>
      </rPr>
      <t>: Chuyển sang bước 5</t>
    </r>
  </si>
  <si>
    <t>Nếu là kỳ hạn lẻ, căn cứ vào kỳ hạn của giao dịch Repo để xác định Kỳ hạn Repo chuẩn ngắn hơn (shorter) và Kỳ hạn Repo chuẩn dài hơn (longer)</t>
  </si>
  <si>
    <t>Xác định Lãi suất của Kỳ hạn Repo chuẩn ngắn hơn (shorter) và Kỳ hạn Repo chuẩn dài hơn (longer)</t>
  </si>
  <si>
    <r>
      <rPr>
        <b/>
        <sz val="11"/>
        <color theme="1"/>
        <rFont val="Times New Roman"/>
        <family val="1"/>
      </rPr>
      <t>Đối với kỳ hạn lẻ:</t>
    </r>
    <r>
      <rPr>
        <sz val="11"/>
        <color theme="1"/>
        <rFont val="Times New Roman"/>
        <family val="1"/>
      </rPr>
      <t xml:space="preserve"> Xác định bằng cách nội suy tuyến tính Lãi suất của Kỳ hạn Repo chuẩn ngắn hơn (shorter) và Kỳ hạn Repo chuẩn dài hơn (longer)
</t>
    </r>
    <r>
      <rPr>
        <b/>
        <sz val="11"/>
        <color theme="1"/>
        <rFont val="Times New Roman"/>
        <family val="1"/>
      </rPr>
      <t>Đối với kỳ hạn chuẩn</t>
    </r>
    <r>
      <rPr>
        <sz val="11"/>
        <color theme="1"/>
        <rFont val="Times New Roman"/>
        <family val="1"/>
      </rPr>
      <t>: Lãi suất Repo tại các thang kỳ hạn chuẩn tại Sheet "Data Repo"</t>
    </r>
  </si>
  <si>
    <r>
      <rPr>
        <b/>
        <sz val="11"/>
        <color theme="1"/>
        <rFont val="Times New Roman"/>
        <family val="1"/>
      </rPr>
      <t>Đối với kỳ hạn lẻ</t>
    </r>
    <r>
      <rPr>
        <sz val="11"/>
        <color theme="1"/>
        <rFont val="Times New Roman"/>
        <family val="1"/>
      </rPr>
      <t xml:space="preserve">: Xác định biên độ bằng cách nội suy tuyến tính Biên độ của Kỳ hạn Repo chuẩn ngắn hơn (shorter) và Kỳ hạn Repo chuẩn dài hơn (longer) tại Sheet "Biên độ áp dụng"
</t>
    </r>
    <r>
      <rPr>
        <b/>
        <sz val="11"/>
        <color theme="1"/>
        <rFont val="Times New Roman"/>
        <family val="1"/>
      </rPr>
      <t>Đối với kỳ hạn chuẩn</t>
    </r>
    <r>
      <rPr>
        <sz val="11"/>
        <color theme="1"/>
        <rFont val="Times New Roman"/>
        <family val="1"/>
      </rPr>
      <t>: Biên độ của kỳ hạn chuẩn tại Sheet "Biên độ áp dụng"</t>
    </r>
  </si>
  <si>
    <t>Sau khi xác định Kỳ hạn Repo chuẩn ngắn hơn (shorter) và Kỳ hạn Repo chuẩn dài hơn (longer). Tiếp tục xác định Lãi suất của Kỳ hạn Repo chuẩn ngắn hơn (shorter) và Kỳ hạn Repo chuẩn dài hơn (longer) tại ngày báo cáo trong Sheet "Data Repo"</t>
  </si>
  <si>
    <t>Ngày hiệu lực HĐ</t>
  </si>
  <si>
    <t>Thu thập dữ liệu thị trường, giao dịch (Các sheet màu vàng)</t>
  </si>
  <si>
    <t>Kiểm tra lãi suất phi thị trường đối với giao dịch MM (Sheet "Giao dịch MM")</t>
  </si>
  <si>
    <t>Kiểm tra lãi suất phi thị trường đối với giao dịch Repo  (Sheet "Giao dịch Repo")</t>
  </si>
  <si>
    <t>A</t>
  </si>
  <si>
    <t>Lend</t>
  </si>
  <si>
    <t>Loại tiền</t>
  </si>
  <si>
    <t xml:space="preserve">Số dư </t>
  </si>
  <si>
    <t>Lãi suất</t>
  </si>
  <si>
    <t>Thông tin giao dịch MM từ Sheet "Sao kê giao dịch MM"</t>
  </si>
  <si>
    <t>- Tìm mã kỳ hạn của GTCG theo Sheet "Thang kỳ hạn MM"</t>
  </si>
  <si>
    <t>=IF([@[Mã kỳ hạn chuẩn]]="Kỳ hạn lẻ";@IFERROR(
IFS([@[Kỳ hạn]]&gt;365;365;
[@[Kỳ hạn]]&gt;270;270;
[@[Kỳ hạn]]&gt;180;180;
[@[Kỳ hạn]]&gt;90;90;
[@[Kỳ hạn]]&gt;60;60;
[@[Kỳ hạn]]&gt;30;30;
[@[Kỳ hạn]]&gt;14;14;
[@[Kỳ hạn]]&gt;7;7;
[@[Kỳ hạn]]&gt;1;1);0);"")
- Ý nghĩa: Tìm chặn dưới của Kỳ hạn (Cột E) (Ví dụ: Kỳ hạn là 5 thì chặn dưới là 1 và chặn trên là 7 dựa theo Sheet "Thang kỳ hạn MM")</t>
  </si>
  <si>
    <t>Ngoại lệ</t>
  </si>
  <si>
    <t>=IF([@[Mã kỳ hạn chuẩn]]="Kỳ hạn lẻ";@IFERROR(
IFS([@[Kỳ hạn]]&lt;1;1;
[@[Kỳ hạn]]&lt;7;7;
[@[Kỳ hạn]]&lt;14;14;
[@[Kỳ hạn]]&lt;30;30;
[@[Kỳ hạn]]&lt;60;60;
[@[Kỳ hạn]]&lt;90;90;
[@[Kỳ hạn]]&lt;180;180;
[@[Kỳ hạn]]&lt;270;270;
[@[Kỳ hạn]]&lt;365;365);
0);"")
- Ý nghĩa: Tìm chặn trên của Kỳ hạn (Cột E) (Ví dụ: Kỳ hạn là 5 thì chặn dưới là 1 và chặn trên là 7 dựa theo Sheet "Thang kỳ hạn MM")</t>
  </si>
  <si>
    <t>- Tìm Lãi suất VNIBOR của Kỳ hạn VNIBOR chuẩn (shorter) tại Ngày hiệu lực HĐ (Cột G) trong Sheet "Data VNIBOR"</t>
  </si>
  <si>
    <t>- Tìm Lãi suất VNIBOR của Kỳ hạn VNIBOR chuẩn (longer) tại Ngày hiệu lực HĐ (Cột G) trong Sheet "Data VNIBOR"</t>
  </si>
  <si>
    <t>- Tìm biên độ MM của Kỳ hạn VNIBOR chuẩn (shorter) (Cột J) tại cột C trong Sheet "Biên độ MM, Repo"</t>
  </si>
  <si>
    <t>- Tìm biên độ MM của Kỳ hạn VNIBOR chuẩn (longer) (Cột K) tại cột C trong Sheet "Biên độ MM, Repo"</t>
  </si>
  <si>
    <t>- Kỳ hạn chuẩn: Lấy biên độ chuẩn tại Sheet "Biên độ MM, repo"
- Kỳ hạn lẻ: Nội suy tuyến tính từ 2 biên độ phía trước
=IF([@[Mã kỳ hạn chuẩn]]="Kỳ hạn lẻ";FORECAST.LINEAR([@[Kỳ hạn]];Sheet1[@[Biên độ chuẩn (shorter)]:[Biên độ chuẩn (longer)]];Sheet1[@[Kỳ hạn VNIBOR chuẩn (shorter)]:[Kỳ hạn VNIBOR chuẩn (longer)]]);VLOOKUP([@[Mã kỳ hạn chuẩn]];'Biên độ MM, Repo'!$B$1:$D$10;2;0))</t>
  </si>
  <si>
    <t>- Kỳ hạn lẻ: Nội suy tuyến tính từ Lãi suất VNIBOR (Shorter) và Lãi suất VNIBOR (Longer) đã tính phía trước
- Kỳ hạn chuẩn: Tìm kiếm Lãi suất VNIBOR tại Ngày hiệu lực HĐ trong Sheet "Data VNIBOR"</t>
  </si>
  <si>
    <t>= Cột Q + biên độ</t>
  </si>
  <si>
    <t>= Cột Q - biên độ</t>
  </si>
  <si>
    <r>
      <rPr>
        <b/>
        <sz val="11"/>
        <color theme="1"/>
        <rFont val="Times New Roman"/>
        <family val="1"/>
      </rPr>
      <t>So sánh Lãi suất giao dịch với Khoảng lãi suất hợp lý:</t>
    </r>
    <r>
      <rPr>
        <sz val="11"/>
        <color theme="1"/>
        <rFont val="Times New Roman"/>
        <family val="1"/>
      </rPr>
      <t xml:space="preserve">
- Trường hợp 1: Nếu Lãi suất giao dịch nằm trong Khoảng lãi suất hợp lý =&gt; GD Hợp lý
- Trường hợp 2: Lãi suất giao dịch thấp hơn Khoảng lãi suất hợp lý
+ Trường hợp 2.1: Nếu là giao dịch MM vay (VCBNeo đi vay/TCTD đi gửi MM cho VCBNeo) =&gt; GD có lợi cho VCBNeo
+ Trường hợp 2.2: Nếu là giao dịch MM gửi (VCBNeo đi gửi MM tại TCTD khác) =&gt; GD bất lợi cho VCBNeo
- Trường hợp 3: Lãi suất giao dịch cao hơn Khoảng lãi suất hợp lý
+ Trường hợp 3.1: Nếu là giao dịch MM vay (VCBNeo đi vay/TCTD đi gửi MM cho VCBNeo) =&gt; GD bất lợi cho VCBNeo
+ Trường hợp 3.2: Nếu là giao dịch MM gửi (VCBNeo đi gửi MM tại TCTD khác) =&gt; GD có lợi cho VCBNeo</t>
    </r>
  </si>
  <si>
    <t>Thông tin giao dich repo trong Sheet "Sao kê giao dịch Repo"</t>
  </si>
  <si>
    <t>- Tìm mã kỳ hạn của GTCG theo Sheet "Thang kỳ hạn Repo"</t>
  </si>
  <si>
    <t>=IF([@[Mã kỳ hạn chuẩn]]="Kỳ hạn lẻ";@IFERROR(
IFS([@[Kỳ hạn còn lại]]&gt;365;365;
[@[Kỳ hạn còn lại]]&gt;270;270;
[@[Kỳ hạn còn lại]]&gt;180;180;
[@[Kỳ hạn còn lại]]&gt;90;90;
[@[Kỳ hạn còn lại]]&gt;60;60;
[@[Kỳ hạn còn lại]]&gt;30;30;
[@[Kỳ hạn còn lại]]&gt;14;14;
[@[Kỳ hạn còn lại]]&gt;7;7;
[@[Kỳ hạn còn lại]]&gt;1;1);0);"")
- Ý nghĩa: Tìm chặn dưới của Kỳ hạn còn lại (Cột X) (Ví dụ: Kỳ hạn là 25 thì chặn dưới là 14 và chặn trên là 30 dựa theo Sheet "Thang kỳ hạn Repo")</t>
  </si>
  <si>
    <t>=IF([@[Mã kỳ hạn chuẩn]]="Kỳ hạn lẻ";@IFERROR(
IFS([@[Kỳ hạn còn lại]]&lt;1;1;
[@[Kỳ hạn còn lại]]&lt;7;7;
[@[Kỳ hạn còn lại]]&lt;14;14;
[@[Kỳ hạn còn lại]]&lt;30;30;
[@[Kỳ hạn còn lại]]&lt;60;60;
[@[Kỳ hạn còn lại]]&lt;90;90;
[@[Kỳ hạn còn lại]]&lt;180;180;
[@[Kỳ hạn còn lại]]&lt;270;270;
[@[Kỳ hạn còn lại]]&lt;365;365);
0);"")
- Ý nghĩa: Tìm chặn trên của Kỳ hạn còn lại (Cột X) (Ví dụ: Kỳ hạn là 25 thì chặn dưới là 14 và chặn trên là 30 dựa theo Sheet "Thang kỳ hạn Repo")</t>
  </si>
  <si>
    <t>- Tìm Lãi suất Repo của Kỳ hạn Repo chuẩn (shorter) tại Ngày giao dịch lần 1 (Cột O) trong Sheet "Data Repo"</t>
  </si>
  <si>
    <t>- Tìm Lãi suất Repo của Kỳ hạn Repo chuẩn (longer) tại Ngày giao dịch lần 1 (Cột O) trong Sheet "Data Repo"</t>
  </si>
  <si>
    <t>- Tìm biên độ Repo của Kỳ hạn Repo chuẩn (shorter) (Cột Z) tại cột D trong Sheet "Biên độ MM, Repo"</t>
  </si>
  <si>
    <t>- Tìm biên độ Repo của Kỳ hạn Repo chuẩn (longer) (Cột AA) tại cột D trong Sheet "Biên độ MM, Repo"</t>
  </si>
  <si>
    <t>- Kỳ hạn chuẩn: Lấy biên độ chuẩn tại cột D trong Sheet "Biên độ MM, repo"
- Kỳ hạn lẻ: Nội suy tuyến tính từ 2 biên độ phía trước
=IF([@[Mã kỳ hạn chuẩn]]="Kỳ hạn lẻ";FORECAST.LINEAR([@[Kỳ hạn còn lại]];Sheet_1[@[Biên độ chuẩn (shorter)]:[Biên độ chuẩn (longer)]];Sheet_1[@[Kỳ hạn Repo chuẩn (shorter)]:[Kỳ hạn Repo chuẩn (longer)]]);VLOOKUP([@[Mã kỳ hạn chuẩn]];'Biên độ MM, Repo'!$B$2:$D$10;3;0))</t>
  </si>
  <si>
    <t>- Kỳ hạn lẻ: Nội suy tuyến tính từ Lãi suất Repo (Shorter) và Lãi suất Repo (Longer) đã tính phía trước
- Kỳ hạn chuẩn: Tìm kiếm Lãi suất Repo tại Ngày giao dịch lần 1 (Cột O) trong Sheet "Data Repo"</t>
  </si>
  <si>
    <t>= Cột AG + biên độ</t>
  </si>
  <si>
    <t>= Cột AG - biên độ</t>
  </si>
  <si>
    <r>
      <rPr>
        <b/>
        <sz val="11"/>
        <color theme="1"/>
        <rFont val="Times New Roman"/>
        <family val="1"/>
      </rPr>
      <t>So sánh Lãi suất giao dịch với Khoảng lãi suất hợp lý:</t>
    </r>
    <r>
      <rPr>
        <sz val="11"/>
        <color theme="1"/>
        <rFont val="Times New Roman"/>
        <family val="1"/>
      </rPr>
      <t xml:space="preserve">
</t>
    </r>
    <r>
      <rPr>
        <b/>
        <sz val="11"/>
        <color theme="1"/>
        <rFont val="Times New Roman"/>
        <family val="1"/>
      </rPr>
      <t>- Trường hợp 1: Nếu Lãi suất giao dịch nằm trong Khoảng lãi suất hợp lý</t>
    </r>
    <r>
      <rPr>
        <sz val="11"/>
        <color theme="1"/>
        <rFont val="Times New Roman"/>
        <family val="1"/>
      </rPr>
      <t xml:space="preserve"> =&gt; GD Hợp lý
</t>
    </r>
    <r>
      <rPr>
        <b/>
        <sz val="11"/>
        <color theme="1"/>
        <rFont val="Times New Roman"/>
        <family val="1"/>
      </rPr>
      <t xml:space="preserve">- Trường hợp 2: Lãi suất giao dịch thấp hơn Khoảng lãi suất hợp lý
</t>
    </r>
    <r>
      <rPr>
        <sz val="11"/>
        <color theme="1"/>
        <rFont val="Times New Roman"/>
        <family val="1"/>
      </rPr>
      <t xml:space="preserve">   + Trường hợp 2.1: Nếu là giao dịch Repo =&gt; GD có lợi cho VCBNeo
   + Trường hợp 2.2: Nếu là giao dịch Reverse Repo =&gt; GD bất lợi cho VCBNeo
</t>
    </r>
    <r>
      <rPr>
        <b/>
        <sz val="11"/>
        <color theme="1"/>
        <rFont val="Times New Roman"/>
        <family val="1"/>
      </rPr>
      <t>- Trường hợp 3: Lãi suất giao dịch cao hơn Khoảng lãi suất hợp lý</t>
    </r>
    <r>
      <rPr>
        <sz val="11"/>
        <color theme="1"/>
        <rFont val="Times New Roman"/>
        <family val="1"/>
      </rPr>
      <t xml:space="preserve">
   + Trường hợp 3.1: Nếu là giao dịch Repo =&gt; GD bất lợi cho VCBNeo
   + Trường hợp 3.2: Nếu là giao dịch Reverse Repo (VCBNeo đi gửi MM tại TCTD khác) =&gt; GD có lợi cho VCBNeo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</si>
</sst>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0_-;\-* #,##0_-;_-* &quot;-&quot;??_-;_-@_-"/>
    <numFmt numFmtId="166" formatCode="0.000"/>
    <numFmt numFmtId="167" formatCode="_(* #,##0.00_);_(* \(#,##0.00\);_(* &quot;-&quot;_);_(@_)"/>
  </numFmts>
  <fonts count="21" x14ac:knownFonts="1">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1"/>
      <color indexed="8"/>
      <name val="Calibri"/>
      <family val="2"/>
      <scheme val="minor"/>
    </font>
    <font>
      <b/>
      <sz val="11"/>
      <color theme="1"/>
      <name val="Times New Roman"/>
      <family val="1"/>
    </font>
    <font>
      <sz val="11"/>
      <color theme="1"/>
      <name val="Times New Roman"/>
      <family val="1"/>
    </font>
    <font>
      <b/>
      <sz val="11"/>
      <color theme="0"/>
      <name val="Times New Roman"/>
      <family val="1"/>
    </font>
    <font>
      <sz val="11"/>
      <color rgb="FFFF0000"/>
      <name val="Times New Roman"/>
      <family val="1"/>
    </font>
    <font>
      <sz val="8"/>
      <name val="Calibri"/>
      <family val="2"/>
      <charset val="163"/>
      <scheme val="minor"/>
    </font>
    <font>
      <sz val="9"/>
      <color indexed="81"/>
      <name val="Tahoma"/>
      <charset val="1"/>
    </font>
    <font>
      <b/>
      <sz val="9"/>
      <color indexed="81"/>
      <name val="Tahoma"/>
      <charset val="1"/>
    </font>
    <font>
      <sz val="13"/>
      <color theme="1"/>
      <name val="Times New Roman"/>
      <family val="1"/>
    </font>
    <font>
      <b/>
      <sz val="13"/>
      <color theme="1"/>
      <name val="Times New Roman"/>
      <family val="1"/>
    </font>
    <font>
      <b/>
      <sz val="11"/>
      <color theme="0"/>
      <name val="Calibri"/>
      <family val="2"/>
      <charset val="163"/>
      <scheme val="minor"/>
    </font>
  </fonts>
  <fills count="6">
    <fill>
      <patternFill patternType="none"/>
    </fill>
    <fill>
      <patternFill patternType="gray125"/>
    </fill>
    <fill>
      <patternFill patternType="solid">
        <fgColor rgb="FFFFFF00"/>
        <bgColor indexed="64"/>
      </patternFill>
    </fill>
    <fill>
      <patternFill patternType="solid">
        <fgColor theme="9"/>
        <bgColor theme="9"/>
      </patternFill>
    </fill>
    <fill>
      <patternFill patternType="solid">
        <fgColor theme="0" tint="-0.14999847407452621"/>
        <bgColor indexed="64"/>
      </patternFill>
    </fill>
    <fill>
      <patternFill patternType="solid">
        <fgColor theme="9" tint="0.79998168889431442"/>
        <bgColor theme="9" tint="0.79998168889431442"/>
      </patternFill>
    </fill>
  </fills>
  <borders count="8">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s>
  <cellStyleXfs count="25">
    <xf numFmtId="0" fontId="0" fillId="0" borderId="0"/>
    <xf numFmtId="0" fontId="8" fillId="0" borderId="0"/>
    <xf numFmtId="0" fontId="9" fillId="0" borderId="0"/>
    <xf numFmtId="0" fontId="8" fillId="0" borderId="0"/>
    <xf numFmtId="43" fontId="8" fillId="0" borderId="0" applyFont="0" applyFill="0" applyBorder="0" applyAlignment="0" applyProtection="0"/>
    <xf numFmtId="0" fontId="7" fillId="0" borderId="0"/>
    <xf numFmtId="43" fontId="7" fillId="0" borderId="0" applyFont="0" applyFill="0" applyBorder="0" applyAlignment="0" applyProtection="0"/>
    <xf numFmtId="0" fontId="6" fillId="0" borderId="0"/>
    <xf numFmtId="164" fontId="6" fillId="0" borderId="0" applyFont="0" applyFill="0" applyBorder="0" applyAlignment="0" applyProtection="0"/>
    <xf numFmtId="0" fontId="10" fillId="0" borderId="0"/>
    <xf numFmtId="164" fontId="5" fillId="0" borderId="0" applyFont="0" applyFill="0" applyBorder="0" applyAlignment="0" applyProtection="0"/>
    <xf numFmtId="164" fontId="9"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9" fontId="9" fillId="0" borderId="0" applyFont="0" applyFill="0" applyBorder="0" applyAlignment="0" applyProtection="0"/>
  </cellStyleXfs>
  <cellXfs count="76">
    <xf numFmtId="0" fontId="0" fillId="0" borderId="0" xfId="0"/>
    <xf numFmtId="14" fontId="0" fillId="0" borderId="0" xfId="0" applyNumberFormat="1"/>
    <xf numFmtId="0" fontId="12" fillId="0" borderId="0" xfId="0" applyFont="1"/>
    <xf numFmtId="14" fontId="12" fillId="0" borderId="0" xfId="0" applyNumberFormat="1" applyFont="1"/>
    <xf numFmtId="0" fontId="12"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left" vertical="center"/>
    </xf>
    <xf numFmtId="165" fontId="12" fillId="0" borderId="0" xfId="11" applyNumberFormat="1" applyFont="1" applyAlignment="1">
      <alignment horizontal="center" vertical="center" wrapText="1"/>
    </xf>
    <xf numFmtId="165" fontId="12" fillId="0" borderId="0" xfId="11" applyNumberFormat="1" applyFont="1" applyAlignment="1">
      <alignment horizontal="center" vertical="center"/>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2" fillId="2" borderId="0" xfId="0" applyFont="1" applyFill="1" applyAlignment="1">
      <alignment horizontal="center" vertical="center"/>
    </xf>
    <xf numFmtId="14" fontId="12" fillId="0" borderId="0" xfId="0" applyNumberFormat="1" applyFont="1" applyAlignment="1">
      <alignment horizontal="center" vertical="center"/>
    </xf>
    <xf numFmtId="165" fontId="12" fillId="0" borderId="0" xfId="11" applyNumberFormat="1" applyFont="1"/>
    <xf numFmtId="164" fontId="12" fillId="0" borderId="0" xfId="11" applyFont="1"/>
    <xf numFmtId="0" fontId="14" fillId="2" borderId="0" xfId="0" applyFont="1" applyFill="1" applyAlignment="1">
      <alignment horizontal="center" vertical="center" wrapText="1"/>
    </xf>
    <xf numFmtId="164" fontId="14" fillId="2" borderId="0" xfId="11" applyFont="1" applyFill="1" applyAlignment="1">
      <alignment horizontal="center" vertical="center" wrapText="1"/>
    </xf>
    <xf numFmtId="164" fontId="12" fillId="0" borderId="0" xfId="11" applyFont="1" applyAlignment="1">
      <alignment horizontal="center" vertical="center"/>
    </xf>
    <xf numFmtId="165" fontId="0" fillId="0" borderId="0" xfId="11" applyNumberFormat="1" applyFont="1"/>
    <xf numFmtId="14" fontId="0" fillId="0" borderId="0" xfId="11" applyNumberFormat="1" applyFont="1"/>
    <xf numFmtId="164" fontId="0" fillId="0" borderId="0" xfId="11" applyFont="1"/>
    <xf numFmtId="164" fontId="0" fillId="0" borderId="0" xfId="0" applyNumberFormat="1"/>
    <xf numFmtId="0" fontId="0" fillId="0" borderId="0" xfId="0" applyAlignment="1">
      <alignment wrapText="1"/>
    </xf>
    <xf numFmtId="14" fontId="12" fillId="0" borderId="0" xfId="0" applyNumberFormat="1" applyFont="1" applyAlignment="1">
      <alignment horizontal="center" vertical="center" wrapText="1"/>
    </xf>
    <xf numFmtId="14" fontId="12" fillId="0" borderId="0" xfId="11" applyNumberFormat="1" applyFont="1"/>
    <xf numFmtId="14" fontId="11" fillId="0" borderId="0" xfId="0" applyNumberFormat="1" applyFont="1"/>
    <xf numFmtId="0" fontId="18" fillId="0" borderId="0" xfId="0" applyFont="1"/>
    <xf numFmtId="14" fontId="18" fillId="0" borderId="0" xfId="0" applyNumberFormat="1" applyFont="1"/>
    <xf numFmtId="166" fontId="18" fillId="0" borderId="0" xfId="19" applyNumberFormat="1" applyFont="1" applyAlignment="1">
      <alignment horizontal="center" vertical="center"/>
    </xf>
    <xf numFmtId="14" fontId="18" fillId="0" borderId="0" xfId="19" applyNumberFormat="1" applyFont="1"/>
    <xf numFmtId="167" fontId="18" fillId="0" borderId="0" xfId="11" applyNumberFormat="1" applyFont="1" applyAlignment="1">
      <alignment vertical="center"/>
    </xf>
    <xf numFmtId="164" fontId="18" fillId="0" borderId="0" xfId="11" applyFont="1" applyAlignment="1">
      <alignment horizontal="center" vertical="center"/>
    </xf>
    <xf numFmtId="164" fontId="18" fillId="0" borderId="0" xfId="11" applyFont="1"/>
    <xf numFmtId="0" fontId="19" fillId="0" borderId="3" xfId="0" applyFont="1" applyBorder="1" applyAlignment="1">
      <alignment horizontal="center" vertical="center" wrapText="1"/>
    </xf>
    <xf numFmtId="0" fontId="18" fillId="0" borderId="3" xfId="0" applyFont="1" applyBorder="1" applyAlignment="1">
      <alignment horizontal="center" vertical="center"/>
    </xf>
    <xf numFmtId="43" fontId="18" fillId="2" borderId="3" xfId="23" applyFont="1" applyFill="1" applyBorder="1" applyAlignment="1">
      <alignment vertical="center"/>
    </xf>
    <xf numFmtId="0" fontId="12" fillId="0" borderId="0" xfId="24" applyNumberFormat="1" applyFont="1"/>
    <xf numFmtId="0" fontId="12" fillId="0" borderId="3" xfId="0" applyFont="1" applyBorder="1" applyAlignment="1">
      <alignment horizontal="left" vertical="center" wrapText="1"/>
    </xf>
    <xf numFmtId="0" fontId="11" fillId="0" borderId="3" xfId="0" applyFont="1" applyBorder="1" applyAlignment="1">
      <alignment horizontal="center" vertical="center" wrapText="1"/>
    </xf>
    <xf numFmtId="0" fontId="12" fillId="0" borderId="0" xfId="0" applyFont="1" applyAlignment="1">
      <alignment wrapText="1"/>
    </xf>
    <xf numFmtId="0" fontId="11" fillId="4" borderId="4" xfId="0" applyFont="1" applyFill="1" applyBorder="1" applyAlignment="1">
      <alignment horizontal="left"/>
    </xf>
    <xf numFmtId="0" fontId="11" fillId="4" borderId="5" xfId="0" applyFont="1" applyFill="1" applyBorder="1" applyAlignment="1">
      <alignment horizontal="left"/>
    </xf>
    <xf numFmtId="0" fontId="11" fillId="4" borderId="6" xfId="0" applyFont="1" applyFill="1" applyBorder="1" applyAlignment="1">
      <alignment horizontal="left"/>
    </xf>
    <xf numFmtId="0" fontId="18" fillId="0" borderId="3" xfId="0" applyFont="1" applyBorder="1" applyAlignment="1">
      <alignment horizontal="left" vertical="center" wrapText="1"/>
    </xf>
    <xf numFmtId="0" fontId="20" fillId="3" borderId="7" xfId="0" applyFont="1" applyFill="1" applyBorder="1"/>
    <xf numFmtId="0" fontId="20" fillId="3" borderId="1" xfId="0" applyFont="1" applyFill="1" applyBorder="1"/>
    <xf numFmtId="0" fontId="0" fillId="5" borderId="1" xfId="0" applyFont="1" applyFill="1" applyBorder="1"/>
    <xf numFmtId="0" fontId="0" fillId="0" borderId="1" xfId="0" applyFont="1" applyBorder="1"/>
    <xf numFmtId="0" fontId="0" fillId="5" borderId="7" xfId="0" applyFont="1" applyFill="1" applyBorder="1"/>
    <xf numFmtId="0" fontId="0" fillId="0" borderId="7" xfId="0" applyFont="1" applyBorder="1"/>
    <xf numFmtId="14" fontId="20" fillId="3" borderId="1" xfId="0" applyNumberFormat="1" applyFont="1" applyFill="1" applyBorder="1"/>
    <xf numFmtId="165" fontId="20" fillId="3" borderId="1" xfId="11" applyNumberFormat="1" applyFont="1" applyFill="1" applyBorder="1"/>
    <xf numFmtId="14" fontId="20" fillId="3" borderId="1" xfId="11" applyNumberFormat="1" applyFont="1" applyFill="1" applyBorder="1"/>
    <xf numFmtId="14" fontId="0" fillId="5" borderId="1" xfId="0" applyNumberFormat="1" applyFont="1" applyFill="1" applyBorder="1"/>
    <xf numFmtId="165" fontId="0" fillId="5" borderId="1" xfId="11" applyNumberFormat="1" applyFont="1" applyFill="1" applyBorder="1"/>
    <xf numFmtId="14" fontId="0" fillId="5" borderId="1" xfId="11" applyNumberFormat="1" applyFont="1" applyFill="1" applyBorder="1"/>
    <xf numFmtId="14" fontId="0" fillId="0" borderId="1" xfId="0" applyNumberFormat="1" applyFont="1" applyBorder="1"/>
    <xf numFmtId="165" fontId="0" fillId="0" borderId="1" xfId="11" applyNumberFormat="1" applyFont="1" applyBorder="1"/>
    <xf numFmtId="14" fontId="0" fillId="0" borderId="1" xfId="11" applyNumberFormat="1" applyFont="1" applyBorder="1"/>
    <xf numFmtId="0" fontId="13" fillId="3" borderId="7" xfId="0" applyFont="1" applyFill="1" applyBorder="1" applyAlignment="1">
      <alignment horizontal="center" vertical="center" wrapText="1"/>
    </xf>
    <xf numFmtId="14" fontId="13" fillId="3" borderId="1" xfId="0" applyNumberFormat="1" applyFont="1" applyFill="1" applyBorder="1" applyAlignment="1">
      <alignment horizontal="center" vertical="center" wrapText="1"/>
    </xf>
    <xf numFmtId="0" fontId="12" fillId="5" borderId="7" xfId="0" applyFont="1" applyFill="1" applyBorder="1"/>
    <xf numFmtId="0" fontId="12" fillId="5" borderId="1" xfId="0" applyFont="1" applyFill="1" applyBorder="1"/>
    <xf numFmtId="165" fontId="12" fillId="5" borderId="1" xfId="11" applyNumberFormat="1" applyFont="1" applyFill="1" applyBorder="1"/>
    <xf numFmtId="14" fontId="12" fillId="5" borderId="1" xfId="0" applyNumberFormat="1" applyFont="1" applyFill="1" applyBorder="1"/>
    <xf numFmtId="0" fontId="12" fillId="0" borderId="7" xfId="0" applyFont="1" applyBorder="1"/>
    <xf numFmtId="0" fontId="12" fillId="0" borderId="1" xfId="0" applyFont="1" applyBorder="1"/>
    <xf numFmtId="165" fontId="12" fillId="0" borderId="1" xfId="11" applyNumberFormat="1" applyFont="1" applyBorder="1"/>
    <xf numFmtId="14" fontId="12" fillId="0" borderId="1" xfId="0" applyNumberFormat="1" applyFont="1" applyBorder="1"/>
    <xf numFmtId="0" fontId="0" fillId="2" borderId="0" xfId="0" applyFill="1"/>
    <xf numFmtId="164" fontId="12" fillId="0" borderId="0" xfId="11" applyFont="1" applyAlignment="1">
      <alignment wrapText="1"/>
    </xf>
    <xf numFmtId="0" fontId="12" fillId="0" borderId="3" xfId="0" quotePrefix="1" applyFont="1" applyBorder="1" applyAlignment="1">
      <alignment horizontal="left" vertical="center" wrapText="1"/>
    </xf>
    <xf numFmtId="0" fontId="12" fillId="0" borderId="3" xfId="0" applyFont="1" applyBorder="1" applyAlignment="1">
      <alignment horizontal="left" vertical="center" wrapText="1"/>
    </xf>
    <xf numFmtId="14" fontId="12" fillId="0" borderId="3" xfId="0" quotePrefix="1" applyNumberFormat="1" applyFont="1" applyBorder="1" applyAlignment="1">
      <alignment horizontal="left" vertical="center" wrapText="1"/>
    </xf>
    <xf numFmtId="49" fontId="12" fillId="0" borderId="3" xfId="11" quotePrefix="1" applyNumberFormat="1" applyFont="1" applyBorder="1" applyAlignment="1">
      <alignment horizontal="left" vertical="center" wrapText="1"/>
    </xf>
    <xf numFmtId="14" fontId="0" fillId="0" borderId="0" xfId="0" applyNumberFormat="1" applyAlignment="1">
      <alignment horizontal="center"/>
    </xf>
  </cellXfs>
  <cellStyles count="25">
    <cellStyle name="Comma" xfId="11" builtinId="3"/>
    <cellStyle name="Comma 2" xfId="4" xr:uid="{00000000-0005-0000-0000-000001000000}"/>
    <cellStyle name="Comma 2 2" xfId="6" xr:uid="{00000000-0005-0000-0000-000002000000}"/>
    <cellStyle name="Comma 2 2 2" xfId="16" xr:uid="{00000000-0005-0000-0000-000003000000}"/>
    <cellStyle name="Comma 3" xfId="8" xr:uid="{00000000-0005-0000-0000-000004000000}"/>
    <cellStyle name="Comma 4" xfId="10" xr:uid="{00000000-0005-0000-0000-000005000000}"/>
    <cellStyle name="Comma 5" xfId="15" xr:uid="{00000000-0005-0000-0000-000006000000}"/>
    <cellStyle name="Comma 6" xfId="18" xr:uid="{51CF77C4-CDBE-4B93-A01C-64DFBB48CACA}"/>
    <cellStyle name="Comma 7" xfId="20" xr:uid="{60AE44A8-1288-4ABD-AF78-12C699BA670B}"/>
    <cellStyle name="Comma 8" xfId="23" xr:uid="{F974BF53-75FD-414A-B947-EC63A86B1407}"/>
    <cellStyle name="Normal" xfId="0" builtinId="0"/>
    <cellStyle name="Normal 2" xfId="1" xr:uid="{00000000-0005-0000-0000-000009000000}"/>
    <cellStyle name="Normal 2 2" xfId="2" xr:uid="{00000000-0005-0000-0000-00000A000000}"/>
    <cellStyle name="Normal 2 2 2" xfId="3" xr:uid="{00000000-0005-0000-0000-00000B000000}"/>
    <cellStyle name="Normal 2 2 3" xfId="13" xr:uid="{00000000-0005-0000-0000-00000C000000}"/>
    <cellStyle name="Normal 2 3" xfId="5" xr:uid="{00000000-0005-0000-0000-00000D000000}"/>
    <cellStyle name="Normal 3" xfId="7" xr:uid="{00000000-0005-0000-0000-00000E000000}"/>
    <cellStyle name="Normal 3 2" xfId="9" xr:uid="{00000000-0005-0000-0000-00000F000000}"/>
    <cellStyle name="Normal 4" xfId="12" xr:uid="{00000000-0005-0000-0000-000010000000}"/>
    <cellStyle name="Normal 5" xfId="17" xr:uid="{595EEEBE-BB96-4F42-BE71-0C30FBF80B92}"/>
    <cellStyle name="Normal 6" xfId="19" xr:uid="{DBAE14E2-9D75-4D7D-B10A-E2B6E5DA3890}"/>
    <cellStyle name="Normal 7" xfId="22" xr:uid="{0F6AA660-441E-4DF6-B362-B732B80B1068}"/>
    <cellStyle name="Percent" xfId="24" builtinId="5"/>
    <cellStyle name="Percent 2" xfId="14" xr:uid="{00000000-0005-0000-0000-000011000000}"/>
    <cellStyle name="Percent 7" xfId="21" xr:uid="{C75A32CA-4275-42D1-8ADA-51982BEB9EAF}"/>
  </cellStyles>
  <dxfs count="55">
    <dxf>
      <numFmt numFmtId="0" formatCode="General"/>
      <alignment horizontal="general" vertical="bottom" textRotation="0" wrapText="1" indent="0" justifyLastLine="0" shrinkToFit="0" readingOrder="0"/>
    </dxf>
    <dxf>
      <numFmt numFmtId="0" formatCode="General"/>
    </dxf>
    <dxf>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numFmt numFmtId="19" formatCode="dd/mm/yyyy"/>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charset val="163"/>
        <scheme val="minor"/>
      </font>
      <numFmt numFmtId="165" formatCode="_-* #,##0_-;\-* #,##0_-;_-* &quot;-&quot;??_-;_-@_-"/>
    </dxf>
    <dxf>
      <numFmt numFmtId="165" formatCode="_-* #,##0_-;\-* #,##0_-;_-* &quot;-&quot;??_-;_-@_-"/>
    </dxf>
    <dxf>
      <numFmt numFmtId="19" formatCode="dd/mm/yyyy"/>
    </dxf>
    <dxf>
      <numFmt numFmtId="19" formatCode="dd/mm/yyyy"/>
    </dxf>
    <dxf>
      <numFmt numFmtId="165" formatCode="_-* #,##0_-;\-* #,##0_-;_-* &quot;-&quot;??_-;_-@_-"/>
    </dxf>
    <dxf>
      <numFmt numFmtId="165" formatCode="_-* #,##0_-;\-* #,##0_-;_-* &quot;-&quot;??_-;_-@_-"/>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164" formatCode="_-* #,##0.00_-;\-* #,##0.00_-;_-* &quot;-&quot;??_-;_-@_-"/>
    </dxf>
    <dxf>
      <font>
        <strike val="0"/>
        <outline val="0"/>
        <shadow val="0"/>
        <u val="none"/>
        <vertAlign val="baseline"/>
        <sz val="11"/>
        <color theme="1"/>
        <name val="Times New Roman"/>
        <family val="1"/>
        <scheme val="none"/>
      </font>
      <numFmt numFmtId="164" formatCode="_-* #,##0.00_-;\-* #,##0.00_-;_-* &quot;-&quot;??_-;_-@_-"/>
    </dxf>
    <dxf>
      <font>
        <strike val="0"/>
        <outline val="0"/>
        <shadow val="0"/>
        <u val="none"/>
        <vertAlign val="baseline"/>
        <sz val="11"/>
        <color theme="1"/>
        <name val="Times New Roman"/>
        <family val="1"/>
        <scheme val="none"/>
      </font>
      <numFmt numFmtId="164" formatCode="_-* #,##0.00_-;\-* #,##0.00_-;_-* &quot;-&quot;??_-;_-@_-"/>
    </dxf>
    <dxf>
      <font>
        <b val="0"/>
        <i val="0"/>
        <strike val="0"/>
        <condense val="0"/>
        <extend val="0"/>
        <outline val="0"/>
        <shadow val="0"/>
        <u val="none"/>
        <vertAlign val="baseline"/>
        <sz val="11"/>
        <color theme="1"/>
        <name val="Times New Roman"/>
        <family val="1"/>
        <scheme val="none"/>
      </font>
      <numFmt numFmtId="164" formatCode="_-* #,##0.00_-;\-* #,##0.00_-;_-* &quot;-&quot;??_-;_-@_-"/>
    </dxf>
    <dxf>
      <font>
        <b val="0"/>
        <i val="0"/>
        <strike val="0"/>
        <condense val="0"/>
        <extend val="0"/>
        <outline val="0"/>
        <shadow val="0"/>
        <u val="none"/>
        <vertAlign val="baseline"/>
        <sz val="11"/>
        <color theme="1"/>
        <name val="Times New Roman"/>
        <family val="1"/>
        <scheme val="none"/>
      </font>
      <numFmt numFmtId="164" formatCode="_-* #,##0.00_-;\-* #,##0.00_-;_-* &quot;-&quot;??_-;_-@_-"/>
    </dxf>
    <dxf>
      <font>
        <b val="0"/>
        <i val="0"/>
        <strike val="0"/>
        <condense val="0"/>
        <extend val="0"/>
        <outline val="0"/>
        <shadow val="0"/>
        <u val="none"/>
        <vertAlign val="baseline"/>
        <sz val="11"/>
        <color theme="1"/>
        <name val="Times New Roman"/>
        <family val="1"/>
        <scheme val="none"/>
      </font>
      <numFmt numFmtId="164" formatCode="_-* #,##0.00_-;\-* #,##0.00_-;_-* &quot;-&quot;??_-;_-@_-"/>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19" formatCode="dd/mm/yyyy"/>
    </dxf>
    <dxf>
      <font>
        <strike val="0"/>
        <outline val="0"/>
        <shadow val="0"/>
        <u val="none"/>
        <vertAlign val="baseline"/>
        <sz val="11"/>
        <color theme="1"/>
        <name val="Times New Roman"/>
        <family val="1"/>
        <scheme val="none"/>
      </font>
      <numFmt numFmtId="19" formatCode="dd/mm/yyyy"/>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65" formatCode="_-* #,##0_-;\-* #,##0_-;_-* &quot;-&quot;??_-;_-@_-"/>
    </dxf>
    <dxf>
      <font>
        <strike val="0"/>
        <outline val="0"/>
        <shadow val="0"/>
        <u val="none"/>
        <vertAlign val="baseline"/>
        <sz val="11"/>
        <color theme="1"/>
        <name val="Times New Roman"/>
        <family val="1"/>
        <scheme val="none"/>
      </font>
      <numFmt numFmtId="165" formatCode="_-* #,##0_-;\-* #,##0_-;_-* &quot;-&quot;??_-;_-@_-"/>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7A7CE94-C368-4EF2-8A02-E78B951B83B1}" autoFormatId="16" applyNumberFormats="0" applyBorderFormats="0" applyFontFormats="0" applyPatternFormats="0" applyAlignmentFormats="0" applyWidthHeightFormats="0">
  <queryTableRefresh nextId="30" unboundColumnsRight="12">
    <queryTableFields count="20">
      <queryTableField id="1" name="LOAI_TIEN" tableColumnId="1"/>
      <queryTableField id="3" name="TEN_DOITAC" tableColumnId="3"/>
      <queryTableField id="4" name="SODU_QUYDOI" tableColumnId="4"/>
      <queryTableField id="5" name="LAI_CONGDON_QUYDOI" tableColumnId="5"/>
      <queryTableField id="7" name="KYAHAN" tableColumnId="7"/>
      <queryTableField id="8" name="LAISUAT" tableColumnId="8"/>
      <queryTableField id="9" name="NGAYLAP_HD" tableColumnId="9"/>
      <queryTableField id="11" name="NGAY_DAOHAN" tableColumnId="11"/>
      <queryTableField id="14" dataBound="0" tableColumnId="14"/>
      <queryTableField id="15" dataBound="0" tableColumnId="15"/>
      <queryTableField id="16" dataBound="0" tableColumnId="16"/>
      <queryTableField id="19" dataBound="0" tableColumnId="19"/>
      <queryTableField id="18" dataBound="0" tableColumnId="18"/>
      <queryTableField id="29" dataBound="0" tableColumnId="25"/>
      <queryTableField id="28" dataBound="0" tableColumnId="24"/>
      <queryTableField id="27" dataBound="0" tableColumnId="23"/>
      <queryTableField id="13" dataBound="0" tableColumnId="17"/>
      <queryTableField id="20" dataBound="0" tableColumnId="20"/>
      <queryTableField id="21" dataBound="0" tableColumnId="21"/>
      <queryTableField id="26" dataBound="0" tableColumnId="22"/>
    </queryTableFields>
    <queryTableDeletedFields count="5">
      <deletedField name="NGAY_SAOKE"/>
      <deletedField name="LOAIGUI"/>
      <deletedField name="TKGL_GOC"/>
      <deletedField name="MA_DOITAC"/>
      <deletedField name="NGAY_HIEULUC_H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072C381-B42C-4A07-BED1-2DE3C6E1CA24}" autoFormatId="16" applyNumberFormats="0" applyBorderFormats="0" applyFontFormats="0" applyPatternFormats="0" applyAlignmentFormats="0" applyWidthHeightFormats="0">
  <queryTableRefresh nextId="45" unboundColumnsRight="13">
    <queryTableFields count="36">
      <queryTableField id="1" name="STT" tableColumnId="1"/>
      <queryTableField id="3" name="Loại giao dịch" tableColumnId="3"/>
      <queryTableField id="4" name="Mã GTCG" tableColumnId="4"/>
      <queryTableField id="5" name="Loại GTCG" tableColumnId="5"/>
      <queryTableField id="6" name="Loại tiền tệ" tableColumnId="6"/>
      <queryTableField id="7" name="Mệnh giá" tableColumnId="7"/>
      <queryTableField id="8" name="Ngày phát hành" tableColumnId="8"/>
      <queryTableField id="9" name="Ngày đáo hạn" tableColumnId="9"/>
      <queryTableField id="10" name="Kỳ hạn" tableColumnId="10"/>
      <queryTableField id="11" name="Đơn vị kỳ hạn" tableColumnId="11"/>
      <queryTableField id="13" name="Lãi suất phát hành" tableColumnId="13"/>
      <queryTableField id="14" name="Tên đối tác" tableColumnId="14"/>
      <queryTableField id="15" name="Số HĐMB" tableColumnId="15"/>
      <queryTableField id="16" name="Ngày hợp đồng" tableColumnId="16"/>
      <queryTableField id="17" name="Ngày giao dịch lần 1" tableColumnId="17"/>
      <queryTableField id="18" name="Ngày thanh toán lần 1" tableColumnId="18"/>
      <queryTableField id="19" name="Số lượng mua/bán" tableColumnId="19"/>
      <queryTableField id="20" name="Tổng mệnh giá mua/bán" tableColumnId="20"/>
      <queryTableField id="21" name="Giá trị GDHD lần 1" tableColumnId="21"/>
      <queryTableField id="24" name="Lãi suất repo" tableColumnId="24"/>
      <queryTableField id="25" name="Ngày giao dịch lần 2" tableColumnId="25"/>
      <queryTableField id="26" name="Ngày thanh toán lần 2" tableColumnId="26"/>
      <queryTableField id="27" name="Giá trị GDHD lần 2" tableColumnId="27"/>
      <queryTableField id="41" dataBound="0" tableColumnId="42"/>
      <queryTableField id="32" dataBound="0" tableColumnId="32"/>
      <queryTableField id="33" dataBound="0" tableColumnId="33"/>
      <queryTableField id="34" dataBound="0" tableColumnId="34"/>
      <queryTableField id="35" dataBound="0" tableColumnId="35"/>
      <queryTableField id="36" dataBound="0" tableColumnId="36"/>
      <queryTableField id="44" dataBound="0" tableColumnId="44"/>
      <queryTableField id="43" dataBound="0" tableColumnId="43"/>
      <queryTableField id="42" dataBound="0" tableColumnId="41"/>
      <queryTableField id="37" dataBound="0" tableColumnId="37"/>
      <queryTableField id="38" dataBound="0" tableColumnId="38"/>
      <queryTableField id="39" dataBound="0" tableColumnId="39"/>
      <queryTableField id="40" dataBound="0" tableColumnId="40"/>
    </queryTableFields>
    <queryTableDeletedFields count="8">
      <deletedField name="Sổ hạch toán"/>
      <deletedField name="Hình thức trả lãi"/>
      <deletedField name="Phí trong lần 2"/>
      <deletedField name="Phí ngoài lần 2"/>
      <deletedField name="Số tiền lãi"/>
      <deletedField name="Dự thu/dự chi lũy kế tại ngày báo cáo"/>
      <deletedField name="Phí trong lần 1"/>
      <deletedField name="Phí ngoài lần 1"/>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C37B717-3B32-475C-A329-96FB6405F1D5}" autoFormatId="16" applyNumberFormats="0" applyBorderFormats="0" applyFontFormats="0" applyPatternFormats="0" applyAlignmentFormats="0" applyWidthHeightFormats="0">
  <queryTableRefresh nextId="40">
    <queryTableFields count="10">
      <queryTableField id="21" name="Column1" tableColumnId="11"/>
      <queryTableField id="31" name="ON" tableColumnId="1"/>
      <queryTableField id="32" name="1W" tableColumnId="2"/>
      <queryTableField id="33" name="2W" tableColumnId="3"/>
      <queryTableField id="34" name="1M" tableColumnId="4"/>
      <queryTableField id="35" name="2M" tableColumnId="5"/>
      <queryTableField id="36" name="3M" tableColumnId="6"/>
      <queryTableField id="37" name="6M" tableColumnId="7"/>
      <queryTableField id="38" name="9M" tableColumnId="8"/>
      <queryTableField id="39" name="1Y"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8A423-5B76-4E89-B747-512C9D4407E7}" name="Sheet1" displayName="Sheet1" ref="A1:T4" tableType="queryTable" totalsRowShown="0" headerRowDxfId="54" dataDxfId="53">
  <autoFilter ref="A1:T4" xr:uid="{DAA8A423-5B76-4E89-B747-512C9D4407E7}"/>
  <tableColumns count="20">
    <tableColumn id="1" xr3:uid="{EADB9024-44BF-4F17-B036-76EFC4432794}" uniqueName="1" name="Loại tiền" queryTableFieldId="1" dataDxfId="52"/>
    <tableColumn id="3" xr3:uid="{74E79387-A216-40C6-B362-EEB6F3BFB2E2}" uniqueName="3" name="Tên đối tác" queryTableFieldId="3" dataDxfId="51"/>
    <tableColumn id="4" xr3:uid="{26958789-42AA-4550-9062-7ED15167A669}" uniqueName="4" name="Số dư " queryTableFieldId="4" dataDxfId="50" dataCellStyle="Comma"/>
    <tableColumn id="5" xr3:uid="{6A4BAF22-52FB-48AB-93A3-93A70C7DC9E2}" uniqueName="5" name="Hình thức giao dịch" queryTableFieldId="5" dataDxfId="49" dataCellStyle="Comma"/>
    <tableColumn id="7" xr3:uid="{A5DA4743-D51A-4A6F-A1CB-078BE98FB1CE}" uniqueName="7" name="Kỳ hạn" queryTableFieldId="7" dataDxfId="48"/>
    <tableColumn id="8" xr3:uid="{7BD9907E-8261-4876-A9B7-52CA37164F5B}" uniqueName="8" name="Lãi suất" queryTableFieldId="8" dataDxfId="47"/>
    <tableColumn id="9" xr3:uid="{81F44C6A-560A-4460-B88E-08AD23CDFD53}" uniqueName="9" name="Ngày hiệu lực HĐ" queryTableFieldId="9" dataDxfId="46"/>
    <tableColumn id="11" xr3:uid="{2CFD6AF8-C72C-4479-B5C0-E73465292265}" uniqueName="11" name="Ngày đáo hạn" queryTableFieldId="11" dataDxfId="45"/>
    <tableColumn id="14" xr3:uid="{3B5FAC57-4E60-49CE-843D-3033605BDB68}" uniqueName="14" name="Mã kỳ hạn chuẩn" queryTableFieldId="14" dataDxfId="44">
      <calculatedColumnFormula>IFERROR(VLOOKUP(Sheet1[[#This Row],[Kỳ hạn]],'Thang kỳ hạn MM'!$A$1:$C$66,3,0),"Kỳ hạn lẻ")</calculatedColumnFormula>
    </tableColumn>
    <tableColumn id="15" xr3:uid="{4C1D17E5-38FE-466C-B8F2-33EF720B4571}" uniqueName="15" name="Kỳ hạn VNIBOR chuẩn (shorter)" queryTableFieldId="15" dataDxfId="4">
      <calculatedColumnFormula>IF(Sheet1[[#This Row],[Mã kỳ hạn chuẩn]]="Kỳ hạn lẻ",IFERROR(
_xlfn.IFS(Sheet1[[#This Row],[Kỳ hạn]]&gt;365,365,
Sheet1[[#This Row],[Kỳ hạn]]&gt;270,270,
Sheet1[[#This Row],[Kỳ hạn]]&gt;180,180,
Sheet1[[#This Row],[Kỳ hạn]]&gt;90,90,
Sheet1[[#This Row],[Kỳ hạn]]&gt;60,60,
Sheet1[[#This Row],[Kỳ hạn]]&gt;30,30,
Sheet1[[#This Row],[Kỳ hạn]]&gt;14,14,
Sheet1[[#This Row],[Kỳ hạn]]&gt;7,7,
Sheet1[[#This Row],[Kỳ hạn]]&gt;1,1),0),"")</calculatedColumnFormula>
    </tableColumn>
    <tableColumn id="16" xr3:uid="{6B0C0BA2-36DD-49B0-842F-6574F708B5B7}" uniqueName="16" name="Kỳ hạn VNIBOR chuẩn (longer)" queryTableFieldId="16" dataDxfId="3">
      <calculatedColumnFormula>IF(Sheet1[[#This Row],[Mã kỳ hạn chuẩn]]="Kỳ hạn lẻ",IFERROR(
_xlfn.IFS(Sheet1[[#This Row],[Kỳ hạn]]&lt;1,1,
Sheet1[[#This Row],[Kỳ hạn]]&lt;7,7,
Sheet1[[#This Row],[Kỳ hạn]]&lt;14,14,
Sheet1[[#This Row],[Kỳ hạn]]&lt;30,30,
Sheet1[[#This Row],[Kỳ hạn]]&lt;60,60,
Sheet1[[#This Row],[Kỳ hạn]]&lt;90,90,
Sheet1[[#This Row],[Kỳ hạn]]&lt;180,180,
Sheet1[[#This Row],[Kỳ hạn]]&lt;270,270,
Sheet1[[#This Row],[Kỳ hạn]]&lt;365,365),
0),"")</calculatedColumnFormula>
    </tableColumn>
    <tableColumn id="19" xr3:uid="{2DA6945A-AEFF-4E03-BC9F-034037B74AC3}" uniqueName="19" name="LS VNIBOR chuẩn (shorter)" queryTableFieldId="19" dataDxfId="43" dataCellStyle="Comma">
      <calculatedColumnFormula>IF(Sheet1[[#This Row],[Mã kỳ hạn chuẩn]]="Kỳ hạn lẻ",_xlfn.SWITCH(Sheet1[[#This Row],[Kỳ hạn VNIBOR chuẩn (shorter)]],1,VLOOKUP(Sheet1[[#This Row],[Ngày hiệu lực HĐ]],'Data VNIBOR'!$A$1:$B$1254,3,0),7,VLOOKUP(Sheet1[[#This Row],[Ngày hiệu lực HĐ]],'Data VNIBOR'!$A$1:$B$1254,4,0),14,VLOOKUP(Sheet1[[#This Row],[Ngày hiệu lực HĐ]],'Data VNIBOR'!$A$1:$B$1254,5,0),30,VLOOKUP(Sheet1[[#This Row],[Ngày hiệu lực HĐ]],'Data VNIBOR'!$A$1:$B$1254,6,0),60,VLOOKUP(Sheet1[[#This Row],[Ngày hiệu lực HĐ]],'Data VNIBOR'!$A$1:$B$1254,7,0),90,VLOOKUP(Sheet1[[#This Row],[Ngày hiệu lực HĐ]],'Data VNIBOR'!$A$1:$B$1254,8,0),180,VLOOKUP(Sheet1[[#This Row],[Ngày hiệu lực HĐ]],'Data VNIBOR'!$A$1:$B$1254,9,0),270,VLOOKUP(Sheet1[[#This Row],[Ngày hiệu lực HĐ]],'Data VNIBOR'!$A$1:$B$1254,10,0),365,VLOOKUP(Sheet1[[#This Row],[Ngày hiệu lực HĐ]],'Data VNIBOR'!$A$1:$B$1254,11,0)),"")</calculatedColumnFormula>
    </tableColumn>
    <tableColumn id="18" xr3:uid="{28A133C4-9A51-41DB-89DC-0DEB926116AC}" uniqueName="18" name="LS VNIBOR chuẩn (longer)" queryTableFieldId="18" dataDxfId="42" dataCellStyle="Comma">
      <calculatedColumnFormula>IF(Sheet1[[#This Row],[Mã kỳ hạn chuẩn]]="Kỳ hạn lẻ",_xlfn.SWITCH(Sheet1[[#This Row],[Kỳ hạn VNIBOR chuẩn (longer)]],1,VLOOKUP(Sheet1[[#This Row],[Ngày hiệu lực HĐ]],'Data VNIBOR'!$A$1:$B$1254,3,0),7,VLOOKUP(Sheet1[[#This Row],[Ngày hiệu lực HĐ]],'Data VNIBOR'!$A$1:$B$1254,4,0),14,VLOOKUP(Sheet1[[#This Row],[Ngày hiệu lực HĐ]],'Data VNIBOR'!$A$1:$B$1254,5,0),30,VLOOKUP(Sheet1[[#This Row],[Ngày hiệu lực HĐ]],'Data VNIBOR'!$A$1:$B$1254,6,0),60,VLOOKUP(Sheet1[[#This Row],[Ngày hiệu lực HĐ]],'Data VNIBOR'!$A$1:$B$1254,7,0),90,VLOOKUP(Sheet1[[#This Row],[Ngày hiệu lực HĐ]],'Data VNIBOR'!$A$1:$B$1254,8,0),180,VLOOKUP(Sheet1[[#This Row],[Ngày hiệu lực HĐ]],'Data VNIBOR'!$A$1:$B$1254,9,0),270,VLOOKUP(Sheet1[[#This Row],[Ngày hiệu lực HĐ]],'Data VNIBOR'!$A$1:$B$1254,10,0),365,VLOOKUP(Sheet1[[#This Row],[Ngày hiệu lực HĐ]],'Data VNIBOR'!$A$1:$B$1254,11,0)),"")</calculatedColumnFormula>
    </tableColumn>
    <tableColumn id="25" xr3:uid="{6CDF67CC-90DC-4013-8B5E-9D7ACED2F846}" uniqueName="25" name="Biên độ chuẩn (shorter)" queryTableFieldId="29" dataDxfId="41" dataCellStyle="Comma">
      <calculatedColumnFormula>IF(Sheet1[[#This Row],[Mã kỳ hạn chuẩn]]="Kỳ hạn lẻ",_xlfn.SWITCH(Sheet1[[#This Row],[Kỳ hạn VNIBOR chuẩn (shorter)]],1,'Biên độ MM, Repo'!$C$2,7,'Biên độ MM, Repo'!$C$3,14,'Biên độ MM, Repo'!$C$4,30,'Biên độ MM, Repo'!$C$5,60,'Biên độ MM, Repo'!$C$6,90,'Biên độ MM, Repo'!$C$7,180,'Biên độ MM, Repo'!$C$8,270,'Biên độ MM, Repo'!$C$9,365,'Biên độ MM, Repo'!$C$10),0)</calculatedColumnFormula>
    </tableColumn>
    <tableColumn id="24" xr3:uid="{86F2D8DF-C946-4E94-BA3D-19E860F6A864}" uniqueName="24" name="Biên độ chuẩn (longer)" queryTableFieldId="28" dataDxfId="40" dataCellStyle="Comma">
      <calculatedColumnFormula>IF(Sheet1[[#This Row],[Mã kỳ hạn chuẩn]]="Kỳ hạn lẻ",_xlfn.SWITCH(Sheet1[[#This Row],[Kỳ hạn VNIBOR chuẩn (longer)]],1,'Biên độ MM, Repo'!$C$2,7,'Biên độ MM, Repo'!$C$3,14,'Biên độ MM, Repo'!$C$4,30,'Biên độ MM, Repo'!$C$5,60,'Biên độ MM, Repo'!$C$6,90,'Biên độ MM, Repo'!$C$7,180,'Biên độ MM, Repo'!$C$8,270,'Biên độ MM, Repo'!$C$9,365,'Biên độ MM, Repo'!$C$10),0)</calculatedColumnFormula>
    </tableColumn>
    <tableColumn id="23" xr3:uid="{5F52F412-8F3E-433F-879E-C18EB1E9FAC9}" uniqueName="23" name="Biên độ" queryTableFieldId="27" dataDxfId="39" dataCellStyle="Comma">
      <calculatedColumnFormula>IF(Sheet1[[#This Row],[Mã kỳ hạn chuẩn]]="Kỳ hạn lẻ",_xlfn.FORECAST.LINEAR(Sheet1[[#This Row],[Kỳ hạn]],Sheet1[[#This Row],[Biên độ chuẩn (shorter)]:[Biên độ chuẩn (longer)]],Sheet1[[#This Row],[Kỳ hạn VNIBOR chuẩn (shorter)]:[Kỳ hạn VNIBOR chuẩn (longer)]]),VLOOKUP(Sheet1[[#This Row],[Mã kỳ hạn chuẩn]],'Biên độ MM, Repo'!$B$1:$D$10,2,0))</calculatedColumnFormula>
    </tableColumn>
    <tableColumn id="17" xr3:uid="{A78D90BF-4AE8-4E23-AAA6-CC206B95AEFF}" uniqueName="17" name="Lãi suất tham chiếu" queryTableFieldId="13" dataDxfId="38" dataCellStyle="Comma">
      <calculatedColumnFormula>IF(Sheet1[[#This Row],[Mã kỳ hạn chuẩn]]="Kỳ hạn lẻ",_xlfn.FORECAST.LINEAR(Sheet1[[#This Row],[Kỳ hạn]],Sheet1[[#This Row],[LS VNIBOR chuẩn (shorter)]:[LS VNIBOR chuẩn (longer)]],Sheet1[[#This Row],[Kỳ hạn VNIBOR chuẩn (shorter)]:[Kỳ hạn VNIBOR chuẩn (longer)]]),INDEX('Data VNIBOR'!$A$1:$K$1254,MATCH(Sheet1[[#This Row],[Ngày hiệu lực HĐ]],'Data VNIBOR'!$A$1:$A$1254,0),MATCH(Sheet1[[#This Row],[Mã kỳ hạn chuẩn]],'Data VNIBOR'!$A$1:$K$1,0)))</calculatedColumnFormula>
    </tableColumn>
    <tableColumn id="20" xr3:uid="{9FFE801F-5A96-44E5-AF73-D1F89E10B3E7}" uniqueName="20" name="Lãi suất tham chiếu lớn nhất" queryTableFieldId="20" dataDxfId="37" dataCellStyle="Comma">
      <calculatedColumnFormula>Sheet1[[#This Row],[Lãi suất tham chiếu]]+Sheet1[[#This Row],[Biên độ]]</calculatedColumnFormula>
    </tableColumn>
    <tableColumn id="21" xr3:uid="{A98081ED-698B-4601-B796-91F10A87EE40}" uniqueName="21" name="Lãi suất tham chiếu nhỏ nhất" queryTableFieldId="21" dataDxfId="36" dataCellStyle="Comma">
      <calculatedColumnFormula>Sheet1[[#This Row],[Lãi suất tham chiếu]]-Sheet1[[#This Row],[Biên độ]]</calculatedColumnFormula>
    </tableColumn>
    <tableColumn id="22" xr3:uid="{6BFE6449-0DE5-4D31-A717-01F70D2A72D4}" uniqueName="22" name="Đánh giá" queryTableFieldId="26" dataDxfId="35">
      <calculatedColumnFormula>IF(OR(Sheet1[[#This Row],[Lãi suất]]&gt;Sheet1[[#This Row],[Lãi suất tham chiếu lớn nhất]],Sheet1[[#This Row],[Lãi suất]]&lt;Sheet1[[#This Row],[Lãi suất tham chiếu nhỏ nhất]]),"Lãi suất phi thị trường","GD Hợp lý")</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3F4182-0438-462A-BEA2-35E57BAD671D}" name="Sheet_1" displayName="Sheet_1" ref="A1:AJ6" tableType="queryTable" totalsRowShown="0">
  <autoFilter ref="A1:AJ6" xr:uid="{F03F4182-0438-462A-BEA2-35E57BAD671D}"/>
  <tableColumns count="36">
    <tableColumn id="1" xr3:uid="{C46C120E-C160-48CA-8AA0-0AC27EA74F7F}" uniqueName="1" name="STT" queryTableFieldId="1"/>
    <tableColumn id="3" xr3:uid="{F9A453BC-9EAE-4FA2-A249-D4CA3295D320}" uniqueName="3" name="Loại giao dịch" queryTableFieldId="3" dataDxfId="34"/>
    <tableColumn id="4" xr3:uid="{EAAE4A6B-5B97-49C2-AC74-4DE4C3BF421E}" uniqueName="4" name="Mã GTCG" queryTableFieldId="4" dataDxfId="33"/>
    <tableColumn id="5" xr3:uid="{DC37AB7E-824B-423A-AADC-D9E24D6FCBC7}" uniqueName="5" name="Loại GTCG" queryTableFieldId="5" dataDxfId="32"/>
    <tableColumn id="6" xr3:uid="{ADE2FDC3-6C87-45C6-9081-9743CE7B9F30}" uniqueName="6" name="Loại tiền tệ" queryTableFieldId="6" dataDxfId="31"/>
    <tableColumn id="7" xr3:uid="{3BB79E2B-7439-4920-A7A9-C1398F1565B3}" uniqueName="7" name="Mệnh giá" queryTableFieldId="7"/>
    <tableColumn id="8" xr3:uid="{D789E878-0D70-4B88-917B-1F83C2D3AD0B}" uniqueName="8" name="Ngày phát hành" queryTableFieldId="8" dataDxfId="30"/>
    <tableColumn id="9" xr3:uid="{BE66795C-EBB1-4ECD-9706-E80709328A42}" uniqueName="9" name="Ngày đáo hạn" queryTableFieldId="9" dataDxfId="29"/>
    <tableColumn id="10" xr3:uid="{41A72008-E6D4-4A89-A2A0-E9AAF720E5D2}" uniqueName="10" name="Kỳ hạn" queryTableFieldId="10"/>
    <tableColumn id="11" xr3:uid="{EBF8E650-8B2F-4C92-8CC7-3DB1C41DE72E}" uniqueName="11" name="Đơn vị kỳ hạn" queryTableFieldId="11" dataDxfId="28"/>
    <tableColumn id="13" xr3:uid="{825B1658-0774-4050-85A2-1D3EDF875702}" uniqueName="13" name="Lãi suất phát hành" queryTableFieldId="13"/>
    <tableColumn id="14" xr3:uid="{8DF7F476-AC86-46F0-9B44-9197290C2C62}" uniqueName="14" name="Tên đối tác" queryTableFieldId="14" dataDxfId="27"/>
    <tableColumn id="15" xr3:uid="{E38573E7-3846-47FF-90A3-1C8E8E1972FF}" uniqueName="15" name="Số HĐMB" queryTableFieldId="15" dataDxfId="26"/>
    <tableColumn id="16" xr3:uid="{CC7912D7-B4FC-400E-88C9-FBCA5CBD2526}" uniqueName="16" name="Ngày hợp đồng" queryTableFieldId="16" dataDxfId="25"/>
    <tableColumn id="17" xr3:uid="{13769DFC-2777-4DD0-9B3E-7EB7669ABD2B}" uniqueName="17" name="Ngày giao dịch lần 1" queryTableFieldId="17" dataDxfId="24"/>
    <tableColumn id="18" xr3:uid="{0E00B994-232C-4A1D-9B09-54BC65B681EC}" uniqueName="18" name="Ngày thanh toán lần 1" queryTableFieldId="18" dataDxfId="23"/>
    <tableColumn id="19" xr3:uid="{48187011-28AE-4C46-A423-C914627AE68F}" uniqueName="19" name="Số lượng mua/bán" queryTableFieldId="19"/>
    <tableColumn id="20" xr3:uid="{9F356E84-BA4D-45ED-B7BD-39B885D6E17E}" uniqueName="20" name="Tổng mệnh giá mua/bán" queryTableFieldId="20" dataDxfId="22" dataCellStyle="Comma"/>
    <tableColumn id="21" xr3:uid="{407464FF-BE6C-482D-85C5-D5F4127A38B8}" uniqueName="21" name="Giá trị GDHD lần 1" queryTableFieldId="21" dataDxfId="21" dataCellStyle="Comma"/>
    <tableColumn id="24" xr3:uid="{BC0FF55C-A7BB-4D1B-82C6-2CCD885B5210}" uniqueName="24" name="Lãi suất repo" queryTableFieldId="24"/>
    <tableColumn id="25" xr3:uid="{B3D2B369-E7E4-40A9-9EA8-2168D9AE76E6}" uniqueName="25" name="Ngày giao dịch lần 2" queryTableFieldId="25" dataDxfId="20" dataCellStyle="Comma"/>
    <tableColumn id="26" xr3:uid="{5B70AA5D-7BC2-4259-9A9E-DF3D8AFBD44F}" uniqueName="26" name="Ngày thanh toán lần 2" queryTableFieldId="26" dataDxfId="19" dataCellStyle="Comma"/>
    <tableColumn id="27" xr3:uid="{3E36E7F9-D1E5-4473-B53F-452B62F19009}" uniqueName="27" name="Giá trị GDHD lần 2" queryTableFieldId="27" dataDxfId="18" dataCellStyle="Comma"/>
    <tableColumn id="42" xr3:uid="{71D55490-177B-4D6D-AA9E-0A58A1F2C262}" uniqueName="42" name="Kỳ hạn còn lại" queryTableFieldId="41" dataDxfId="17" dataCellStyle="Comma">
      <calculatedColumnFormula>Sheet_1[[#This Row],[Ngày giao dịch lần 2]]-Sheet_1[[#This Row],[Ngày giao dịch lần 1]]</calculatedColumnFormula>
    </tableColumn>
    <tableColumn id="32" xr3:uid="{B3C90B7A-7223-4675-A0D8-BFAF3C14AC5A}" uniqueName="32" name="Mã kỳ hạn chuẩn" queryTableFieldId="32" dataDxfId="16">
      <calculatedColumnFormula>IFERROR(VLOOKUP(Sheet_1[[#This Row],[Kỳ hạn còn lại]],'Thang kỳ hạn Repo'!$A$1:$B$63,2,0),"Kỳ hạn lẻ")</calculatedColumnFormula>
    </tableColumn>
    <tableColumn id="33" xr3:uid="{604C4967-CFA4-4EDA-B7FF-DA76C92982B5}" uniqueName="33" name="Kỳ hạn Repo chuẩn (shorter)" queryTableFieldId="33" dataDxfId="2">
      <calculatedColumnFormula>IF(Sheet_1[[#This Row],[Mã kỳ hạn chuẩn]]="Kỳ hạn lẻ",IFERROR(
_xlfn.IFS(Sheet_1[[#This Row],[Kỳ hạn còn lại]]&gt;365,365,
Sheet_1[[#This Row],[Kỳ hạn còn lại]]&gt;270,270,
Sheet_1[[#This Row],[Kỳ hạn còn lại]]&gt;180,180,
Sheet_1[[#This Row],[Kỳ hạn còn lại]]&gt;90,90,
Sheet_1[[#This Row],[Kỳ hạn còn lại]]&gt;60,60,
Sheet_1[[#This Row],[Kỳ hạn còn lại]]&gt;30,30,
Sheet_1[[#This Row],[Kỳ hạn còn lại]]&gt;14,14,
Sheet_1[[#This Row],[Kỳ hạn còn lại]]&gt;7,7,
Sheet_1[[#This Row],[Kỳ hạn còn lại]]&gt;1,1),0),"")</calculatedColumnFormula>
    </tableColumn>
    <tableColumn id="34" xr3:uid="{27A384C1-03F5-4332-ACA2-CECC8407C9E6}" uniqueName="34" name="Kỳ hạn Repo chuẩn (longer)" queryTableFieldId="34" dataDxfId="1">
      <calculatedColumnFormula>IF(Sheet_1[[#This Row],[Mã kỳ hạn chuẩn]]="Kỳ hạn lẻ",IFERROR(
_xlfn.IFS(Sheet_1[[#This Row],[Kỳ hạn còn lại]]&lt;1,1,
Sheet_1[[#This Row],[Kỳ hạn còn lại]]&lt;7,7,
Sheet_1[[#This Row],[Kỳ hạn còn lại]]&lt;14,14,
Sheet_1[[#This Row],[Kỳ hạn còn lại]]&lt;30,30,
Sheet_1[[#This Row],[Kỳ hạn còn lại]]&lt;60,60,
Sheet_1[[#This Row],[Kỳ hạn còn lại]]&lt;90,90,
Sheet_1[[#This Row],[Kỳ hạn còn lại]]&lt;180,180,
Sheet_1[[#This Row],[Kỳ hạn còn lại]]&lt;270,270,
Sheet_1[[#This Row],[Kỳ hạn còn lại]]&lt;365,365),
0),"")</calculatedColumnFormula>
    </tableColumn>
    <tableColumn id="35" xr3:uid="{0DA4AFF4-2363-41FB-8490-53A4BE4EA63B}" uniqueName="35" name="LS Repo chuẩn (shorter)" queryTableFieldId="35" dataDxfId="15">
      <calculatedColumnFormula>IF(Sheet_1[[#This Row],[Mã kỳ hạn chuẩn]]="Kỳ hạn lẻ",_xlfn.SWITCH(Sheet_1[[#This Row],[Kỳ hạn Repo chuẩn (shorter)]],14,VLOOKUP(Sheet_1[[#This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calculatedColumnFormula>
    </tableColumn>
    <tableColumn id="36" xr3:uid="{74B39C5E-EE57-44B4-9A27-7E8E998F41A2}" uniqueName="36" name="LS Repo chuẩn (longer)" queryTableFieldId="36" dataDxfId="14">
      <calculatedColumnFormula>IF(Sheet_1[[#This Row],[Mã kỳ hạn chuẩn]]="Kỳ hạn lẻ",_xlfn.SWITCH(Sheet_1[[#This Row],[Kỳ hạn Repo chuẩn (longer)]],14,VLOOKUP(Sheet_1[[#This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calculatedColumnFormula>
    </tableColumn>
    <tableColumn id="44" xr3:uid="{2BCA1B27-0513-4CC6-8A32-228A3B547EB0}" uniqueName="44" name="Biên độ chuẩn (shorter)" queryTableFieldId="44" dataDxfId="13">
      <calculatedColumnFormula>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calculatedColumnFormula>
    </tableColumn>
    <tableColumn id="43" xr3:uid="{85165C58-6F1E-48D3-85D6-AC89597A8124}" uniqueName="43" name="Biên độ chuẩn (longer)" queryTableFieldId="43" dataDxfId="12">
      <calculatedColumnFormula>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calculatedColumnFormula>
    </tableColumn>
    <tableColumn id="41" xr3:uid="{CF36C3EA-39A0-4B74-8DA9-9CC3CC31A451}" uniqueName="41" name="Biên độ" queryTableFieldId="42" dataDxfId="11">
      <calculatedColumnFormula>IF(Sheet_1[[#This Row],[Mã kỳ hạn chuẩn]]="Kỳ hạn lẻ",_xlfn.FORECAST.LINEAR(Sheet_1[[#This Row],[Kỳ hạn còn lại]],Sheet_1[[#This Row],[Biên độ chuẩn (shorter)]:[Biên độ chuẩn (longer)]],Sheet_1[[#This Row],[Kỳ hạn Repo chuẩn (shorter)]:[Kỳ hạn Repo chuẩn (longer)]]),VLOOKUP(Sheet_1[[#This Row],[Mã kỳ hạn chuẩn]],'Biên độ MM, Repo'!$B$2:$D$10,3,0))</calculatedColumnFormula>
    </tableColumn>
    <tableColumn id="37" xr3:uid="{54FD7F57-2CD9-4931-A454-8F1273CBB2EB}" uniqueName="37" name="Lãi suất tham chiếu" queryTableFieldId="37" dataDxfId="10" dataCellStyle="Comma">
      <calculatedColumnFormula>IF(Sheet_1[[#This Row],[Mã kỳ hạn chuẩn]]="Kỳ hạn lẻ",_xlfn.FORECAST.LINEAR(Sheet_1[[#This Row],[Kỳ hạn còn lại]],Sheet_1[[#This Row],[LS Repo chuẩn (shorter)]:[LS Repo chuẩn (longer)]],Sheet_1[[#This Row],[Kỳ hạn Repo chuẩn (shorter)]:[Kỳ hạn Repo chuẩn (longer)]]),INDEX('Data Repo'!$A:$I,MATCH(Sheet_1[[#This Row],[Ngày giao dịch lần 1]],'Data Repo'!A:A,0),MATCH(Sheet_1[[#This Row],[Kỳ hạn còn lại]],'Data Repo'!$A$1:$I$1,0)))</calculatedColumnFormula>
    </tableColumn>
    <tableColumn id="38" xr3:uid="{E1C4FF20-70EB-41EC-8566-74960861FBD2}" uniqueName="38" name="Lãi suất tham chiếu lớn nhất" queryTableFieldId="38" dataDxfId="9">
      <calculatedColumnFormula>Sheet_1[[#This Row],[Lãi suất tham chiếu]]+Sheet_1[[#This Row],[Biên độ]]</calculatedColumnFormula>
    </tableColumn>
    <tableColumn id="39" xr3:uid="{223CD092-28C8-4A07-86E4-590E1CBA6877}" uniqueName="39" name="Lãi suất tham chiếu nhỏ nhất" queryTableFieldId="39" dataDxfId="8">
      <calculatedColumnFormula>Sheet_1[[#This Row],[Lãi suất tham chiếu]]-Sheet_1[[#This Row],[Biên độ]]</calculatedColumnFormula>
    </tableColumn>
    <tableColumn id="40" xr3:uid="{D32C3802-3040-4634-AEAA-B4B45BE8435D}" uniqueName="40" name="Đánh giá QLRRTT" queryTableFieldId="40" dataDxfId="0">
      <calculatedColumnFormula>IF(Sheet_1[[#This Row],[Lãi suất repo]]&gt;Sheet_1[[#This Row],[Lãi suất tham chiếu lớn nhất]],"Giao dịch bất lợi cho VCBNeo",IF(Sheet_1[[#This Row],[Lãi suất repo]]&lt;Sheet_1[[#This Row],[Lãi suất tham chiếu nhỏ nhất]],"Giao dịch có lợi cho VCBNeo","GD Hợp lý"))</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AF680C-2E24-4C92-A777-BCE986F1DA33}" name="VNIBOR_VND" displayName="VNIBOR_VND" ref="B1:K1254" tableType="queryTable" totalsRowShown="0" headerRowDxfId="7" dataDxfId="6">
  <autoFilter ref="B1:K1254" xr:uid="{6CAF680C-2E24-4C92-A777-BCE986F1DA33}"/>
  <tableColumns count="10">
    <tableColumn id="11" xr3:uid="{1D049E19-EA0C-4C2C-B9A9-76B9EF4887CC}" uniqueName="11" name="Column1" queryTableFieldId="21" dataDxfId="5"/>
    <tableColumn id="1" xr3:uid="{626F2518-6D11-4BE7-9729-D8934D981FA0}" uniqueName="1" name="ON" queryTableFieldId="31"/>
    <tableColumn id="2" xr3:uid="{B3FA5D18-CBB3-49E7-896D-D649D2D2193F}" uniqueName="2" name="1W" queryTableFieldId="32"/>
    <tableColumn id="3" xr3:uid="{AB684944-B68E-4ACB-B286-DC9BAF3248D3}" uniqueName="3" name="2W" queryTableFieldId="33"/>
    <tableColumn id="4" xr3:uid="{D53F561E-01F4-43CF-B9F7-A39404F47EDA}" uniqueName="4" name="1M" queryTableFieldId="34"/>
    <tableColumn id="5" xr3:uid="{BDB69758-3CD6-4F13-81AD-B8B93E909ED1}" uniqueName="5" name="2M" queryTableFieldId="35"/>
    <tableColumn id="6" xr3:uid="{C37C45A8-7531-4876-9203-9CBDC0C6A2F3}" uniqueName="6" name="3M" queryTableFieldId="36"/>
    <tableColumn id="7" xr3:uid="{E76AA7CB-444C-4954-82D8-F7D53302FBEA}" uniqueName="7" name="6M" queryTableFieldId="37"/>
    <tableColumn id="8" xr3:uid="{C667FFB8-3512-4EFA-91DE-23F095D71EBD}" uniqueName="8" name="9M" queryTableFieldId="38"/>
    <tableColumn id="9" xr3:uid="{78820B55-C7D4-4691-961A-0CC1FDBE3A02}" uniqueName="9" name="1Y" queryTableField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E537-8FBC-4639-A8B0-4B0A2C1E3B98}">
  <dimension ref="A1:J6"/>
  <sheetViews>
    <sheetView workbookViewId="0"/>
  </sheetViews>
  <sheetFormatPr defaultRowHeight="15" x14ac:dyDescent="0.25"/>
  <cols>
    <col min="1" max="1" width="4.7109375" style="5" bestFit="1" customWidth="1"/>
    <col min="2" max="2" width="36.7109375" style="5" bestFit="1" customWidth="1"/>
    <col min="3" max="3" width="10.140625" style="5" bestFit="1" customWidth="1"/>
    <col min="4" max="4" width="10.5703125" style="5" customWidth="1"/>
    <col min="5" max="5" width="18.85546875" style="8" bestFit="1" customWidth="1"/>
    <col min="6" max="10" width="15.42578125" style="5" customWidth="1"/>
    <col min="11" max="16384" width="9.140625" style="2"/>
  </cols>
  <sheetData>
    <row r="1" spans="1:10" x14ac:dyDescent="0.25">
      <c r="A1" s="2"/>
      <c r="B1" s="5" t="s">
        <v>34</v>
      </c>
      <c r="C1" s="12">
        <v>45597</v>
      </c>
      <c r="E1" s="8" t="s">
        <v>9</v>
      </c>
      <c r="F1" s="12" t="str">
        <f>TEXT(C1-1,"DD/mm/yyyy")</f>
        <v>31/10/2024</v>
      </c>
    </row>
    <row r="2" spans="1:10" x14ac:dyDescent="0.25">
      <c r="A2" s="2"/>
      <c r="B2" s="5" t="s">
        <v>29</v>
      </c>
      <c r="C2" s="12"/>
      <c r="D2" s="5" t="s">
        <v>31</v>
      </c>
      <c r="E2" s="8" t="s">
        <v>30</v>
      </c>
      <c r="F2" s="12" t="s">
        <v>32</v>
      </c>
      <c r="G2" s="5" t="s">
        <v>3</v>
      </c>
      <c r="H2" s="5" t="s">
        <v>26</v>
      </c>
      <c r="I2" s="5" t="s">
        <v>27</v>
      </c>
    </row>
    <row r="3" spans="1:10" ht="30" x14ac:dyDescent="0.25">
      <c r="A3" s="4" t="s">
        <v>1</v>
      </c>
      <c r="B3" s="4" t="s">
        <v>8</v>
      </c>
      <c r="C3" s="4" t="s">
        <v>22</v>
      </c>
      <c r="D3" s="4" t="s">
        <v>7</v>
      </c>
      <c r="E3" s="7" t="s">
        <v>23</v>
      </c>
      <c r="F3" s="4" t="s">
        <v>24</v>
      </c>
      <c r="G3" s="4" t="s">
        <v>25</v>
      </c>
      <c r="H3" s="4" t="s">
        <v>26</v>
      </c>
      <c r="I3" s="4" t="s">
        <v>27</v>
      </c>
      <c r="J3" s="4" t="s">
        <v>28</v>
      </c>
    </row>
    <row r="4" spans="1:10" x14ac:dyDescent="0.25">
      <c r="A4" s="5">
        <f>ROW()-3</f>
        <v>1</v>
      </c>
      <c r="B4" s="6" t="e">
        <f>INDEX(Sheet1[#All],MATCH($F$1,Sheet1[[#All],[Ngày hiệu lực HĐ]],0),MATCH('Báo cáo hàng ngày'!$B$2,Sheet1[#Headers],0))</f>
        <v>#N/A</v>
      </c>
      <c r="D4" s="5">
        <v>7</v>
      </c>
      <c r="E4" s="8">
        <v>150000000000</v>
      </c>
    </row>
    <row r="5" spans="1:10" x14ac:dyDescent="0.25">
      <c r="B5" s="6" t="e">
        <f>INDEX(Sheet1[#All],MATCH($F$1,Sheet1[[#All],[Ngày hiệu lực HĐ]],0),MATCH('Báo cáo hàng ngày'!$B$2,Sheet1[#Headers],0))</f>
        <v>#N/A</v>
      </c>
      <c r="D5" s="5">
        <v>5</v>
      </c>
      <c r="E5" s="8">
        <v>150000000000</v>
      </c>
    </row>
    <row r="6" spans="1:10" x14ac:dyDescent="0.25">
      <c r="B6" s="6" t="e">
        <f>INDEX(Sheet1[#All],MATCH($F$1,Sheet1[[#All],[Ngày hiệu lực HĐ]],0),MATCH('Báo cáo hàng ngày'!$B$2,Sheet1[#Headers],0))</f>
        <v>#N/A</v>
      </c>
      <c r="D6" s="5">
        <v>6</v>
      </c>
      <c r="E6" s="8">
        <v>150000000000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2EDE2-ADA1-4D4A-8275-6DAED77C5FB7}">
  <dimension ref="A1:D24"/>
  <sheetViews>
    <sheetView topLeftCell="A20" workbookViewId="0">
      <selection activeCell="C24" sqref="C24"/>
    </sheetView>
  </sheetViews>
  <sheetFormatPr defaultRowHeight="15" x14ac:dyDescent="0.25"/>
  <cols>
    <col min="1" max="1" width="9.140625" style="2"/>
    <col min="2" max="2" width="25.28515625" style="2" bestFit="1" customWidth="1"/>
    <col min="3" max="3" width="70.5703125" style="2" customWidth="1"/>
    <col min="4" max="4" width="32" style="2" customWidth="1"/>
    <col min="5" max="16384" width="9.140625" style="2"/>
  </cols>
  <sheetData>
    <row r="1" spans="1:4" x14ac:dyDescent="0.25">
      <c r="A1" s="2" t="s">
        <v>111</v>
      </c>
    </row>
    <row r="5" spans="1:4" x14ac:dyDescent="0.25">
      <c r="A5" s="40" t="s">
        <v>147</v>
      </c>
      <c r="B5" s="41"/>
      <c r="C5" s="42"/>
    </row>
    <row r="6" spans="1:4" x14ac:dyDescent="0.25">
      <c r="A6" s="38" t="s">
        <v>1</v>
      </c>
      <c r="B6" s="38" t="s">
        <v>112</v>
      </c>
      <c r="C6" s="38" t="s">
        <v>113</v>
      </c>
    </row>
    <row r="7" spans="1:4" ht="60" x14ac:dyDescent="0.25">
      <c r="A7" s="37" t="s">
        <v>128</v>
      </c>
      <c r="B7" s="37" t="s">
        <v>146</v>
      </c>
      <c r="C7" s="37" t="s">
        <v>129</v>
      </c>
    </row>
    <row r="8" spans="1:4" ht="30" x14ac:dyDescent="0.25">
      <c r="A8" s="37" t="s">
        <v>114</v>
      </c>
      <c r="B8" s="37" t="s">
        <v>115</v>
      </c>
      <c r="C8" s="37" t="s">
        <v>138</v>
      </c>
    </row>
    <row r="9" spans="1:4" ht="105" x14ac:dyDescent="0.25">
      <c r="A9" s="37" t="s">
        <v>116</v>
      </c>
      <c r="B9" s="37" t="s">
        <v>131</v>
      </c>
      <c r="C9" s="37" t="s">
        <v>132</v>
      </c>
    </row>
    <row r="10" spans="1:4" ht="75" x14ac:dyDescent="0.25">
      <c r="A10" s="37" t="s">
        <v>117</v>
      </c>
      <c r="B10" s="37" t="s">
        <v>130</v>
      </c>
      <c r="C10" s="37" t="s">
        <v>133</v>
      </c>
    </row>
    <row r="11" spans="1:4" ht="45" x14ac:dyDescent="0.25">
      <c r="A11" s="37" t="s">
        <v>118</v>
      </c>
      <c r="B11" s="37" t="s">
        <v>119</v>
      </c>
      <c r="C11" s="37" t="s">
        <v>120</v>
      </c>
    </row>
    <row r="12" spans="1:4" ht="60" x14ac:dyDescent="0.25">
      <c r="A12" s="37" t="s">
        <v>121</v>
      </c>
      <c r="B12" s="37" t="s">
        <v>122</v>
      </c>
      <c r="C12" s="37" t="s">
        <v>134</v>
      </c>
      <c r="D12" s="39" t="s">
        <v>136</v>
      </c>
    </row>
    <row r="13" spans="1:4" ht="30" x14ac:dyDescent="0.25">
      <c r="A13" s="37" t="s">
        <v>123</v>
      </c>
      <c r="B13" s="37" t="s">
        <v>124</v>
      </c>
      <c r="C13" s="37" t="s">
        <v>125</v>
      </c>
    </row>
    <row r="14" spans="1:4" ht="194.25" x14ac:dyDescent="0.25">
      <c r="A14" s="37" t="s">
        <v>126</v>
      </c>
      <c r="B14" s="37" t="s">
        <v>127</v>
      </c>
      <c r="C14" s="37" t="s">
        <v>135</v>
      </c>
    </row>
    <row r="15" spans="1:4" x14ac:dyDescent="0.25">
      <c r="A15" s="40" t="s">
        <v>148</v>
      </c>
      <c r="B15" s="41"/>
      <c r="C15" s="42"/>
    </row>
    <row r="16" spans="1:4" x14ac:dyDescent="0.25">
      <c r="A16" s="38" t="s">
        <v>1</v>
      </c>
      <c r="B16" s="38" t="s">
        <v>112</v>
      </c>
      <c r="C16" s="38" t="s">
        <v>113</v>
      </c>
    </row>
    <row r="17" spans="1:3" ht="75" x14ac:dyDescent="0.25">
      <c r="A17" s="37" t="s">
        <v>128</v>
      </c>
      <c r="B17" s="37" t="s">
        <v>146</v>
      </c>
      <c r="C17" s="37" t="s">
        <v>137</v>
      </c>
    </row>
    <row r="18" spans="1:3" ht="30" x14ac:dyDescent="0.25">
      <c r="A18" s="37" t="s">
        <v>114</v>
      </c>
      <c r="B18" s="37" t="s">
        <v>115</v>
      </c>
      <c r="C18" s="37" t="s">
        <v>138</v>
      </c>
    </row>
    <row r="19" spans="1:3" ht="105" x14ac:dyDescent="0.25">
      <c r="A19" s="37" t="s">
        <v>116</v>
      </c>
      <c r="B19" s="37" t="s">
        <v>139</v>
      </c>
      <c r="C19" s="37" t="s">
        <v>140</v>
      </c>
    </row>
    <row r="20" spans="1:3" ht="60" x14ac:dyDescent="0.25">
      <c r="A20" s="37" t="s">
        <v>117</v>
      </c>
      <c r="B20" s="37" t="s">
        <v>141</v>
      </c>
      <c r="C20" s="37" t="s">
        <v>144</v>
      </c>
    </row>
    <row r="21" spans="1:3" ht="60" x14ac:dyDescent="0.25">
      <c r="A21" s="37" t="s">
        <v>118</v>
      </c>
      <c r="B21" s="37" t="s">
        <v>119</v>
      </c>
      <c r="C21" s="37" t="s">
        <v>142</v>
      </c>
    </row>
    <row r="22" spans="1:3" ht="60" x14ac:dyDescent="0.25">
      <c r="A22" s="37" t="s">
        <v>121</v>
      </c>
      <c r="B22" s="37" t="s">
        <v>122</v>
      </c>
      <c r="C22" s="37" t="s">
        <v>143</v>
      </c>
    </row>
    <row r="23" spans="1:3" ht="30" x14ac:dyDescent="0.25">
      <c r="A23" s="37" t="s">
        <v>123</v>
      </c>
      <c r="B23" s="37" t="s">
        <v>124</v>
      </c>
      <c r="C23" s="37" t="s">
        <v>125</v>
      </c>
    </row>
    <row r="24" spans="1:3" ht="164.25" x14ac:dyDescent="0.25">
      <c r="A24" s="37" t="s">
        <v>126</v>
      </c>
      <c r="B24" s="37" t="s">
        <v>127</v>
      </c>
      <c r="C24" s="37" t="s">
        <v>180</v>
      </c>
    </row>
  </sheetData>
  <mergeCells count="2">
    <mergeCell ref="A5:C5"/>
    <mergeCell ref="A15:C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65AD9-5F26-44E0-B1DD-7EF175D55F09}">
  <sheetPr>
    <tabColor rgb="FF92D050"/>
  </sheetPr>
  <dimension ref="A1:T14"/>
  <sheetViews>
    <sheetView topLeftCell="D1" workbookViewId="0">
      <selection activeCell="S5" sqref="I5:S5"/>
    </sheetView>
  </sheetViews>
  <sheetFormatPr defaultRowHeight="15" x14ac:dyDescent="0.25"/>
  <cols>
    <col min="1" max="1" width="17.7109375" style="2" bestFit="1" customWidth="1"/>
    <col min="2" max="2" width="19.28515625" style="2" bestFit="1" customWidth="1"/>
    <col min="3" max="3" width="33.42578125" style="2" bestFit="1" customWidth="1"/>
    <col min="4" max="4" width="21.85546875" style="2" bestFit="1" customWidth="1"/>
    <col min="5" max="5" width="32.42578125" style="2" bestFit="1" customWidth="1"/>
    <col min="6" max="7" width="15.140625" style="2" bestFit="1" customWidth="1"/>
    <col min="8" max="8" width="27.85546875" style="3" bestFit="1" customWidth="1"/>
    <col min="9" max="9" width="22.85546875" style="3" bestFit="1" customWidth="1"/>
    <col min="10" max="10" width="36.140625" style="2" customWidth="1"/>
    <col min="11" max="11" width="30.5703125" style="2" customWidth="1"/>
    <col min="12" max="14" width="21.5703125" style="2" bestFit="1" customWidth="1"/>
    <col min="15" max="16" width="23.7109375" style="2" bestFit="1" customWidth="1"/>
    <col min="17" max="17" width="28.140625" style="2" bestFit="1" customWidth="1"/>
    <col min="18" max="18" width="21.85546875" style="2" customWidth="1"/>
    <col min="19" max="19" width="17.42578125" style="2" customWidth="1"/>
    <col min="20" max="20" width="109.42578125" style="14" customWidth="1"/>
    <col min="21" max="21" width="18.7109375" style="2" bestFit="1" customWidth="1"/>
    <col min="22" max="22" width="19.28515625" style="2" bestFit="1" customWidth="1"/>
    <col min="23" max="23" width="13.7109375" style="2" bestFit="1" customWidth="1"/>
    <col min="24" max="16384" width="9.140625" style="2"/>
  </cols>
  <sheetData>
    <row r="1" spans="1:20" ht="45" x14ac:dyDescent="0.25">
      <c r="A1" s="4" t="s">
        <v>151</v>
      </c>
      <c r="B1" s="4" t="s">
        <v>8</v>
      </c>
      <c r="C1" s="4" t="s">
        <v>152</v>
      </c>
      <c r="D1" s="4" t="s">
        <v>22</v>
      </c>
      <c r="E1" s="4" t="s">
        <v>7</v>
      </c>
      <c r="F1" s="4" t="s">
        <v>153</v>
      </c>
      <c r="G1" s="23" t="s">
        <v>145</v>
      </c>
      <c r="H1" s="23" t="s">
        <v>0</v>
      </c>
      <c r="I1" s="15" t="s">
        <v>36</v>
      </c>
      <c r="J1" s="15" t="s">
        <v>37</v>
      </c>
      <c r="K1" s="15" t="s">
        <v>38</v>
      </c>
      <c r="L1" s="15" t="s">
        <v>39</v>
      </c>
      <c r="M1" s="15" t="s">
        <v>40</v>
      </c>
      <c r="N1" s="15" t="s">
        <v>74</v>
      </c>
      <c r="O1" s="15" t="s">
        <v>75</v>
      </c>
      <c r="P1" s="15" t="s">
        <v>4</v>
      </c>
      <c r="Q1" s="16" t="s">
        <v>3</v>
      </c>
      <c r="R1" s="15" t="s">
        <v>26</v>
      </c>
      <c r="S1" s="15" t="s">
        <v>27</v>
      </c>
      <c r="T1" s="4" t="s">
        <v>41</v>
      </c>
    </row>
    <row r="2" spans="1:20" x14ac:dyDescent="0.25">
      <c r="A2" s="2" t="s">
        <v>76</v>
      </c>
      <c r="B2" s="2" t="s">
        <v>108</v>
      </c>
      <c r="C2" s="13">
        <v>200000000000</v>
      </c>
      <c r="D2" s="13" t="s">
        <v>150</v>
      </c>
      <c r="E2" s="2">
        <v>5</v>
      </c>
      <c r="F2" s="2">
        <v>4.2</v>
      </c>
      <c r="G2" s="3">
        <v>45771</v>
      </c>
      <c r="H2" s="3">
        <v>45776</v>
      </c>
      <c r="I2" s="2" t="str">
        <f>IFERROR(VLOOKUP(Sheet1[[#This Row],[Kỳ hạn]],'Thang kỳ hạn MM'!$A$1:$C$66,3,0),"Kỳ hạn lẻ")</f>
        <v>Kỳ hạn lẻ</v>
      </c>
      <c r="J2" s="2">
        <f>IF(Sheet1[[#This Row],[Mã kỳ hạn chuẩn]]="Kỳ hạn lẻ",IFERROR(
_xlfn.IFS(Sheet1[[#This Row],[Kỳ hạn]]&gt;365,365,
Sheet1[[#This Row],[Kỳ hạn]]&gt;270,270,
Sheet1[[#This Row],[Kỳ hạn]]&gt;180,180,
Sheet1[[#This Row],[Kỳ hạn]]&gt;90,90,
Sheet1[[#This Row],[Kỳ hạn]]&gt;60,60,
Sheet1[[#This Row],[Kỳ hạn]]&gt;30,30,
Sheet1[[#This Row],[Kỳ hạn]]&gt;14,14,
Sheet1[[#This Row],[Kỳ hạn]]&gt;7,7,
Sheet1[[#This Row],[Kỳ hạn]]&gt;1,1),0),"")</f>
        <v>1</v>
      </c>
      <c r="K2" s="2">
        <f>IF(Sheet1[[#This Row],[Mã kỳ hạn chuẩn]]="Kỳ hạn lẻ",IFERROR(
_xlfn.IFS(Sheet1[[#This Row],[Kỳ hạn]]&lt;1,1,
Sheet1[[#This Row],[Kỳ hạn]]&lt;7,7,
Sheet1[[#This Row],[Kỳ hạn]]&lt;14,14,
Sheet1[[#This Row],[Kỳ hạn]]&lt;30,30,
Sheet1[[#This Row],[Kỳ hạn]]&lt;60,60,
Sheet1[[#This Row],[Kỳ hạn]]&lt;90,90,
Sheet1[[#This Row],[Kỳ hạn]]&lt;180,180,
Sheet1[[#This Row],[Kỳ hạn]]&lt;270,270,
Sheet1[[#This Row],[Kỳ hạn]]&lt;365,365),
0),"")</f>
        <v>7</v>
      </c>
      <c r="L2" s="14">
        <f>IF(Sheet1[[#This Row],[Mã kỳ hạn chuẩn]]="Kỳ hạn lẻ",_xlfn.SWITCH(Sheet1[[#This Row],[Kỳ hạn VNIBOR chuẩn (shorter)]],1,VLOOKUP(Sheet1[[#This Row],[Ngày hiệu lực HĐ]],'Data VNIBOR'!$A$1:$K$1254,3,0),7,VLOOKUP(Sheet1[[#This Row],[Ngày hiệu lực HĐ]],'Data VNIBOR'!$A$1:$K$1254,4,0),14,VLOOKUP(Sheet1[[#This Row],[Ngày hiệu lực HĐ]],'Data VNIBOR'!$A$1:$K$1254,5,0),30,VLOOKUP(Sheet1[[#This Row],[Ngày hiệu lực HĐ]],'Data VNIBOR'!$A$1:$K$1254,6,0),60,VLOOKUP(Sheet1[[#This Row],[Ngày hiệu lực HĐ]],'Data VNIBOR'!$A$1:$K$1254,7,0),90,VLOOKUP(Sheet1[[#This Row],[Ngày hiệu lực HĐ]],'Data VNIBOR'!$A$1:$K$1254,8,0),180,VLOOKUP(Sheet1[[#This Row],[Ngày hiệu lực HĐ]],'Data VNIBOR'!$A$1:$K$1254,9,0),270,VLOOKUP(Sheet1[[#This Row],[Ngày hiệu lực HĐ]],'Data VNIBOR'!$A$1:$K$1254,10,0),365,VLOOKUP(Sheet1[[#This Row],[Ngày hiệu lực HĐ]],'Data VNIBOR'!$A$1:$K$1254,11,0)),"")</f>
        <v>3.33</v>
      </c>
      <c r="M2" s="14">
        <f>IF(Sheet1[[#This Row],[Mã kỳ hạn chuẩn]]="Kỳ hạn lẻ",_xlfn.SWITCH(Sheet1[[#This Row],[Kỳ hạn VNIBOR chuẩn (longer)]],1,VLOOKUP(Sheet1[[#This Row],[Ngày hiệu lực HĐ]],'Data VNIBOR'!$A$1:$K$1254,3,0),7,VLOOKUP(Sheet1[[#This Row],[Ngày hiệu lực HĐ]],'Data VNIBOR'!$A$1:$K$1254,4,0),14,VLOOKUP(Sheet1[[#This Row],[Ngày hiệu lực HĐ]],'Data VNIBOR'!$A$1:$K$1254,5,0),30,VLOOKUP(Sheet1[[#This Row],[Ngày hiệu lực HĐ]],'Data VNIBOR'!$A$1:$K$1254,6,0),60,VLOOKUP(Sheet1[[#This Row],[Ngày hiệu lực HĐ]],'Data VNIBOR'!$A$1:$K$1254,7,0),90,VLOOKUP(Sheet1[[#This Row],[Ngày hiệu lực HĐ]],'Data VNIBOR'!$A$1:$K$1254,8,0),180,VLOOKUP(Sheet1[[#This Row],[Ngày hiệu lực HĐ]],'Data VNIBOR'!$A$1:$K$1254,9,0),270,VLOOKUP(Sheet1[[#This Row],[Ngày hiệu lực HĐ]],'Data VNIBOR'!$A$1:$K$1254,10,0),365,VLOOKUP(Sheet1[[#This Row],[Ngày hiệu lực HĐ]],'Data VNIBOR'!$A$1:$K$1254,11,0)),"")</f>
        <v>4.3099999999999996</v>
      </c>
      <c r="N2" s="14">
        <f>IF(Sheet1[[#This Row],[Mã kỳ hạn chuẩn]]="Kỳ hạn lẻ",_xlfn.SWITCH(Sheet1[[#This Row],[Kỳ hạn VNIBOR chuẩn (shorter)]],1,'Biên độ MM, Repo'!$C$2,7,'Biên độ MM, Repo'!$C$3,14,'Biên độ MM, Repo'!$C$4,30,'Biên độ MM, Repo'!$C$5,60,'Biên độ MM, Repo'!$C$6,90,'Biên độ MM, Repo'!$C$7,180,'Biên độ MM, Repo'!$C$8,270,'Biên độ MM, Repo'!$C$9,365,'Biên độ MM, Repo'!$C$10),0)</f>
        <v>1.0349999999999997</v>
      </c>
      <c r="O2" s="14">
        <f>IF(Sheet1[[#This Row],[Mã kỳ hạn chuẩn]]="Kỳ hạn lẻ",_xlfn.SWITCH(Sheet1[[#This Row],[Kỳ hạn VNIBOR chuẩn (longer)]],1,'Biên độ MM, Repo'!$C$2,7,'Biên độ MM, Repo'!$C$3,14,'Biên độ MM, Repo'!$C$4,30,'Biên độ MM, Repo'!$C$5,60,'Biên độ MM, Repo'!$C$6,90,'Biên độ MM, Repo'!$C$7,180,'Biên độ MM, Repo'!$C$8,270,'Biên độ MM, Repo'!$C$9,365,'Biên độ MM, Repo'!$C$10),0)</f>
        <v>0.85999999999999988</v>
      </c>
      <c r="P2" s="14">
        <f>IF(Sheet1[[#This Row],[Mã kỳ hạn chuẩn]]="Kỳ hạn lẻ",_xlfn.FORECAST.LINEAR(Sheet1[[#This Row],[Kỳ hạn]],Sheet1[[#This Row],[Biên độ chuẩn (shorter)]:[Biên độ chuẩn (longer)]],Sheet1[[#This Row],[Kỳ hạn VNIBOR chuẩn (shorter)]:[Kỳ hạn VNIBOR chuẩn (longer)]]),VLOOKUP(Sheet1[[#This Row],[Mã kỳ hạn chuẩn]],'Biên độ MM, Repo'!$B$1:$D$10,2,0))</f>
        <v>0.91833333333333311</v>
      </c>
      <c r="Q2" s="14">
        <f>IF(Sheet1[[#This Row],[Mã kỳ hạn chuẩn]]="Kỳ hạn lẻ",_xlfn.FORECAST.LINEAR(Sheet1[[#This Row],[Kỳ hạn]],Sheet1[[#This Row],[LS VNIBOR chuẩn (shorter)]:[LS VNIBOR chuẩn (longer)]],Sheet1[[#This Row],[Kỳ hạn VNIBOR chuẩn (shorter)]:[Kỳ hạn VNIBOR chuẩn (longer)]]),INDEX('Data VNIBOR'!$A$1:$K$1254,MATCH(Sheet1[[#This Row],[Ngày hiệu lực HĐ]],'Data VNIBOR'!$A$1:$A$1254,0),MATCH(Sheet1[[#This Row],[Mã kỳ hạn chuẩn]],'Data VNIBOR'!$A$1:$K$1,0)))</f>
        <v>3.9833333333333334</v>
      </c>
      <c r="R2" s="14">
        <f>Sheet1[[#This Row],[Lãi suất tham chiếu]]+Sheet1[[#This Row],[Biên độ]]</f>
        <v>4.9016666666666664</v>
      </c>
      <c r="S2" s="14">
        <f>Sheet1[[#This Row],[Lãi suất tham chiếu]]-Sheet1[[#This Row],[Biên độ]]</f>
        <v>3.0650000000000004</v>
      </c>
      <c r="T2" s="2" t="str">
        <f>IF(OR(Sheet1[[#This Row],[Lãi suất]]&gt;Sheet1[[#This Row],[Lãi suất tham chiếu lớn nhất]],Sheet1[[#This Row],[Lãi suất]]&lt;Sheet1[[#This Row],[Lãi suất tham chiếu nhỏ nhất]]),"Lãi suất phi thị trường","GD Hợp lý")</f>
        <v>GD Hợp lý</v>
      </c>
    </row>
    <row r="3" spans="1:20" x14ac:dyDescent="0.25">
      <c r="A3" s="2" t="s">
        <v>76</v>
      </c>
      <c r="B3" s="2" t="s">
        <v>109</v>
      </c>
      <c r="C3" s="13">
        <v>200000000000</v>
      </c>
      <c r="D3" s="13" t="s">
        <v>150</v>
      </c>
      <c r="E3" s="2">
        <v>14</v>
      </c>
      <c r="F3" s="2">
        <v>4.2</v>
      </c>
      <c r="G3" s="3">
        <v>45772</v>
      </c>
      <c r="H3" s="3">
        <v>45786</v>
      </c>
      <c r="I3" s="2" t="str">
        <f>IFERROR(VLOOKUP(Sheet1[[#This Row],[Kỳ hạn]],'Thang kỳ hạn MM'!$A$1:$C$66,3,0),"Kỳ hạn lẻ")</f>
        <v>2W</v>
      </c>
      <c r="J3" s="2" t="str">
        <f>IF(Sheet1[[#This Row],[Mã kỳ hạn chuẩn]]="Kỳ hạn lẻ",IFERROR(
_xlfn.IFS(Sheet1[[#This Row],[Kỳ hạn]]&gt;365,365,
Sheet1[[#This Row],[Kỳ hạn]]&gt;270,270,
Sheet1[[#This Row],[Kỳ hạn]]&gt;180,180,
Sheet1[[#This Row],[Kỳ hạn]]&gt;90,90,
Sheet1[[#This Row],[Kỳ hạn]]&gt;60,60,
Sheet1[[#This Row],[Kỳ hạn]]&gt;30,30,
Sheet1[[#This Row],[Kỳ hạn]]&gt;14,14,
Sheet1[[#This Row],[Kỳ hạn]]&gt;7,7,
Sheet1[[#This Row],[Kỳ hạn]]&gt;1,1),0),"")</f>
        <v/>
      </c>
      <c r="K3" s="2" t="str">
        <f>IF(Sheet1[[#This Row],[Mã kỳ hạn chuẩn]]="Kỳ hạn lẻ",IFERROR(
_xlfn.IFS(Sheet1[[#This Row],[Kỳ hạn]]&lt;1,1,
Sheet1[[#This Row],[Kỳ hạn]]&lt;7,7,
Sheet1[[#This Row],[Kỳ hạn]]&lt;14,14,
Sheet1[[#This Row],[Kỳ hạn]]&lt;30,30,
Sheet1[[#This Row],[Kỳ hạn]]&lt;60,60,
Sheet1[[#This Row],[Kỳ hạn]]&lt;90,90,
Sheet1[[#This Row],[Kỳ hạn]]&lt;180,180,
Sheet1[[#This Row],[Kỳ hạn]]&lt;270,270,
Sheet1[[#This Row],[Kỳ hạn]]&lt;365,365),
0),"")</f>
        <v/>
      </c>
      <c r="L3" s="14" t="str">
        <f>IF(Sheet1[[#This Row],[Mã kỳ hạn chuẩn]]="Kỳ hạn lẻ",_xlfn.SWITCH(Sheet1[[#This Row],[Kỳ hạn VNIBOR chuẩn (shorter)]],1,VLOOKUP(Sheet1[[#This Row],[Ngày hiệu lực HĐ]],'Data VNIBOR'!$A$1:$K$1254,3,0),7,VLOOKUP(Sheet1[[#This Row],[Ngày hiệu lực HĐ]],'Data VNIBOR'!$A$1:$K$1254,4,0),14,VLOOKUP(Sheet1[[#This Row],[Ngày hiệu lực HĐ]],'Data VNIBOR'!$A$1:$K$1254,5,0),30,VLOOKUP(Sheet1[[#This Row],[Ngày hiệu lực HĐ]],'Data VNIBOR'!$A$1:$K$1254,6,0),60,VLOOKUP(Sheet1[[#This Row],[Ngày hiệu lực HĐ]],'Data VNIBOR'!$A$1:$K$1254,7,0),90,VLOOKUP(Sheet1[[#This Row],[Ngày hiệu lực HĐ]],'Data VNIBOR'!$A$1:$K$1254,8,0),180,VLOOKUP(Sheet1[[#This Row],[Ngày hiệu lực HĐ]],'Data VNIBOR'!$A$1:$K$1254,9,0),270,VLOOKUP(Sheet1[[#This Row],[Ngày hiệu lực HĐ]],'Data VNIBOR'!$A$1:$K$1254,10,0),365,VLOOKUP(Sheet1[[#This Row],[Ngày hiệu lực HĐ]],'Data VNIBOR'!$A$1:$K$1254,11,0)),"")</f>
        <v/>
      </c>
      <c r="M3" s="14" t="str">
        <f>IF(Sheet1[[#This Row],[Mã kỳ hạn chuẩn]]="Kỳ hạn lẻ",_xlfn.SWITCH(Sheet1[[#This Row],[Kỳ hạn VNIBOR chuẩn (longer)]],1,VLOOKUP(Sheet1[[#This Row],[Ngày hiệu lực HĐ]],'Data VNIBOR'!$A$1:$K$1254,3,0),7,VLOOKUP(Sheet1[[#This Row],[Ngày hiệu lực HĐ]],'Data VNIBOR'!$A$1:$K$1254,4,0),14,VLOOKUP(Sheet1[[#This Row],[Ngày hiệu lực HĐ]],'Data VNIBOR'!$A$1:$K$1254,5,0),30,VLOOKUP(Sheet1[[#This Row],[Ngày hiệu lực HĐ]],'Data VNIBOR'!$A$1:$K$1254,6,0),60,VLOOKUP(Sheet1[[#This Row],[Ngày hiệu lực HĐ]],'Data VNIBOR'!$A$1:$K$1254,7,0),90,VLOOKUP(Sheet1[[#This Row],[Ngày hiệu lực HĐ]],'Data VNIBOR'!$A$1:$K$1254,8,0),180,VLOOKUP(Sheet1[[#This Row],[Ngày hiệu lực HĐ]],'Data VNIBOR'!$A$1:$K$1254,9,0),270,VLOOKUP(Sheet1[[#This Row],[Ngày hiệu lực HĐ]],'Data VNIBOR'!$A$1:$K$1254,10,0),365,VLOOKUP(Sheet1[[#This Row],[Ngày hiệu lực HĐ]],'Data VNIBOR'!$A$1:$K$1254,11,0)),"")</f>
        <v/>
      </c>
      <c r="N3" s="14">
        <f>IF(Sheet1[[#This Row],[Mã kỳ hạn chuẩn]]="Kỳ hạn lẻ",_xlfn.SWITCH(Sheet1[[#This Row],[Kỳ hạn VNIBOR chuẩn (shorter)]],1,'Biên độ MM, Repo'!$C$2,7,'Biên độ MM, Repo'!$C$3,14,'Biên độ MM, Repo'!$C$4,30,'Biên độ MM, Repo'!$C$5,60,'Biên độ MM, Repo'!$C$6,90,'Biên độ MM, Repo'!$C$7,180,'Biên độ MM, Repo'!$C$8,270,'Biên độ MM, Repo'!$C$9,365,'Biên độ MM, Repo'!$C$10),0)</f>
        <v>0</v>
      </c>
      <c r="O3" s="14">
        <f>IF(Sheet1[[#This Row],[Mã kỳ hạn chuẩn]]="Kỳ hạn lẻ",_xlfn.SWITCH(Sheet1[[#This Row],[Kỳ hạn VNIBOR chuẩn (longer)]],1,'Biên độ MM, Repo'!$C$2,7,'Biên độ MM, Repo'!$C$3,14,'Biên độ MM, Repo'!$C$4,30,'Biên độ MM, Repo'!$C$5,60,'Biên độ MM, Repo'!$C$6,90,'Biên độ MM, Repo'!$C$7,180,'Biên độ MM, Repo'!$C$8,270,'Biên độ MM, Repo'!$C$9,365,'Biên độ MM, Repo'!$C$10),0)</f>
        <v>0</v>
      </c>
      <c r="P3" s="14">
        <f>IF(Sheet1[[#This Row],[Mã kỳ hạn chuẩn]]="Kỳ hạn lẻ",_xlfn.FORECAST.LINEAR(Sheet1[[#This Row],[Kỳ hạn]],Sheet1[[#This Row],[Biên độ chuẩn (shorter)]:[Biên độ chuẩn (longer)]],Sheet1[[#This Row],[Kỳ hạn VNIBOR chuẩn (shorter)]:[Kỳ hạn VNIBOR chuẩn (longer)]]),VLOOKUP(Sheet1[[#This Row],[Mã kỳ hạn chuẩn]],'Biên độ MM, Repo'!$B$1:$D$10,2,0))</f>
        <v>0.69</v>
      </c>
      <c r="Q3" s="14">
        <f>IF(Sheet1[[#This Row],[Mã kỳ hạn chuẩn]]="Kỳ hạn lẻ",_xlfn.FORECAST.LINEAR(Sheet1[[#This Row],[Kỳ hạn]],Sheet1[[#This Row],[LS VNIBOR chuẩn (shorter)]:[LS VNIBOR chuẩn (longer)]],Sheet1[[#This Row],[Kỳ hạn VNIBOR chuẩn (shorter)]:[Kỳ hạn VNIBOR chuẩn (longer)]]),INDEX('Data VNIBOR'!$A$1:$K$1254,MATCH(Sheet1[[#This Row],[Ngày hiệu lực HĐ]],'Data VNIBOR'!$A$1:$A$1254,0),MATCH(Sheet1[[#This Row],[Mã kỳ hạn chuẩn]],'Data VNIBOR'!$A$1:$K$1,0)))</f>
        <v>4.28</v>
      </c>
      <c r="R3" s="14">
        <f>Sheet1[[#This Row],[Lãi suất tham chiếu]]+Sheet1[[#This Row],[Biên độ]]</f>
        <v>4.9700000000000006</v>
      </c>
      <c r="S3" s="14">
        <f>Sheet1[[#This Row],[Lãi suất tham chiếu]]-Sheet1[[#This Row],[Biên độ]]</f>
        <v>3.5900000000000003</v>
      </c>
      <c r="T3" s="2" t="str">
        <f>IF(OR(Sheet1[[#This Row],[Lãi suất]]&gt;Sheet1[[#This Row],[Lãi suất tham chiếu lớn nhất]],Sheet1[[#This Row],[Lãi suất]]&lt;Sheet1[[#This Row],[Lãi suất tham chiếu nhỏ nhất]]),"Lãi suất phi thị trường","GD Hợp lý")</f>
        <v>GD Hợp lý</v>
      </c>
    </row>
    <row r="4" spans="1:20" x14ac:dyDescent="0.25">
      <c r="A4" s="2" t="s">
        <v>76</v>
      </c>
      <c r="B4" s="2" t="s">
        <v>110</v>
      </c>
      <c r="C4" s="13">
        <v>150000000000</v>
      </c>
      <c r="D4" s="13" t="s">
        <v>150</v>
      </c>
      <c r="E4" s="2">
        <v>1</v>
      </c>
      <c r="F4" s="2">
        <v>2.2999999999999998</v>
      </c>
      <c r="G4" s="3">
        <v>45775</v>
      </c>
      <c r="H4" s="3">
        <v>45776</v>
      </c>
      <c r="I4" s="2" t="str">
        <f>IFERROR(VLOOKUP(Sheet1[[#This Row],[Kỳ hạn]],'Thang kỳ hạn MM'!$A$1:$C$66,3,0),"Kỳ hạn lẻ")</f>
        <v>ON</v>
      </c>
      <c r="J4" s="2" t="str">
        <f>IF(Sheet1[[#This Row],[Mã kỳ hạn chuẩn]]="Kỳ hạn lẻ",IFERROR(
_xlfn.IFS(Sheet1[[#This Row],[Kỳ hạn]]&gt;365,365,
Sheet1[[#This Row],[Kỳ hạn]]&gt;270,270,
Sheet1[[#This Row],[Kỳ hạn]]&gt;180,180,
Sheet1[[#This Row],[Kỳ hạn]]&gt;90,90,
Sheet1[[#This Row],[Kỳ hạn]]&gt;60,60,
Sheet1[[#This Row],[Kỳ hạn]]&gt;30,30,
Sheet1[[#This Row],[Kỳ hạn]]&gt;14,14,
Sheet1[[#This Row],[Kỳ hạn]]&gt;7,7,
Sheet1[[#This Row],[Kỳ hạn]]&gt;1,1),0),"")</f>
        <v/>
      </c>
      <c r="K4" s="2" t="str">
        <f>IF(Sheet1[[#This Row],[Mã kỳ hạn chuẩn]]="Kỳ hạn lẻ",IFERROR(
_xlfn.IFS(Sheet1[[#This Row],[Kỳ hạn]]&lt;1,1,
Sheet1[[#This Row],[Kỳ hạn]]&lt;7,7,
Sheet1[[#This Row],[Kỳ hạn]]&lt;14,14,
Sheet1[[#This Row],[Kỳ hạn]]&lt;30,30,
Sheet1[[#This Row],[Kỳ hạn]]&lt;60,60,
Sheet1[[#This Row],[Kỳ hạn]]&lt;90,90,
Sheet1[[#This Row],[Kỳ hạn]]&lt;180,180,
Sheet1[[#This Row],[Kỳ hạn]]&lt;270,270,
Sheet1[[#This Row],[Kỳ hạn]]&lt;365,365),
0),"")</f>
        <v/>
      </c>
      <c r="L4" s="14" t="str">
        <f>IF(Sheet1[[#This Row],[Mã kỳ hạn chuẩn]]="Kỳ hạn lẻ",_xlfn.SWITCH(Sheet1[[#This Row],[Kỳ hạn VNIBOR chuẩn (shorter)]],1,VLOOKUP(Sheet1[[#This Row],[Ngày hiệu lực HĐ]],'Data VNIBOR'!$A$1:$K$1254,3,0),7,VLOOKUP(Sheet1[[#This Row],[Ngày hiệu lực HĐ]],'Data VNIBOR'!$A$1:$K$1254,4,0),14,VLOOKUP(Sheet1[[#This Row],[Ngày hiệu lực HĐ]],'Data VNIBOR'!$A$1:$K$1254,5,0),30,VLOOKUP(Sheet1[[#This Row],[Ngày hiệu lực HĐ]],'Data VNIBOR'!$A$1:$K$1254,6,0),60,VLOOKUP(Sheet1[[#This Row],[Ngày hiệu lực HĐ]],'Data VNIBOR'!$A$1:$K$1254,7,0),90,VLOOKUP(Sheet1[[#This Row],[Ngày hiệu lực HĐ]],'Data VNIBOR'!$A$1:$K$1254,8,0),180,VLOOKUP(Sheet1[[#This Row],[Ngày hiệu lực HĐ]],'Data VNIBOR'!$A$1:$K$1254,9,0),270,VLOOKUP(Sheet1[[#This Row],[Ngày hiệu lực HĐ]],'Data VNIBOR'!$A$1:$K$1254,10,0),365,VLOOKUP(Sheet1[[#This Row],[Ngày hiệu lực HĐ]],'Data VNIBOR'!$A$1:$K$1254,11,0)),"")</f>
        <v/>
      </c>
      <c r="M4" s="14" t="str">
        <f>IF(Sheet1[[#This Row],[Mã kỳ hạn chuẩn]]="Kỳ hạn lẻ",_xlfn.SWITCH(Sheet1[[#This Row],[Kỳ hạn VNIBOR chuẩn (longer)]],1,VLOOKUP(Sheet1[[#This Row],[Ngày hiệu lực HĐ]],'Data VNIBOR'!$A$1:$K$1254,3,0),7,VLOOKUP(Sheet1[[#This Row],[Ngày hiệu lực HĐ]],'Data VNIBOR'!$A$1:$K$1254,4,0),14,VLOOKUP(Sheet1[[#This Row],[Ngày hiệu lực HĐ]],'Data VNIBOR'!$A$1:$K$1254,5,0),30,VLOOKUP(Sheet1[[#This Row],[Ngày hiệu lực HĐ]],'Data VNIBOR'!$A$1:$K$1254,6,0),60,VLOOKUP(Sheet1[[#This Row],[Ngày hiệu lực HĐ]],'Data VNIBOR'!$A$1:$K$1254,7,0),90,VLOOKUP(Sheet1[[#This Row],[Ngày hiệu lực HĐ]],'Data VNIBOR'!$A$1:$K$1254,8,0),180,VLOOKUP(Sheet1[[#This Row],[Ngày hiệu lực HĐ]],'Data VNIBOR'!$A$1:$K$1254,9,0),270,VLOOKUP(Sheet1[[#This Row],[Ngày hiệu lực HĐ]],'Data VNIBOR'!$A$1:$K$1254,10,0),365,VLOOKUP(Sheet1[[#This Row],[Ngày hiệu lực HĐ]],'Data VNIBOR'!$A$1:$K$1254,11,0)),"")</f>
        <v/>
      </c>
      <c r="N4" s="14">
        <f>IF(Sheet1[[#This Row],[Mã kỳ hạn chuẩn]]="Kỳ hạn lẻ",_xlfn.SWITCH(Sheet1[[#This Row],[Kỳ hạn VNIBOR chuẩn (shorter)]],1,'Biên độ MM, Repo'!$C$2,7,'Biên độ MM, Repo'!$C$3,14,'Biên độ MM, Repo'!$C$4,30,'Biên độ MM, Repo'!$C$5,60,'Biên độ MM, Repo'!$C$6,90,'Biên độ MM, Repo'!$C$7,180,'Biên độ MM, Repo'!$C$8,270,'Biên độ MM, Repo'!$C$9,365,'Biên độ MM, Repo'!$C$10),0)</f>
        <v>0</v>
      </c>
      <c r="O4" s="14">
        <f>IF(Sheet1[[#This Row],[Mã kỳ hạn chuẩn]]="Kỳ hạn lẻ",_xlfn.SWITCH(Sheet1[[#This Row],[Kỳ hạn VNIBOR chuẩn (longer)]],1,'Biên độ MM, Repo'!$C$2,7,'Biên độ MM, Repo'!$C$3,14,'Biên độ MM, Repo'!$C$4,30,'Biên độ MM, Repo'!$C$5,60,'Biên độ MM, Repo'!$C$6,90,'Biên độ MM, Repo'!$C$7,180,'Biên độ MM, Repo'!$C$8,270,'Biên độ MM, Repo'!$C$9,365,'Biên độ MM, Repo'!$C$10),0)</f>
        <v>0</v>
      </c>
      <c r="P4" s="14">
        <f>IF(Sheet1[[#This Row],[Mã kỳ hạn chuẩn]]="Kỳ hạn lẻ",_xlfn.FORECAST.LINEAR(Sheet1[[#This Row],[Kỳ hạn]],Sheet1[[#This Row],[Biên độ chuẩn (shorter)]:[Biên độ chuẩn (longer)]],Sheet1[[#This Row],[Kỳ hạn VNIBOR chuẩn (shorter)]:[Kỳ hạn VNIBOR chuẩn (longer)]]),VLOOKUP(Sheet1[[#This Row],[Mã kỳ hạn chuẩn]],'Biên độ MM, Repo'!$B$1:$D$10,2,0))</f>
        <v>1.0349999999999997</v>
      </c>
      <c r="Q4" s="14">
        <f>IF(Sheet1[[#This Row],[Mã kỳ hạn chuẩn]]="Kỳ hạn lẻ",_xlfn.FORECAST.LINEAR(Sheet1[[#This Row],[Kỳ hạn]],Sheet1[[#This Row],[LS VNIBOR chuẩn (shorter)]:[LS VNIBOR chuẩn (longer)]],Sheet1[[#This Row],[Kỳ hạn VNIBOR chuẩn (shorter)]:[Kỳ hạn VNIBOR chuẩn (longer)]]),INDEX('Data VNIBOR'!$A$1:$K$1254,MATCH(Sheet1[[#This Row],[Ngày hiệu lực HĐ]],'Data VNIBOR'!$A$1:$A$1254,0),MATCH(Sheet1[[#This Row],[Mã kỳ hạn chuẩn]],'Data VNIBOR'!$A$1:$K$1,0)))</f>
        <v>2.5</v>
      </c>
      <c r="R4" s="14">
        <f>Sheet1[[#This Row],[Lãi suất tham chiếu]]+Sheet1[[#This Row],[Biên độ]]</f>
        <v>3.5349999999999997</v>
      </c>
      <c r="S4" s="14">
        <f>Sheet1[[#This Row],[Lãi suất tham chiếu]]-Sheet1[[#This Row],[Biên độ]]</f>
        <v>1.4650000000000003</v>
      </c>
      <c r="T4" s="2" t="str">
        <f>IF(OR(Sheet1[[#This Row],[Lãi suất]]&gt;Sheet1[[#This Row],[Lãi suất tham chiếu lớn nhất]],Sheet1[[#This Row],[Lãi suất]]&lt;Sheet1[[#This Row],[Lãi suất tham chiếu nhỏ nhất]]),"Lãi suất phi thị trường","GD Hợp lý")</f>
        <v>GD Hợp lý</v>
      </c>
    </row>
    <row r="5" spans="1:20" s="37" customFormat="1" ht="315" x14ac:dyDescent="0.25">
      <c r="A5" s="72" t="s">
        <v>154</v>
      </c>
      <c r="B5" s="72"/>
      <c r="C5" s="72"/>
      <c r="D5" s="72"/>
      <c r="E5" s="72"/>
      <c r="F5" s="72"/>
      <c r="G5" s="72"/>
      <c r="H5" s="72"/>
      <c r="I5" s="73" t="s">
        <v>155</v>
      </c>
      <c r="J5" s="71" t="s">
        <v>156</v>
      </c>
      <c r="K5" s="71" t="s">
        <v>158</v>
      </c>
      <c r="L5" s="71" t="s">
        <v>159</v>
      </c>
      <c r="M5" s="71" t="s">
        <v>160</v>
      </c>
      <c r="N5" s="71" t="s">
        <v>161</v>
      </c>
      <c r="O5" s="71" t="s">
        <v>162</v>
      </c>
      <c r="P5" s="71" t="s">
        <v>163</v>
      </c>
      <c r="Q5" s="71" t="s">
        <v>164</v>
      </c>
      <c r="R5" s="71" t="s">
        <v>165</v>
      </c>
      <c r="S5" s="71" t="s">
        <v>166</v>
      </c>
      <c r="T5" s="74" t="s">
        <v>167</v>
      </c>
    </row>
    <row r="6" spans="1:20" x14ac:dyDescent="0.25">
      <c r="H6" s="36"/>
      <c r="T6" s="70"/>
    </row>
    <row r="14" spans="1:20" x14ac:dyDescent="0.25">
      <c r="N14" s="2" t="s">
        <v>149</v>
      </c>
    </row>
  </sheetData>
  <mergeCells count="1">
    <mergeCell ref="A5:H5"/>
  </mergeCells>
  <phoneticPr fontId="15"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E47CA-6D54-43CD-B2DE-5649C3AF98D5}">
  <sheetPr>
    <tabColor rgb="FF92D050"/>
  </sheetPr>
  <dimension ref="A1:AJ7"/>
  <sheetViews>
    <sheetView tabSelected="1" topLeftCell="AA1" workbookViewId="0">
      <selection activeCell="AJ3" sqref="AJ3"/>
    </sheetView>
  </sheetViews>
  <sheetFormatPr defaultRowHeight="15" x14ac:dyDescent="0.25"/>
  <cols>
    <col min="1" max="1" width="6.28515625" bestFit="1" customWidth="1"/>
    <col min="2" max="2" width="27.5703125" bestFit="1" customWidth="1"/>
    <col min="3" max="3" width="12.5703125" bestFit="1" customWidth="1"/>
    <col min="4" max="4" width="12.28515625" bestFit="1" customWidth="1"/>
    <col min="5" max="5" width="19.140625" bestFit="1" customWidth="1"/>
    <col min="6" max="6" width="11.5703125" bestFit="1" customWidth="1"/>
    <col min="7" max="7" width="17.140625" bestFit="1" customWidth="1"/>
    <col min="8" max="8" width="15.42578125" bestFit="1" customWidth="1"/>
    <col min="10" max="10" width="15.5703125" bestFit="1" customWidth="1"/>
    <col min="11" max="11" width="19.28515625" bestFit="1" customWidth="1"/>
    <col min="12" max="12" width="27" bestFit="1" customWidth="1"/>
    <col min="13" max="13" width="28.7109375" bestFit="1" customWidth="1"/>
    <col min="14" max="14" width="17" style="1" bestFit="1" customWidth="1"/>
    <col min="15" max="15" width="20.85546875" style="1" bestFit="1" customWidth="1"/>
    <col min="16" max="16" width="22.5703125" style="1" bestFit="1" customWidth="1"/>
    <col min="17" max="17" width="20.140625" bestFit="1" customWidth="1"/>
    <col min="18" max="18" width="26.42578125" bestFit="1" customWidth="1"/>
    <col min="19" max="19" width="20.7109375" bestFit="1" customWidth="1"/>
    <col min="20" max="20" width="14.42578125" bestFit="1" customWidth="1"/>
    <col min="21" max="21" width="20.85546875" bestFit="1" customWidth="1"/>
    <col min="22" max="22" width="22.5703125" bestFit="1" customWidth="1"/>
    <col min="23" max="23" width="19.140625" bestFit="1" customWidth="1"/>
    <col min="24" max="24" width="15.42578125" bestFit="1" customWidth="1"/>
    <col min="25" max="25" width="21.5703125" bestFit="1" customWidth="1"/>
    <col min="26" max="27" width="24" bestFit="1" customWidth="1"/>
    <col min="28" max="28" width="19.85546875" bestFit="1" customWidth="1"/>
    <col min="29" max="30" width="28.140625" bestFit="1" customWidth="1"/>
    <col min="31" max="31" width="27.28515625" bestFit="1" customWidth="1"/>
    <col min="32" max="32" width="37.42578125" customWidth="1"/>
    <col min="33" max="33" width="18.85546875" bestFit="1" customWidth="1"/>
    <col min="34" max="34" width="18.7109375" bestFit="1" customWidth="1"/>
    <col min="35" max="35" width="19.28515625" bestFit="1" customWidth="1"/>
    <col min="36" max="36" width="28.42578125" customWidth="1"/>
  </cols>
  <sheetData>
    <row r="1" spans="1:36" ht="30" x14ac:dyDescent="0.25">
      <c r="A1" t="s">
        <v>1</v>
      </c>
      <c r="B1" t="s">
        <v>42</v>
      </c>
      <c r="C1" t="s">
        <v>43</v>
      </c>
      <c r="D1" t="s">
        <v>44</v>
      </c>
      <c r="E1" t="s">
        <v>5</v>
      </c>
      <c r="F1" t="s">
        <v>45</v>
      </c>
      <c r="G1" t="s">
        <v>6</v>
      </c>
      <c r="H1" t="s">
        <v>0</v>
      </c>
      <c r="I1" t="s">
        <v>7</v>
      </c>
      <c r="J1" t="s">
        <v>46</v>
      </c>
      <c r="K1" t="s">
        <v>47</v>
      </c>
      <c r="L1" t="s">
        <v>8</v>
      </c>
      <c r="M1" t="s">
        <v>48</v>
      </c>
      <c r="N1" s="1" t="s">
        <v>49</v>
      </c>
      <c r="O1" s="1" t="s">
        <v>50</v>
      </c>
      <c r="P1" s="1" t="s">
        <v>51</v>
      </c>
      <c r="Q1" t="s">
        <v>52</v>
      </c>
      <c r="R1" s="18" t="s">
        <v>53</v>
      </c>
      <c r="S1" s="18" t="s">
        <v>54</v>
      </c>
      <c r="T1" t="s">
        <v>55</v>
      </c>
      <c r="U1" s="19" t="s">
        <v>56</v>
      </c>
      <c r="V1" s="19" t="s">
        <v>57</v>
      </c>
      <c r="W1" t="s">
        <v>58</v>
      </c>
      <c r="X1" t="s">
        <v>19</v>
      </c>
      <c r="Y1" s="15" t="s">
        <v>36</v>
      </c>
      <c r="Z1" s="15" t="s">
        <v>91</v>
      </c>
      <c r="AA1" s="15" t="s">
        <v>92</v>
      </c>
      <c r="AB1" s="15" t="s">
        <v>93</v>
      </c>
      <c r="AC1" s="15" t="s">
        <v>94</v>
      </c>
      <c r="AD1" s="15" t="s">
        <v>74</v>
      </c>
      <c r="AE1" s="15" t="s">
        <v>75</v>
      </c>
      <c r="AF1" s="15" t="s">
        <v>4</v>
      </c>
      <c r="AG1" s="16" t="s">
        <v>3</v>
      </c>
      <c r="AH1" s="15" t="s">
        <v>26</v>
      </c>
      <c r="AI1" s="15" t="s">
        <v>27</v>
      </c>
      <c r="AJ1" s="4" t="s">
        <v>73</v>
      </c>
    </row>
    <row r="2" spans="1:36" x14ac:dyDescent="0.25">
      <c r="A2">
        <v>1</v>
      </c>
      <c r="B2" t="s">
        <v>59</v>
      </c>
      <c r="C2" t="s">
        <v>60</v>
      </c>
      <c r="D2" t="s">
        <v>61</v>
      </c>
      <c r="E2" t="s">
        <v>62</v>
      </c>
      <c r="F2">
        <v>1000000000</v>
      </c>
      <c r="G2" s="1">
        <v>45504</v>
      </c>
      <c r="H2" s="1">
        <v>48060</v>
      </c>
      <c r="I2">
        <v>7</v>
      </c>
      <c r="J2" t="s">
        <v>63</v>
      </c>
      <c r="K2">
        <v>7.4749999999999996</v>
      </c>
      <c r="L2" t="s">
        <v>64</v>
      </c>
      <c r="M2" t="s">
        <v>65</v>
      </c>
      <c r="N2" s="1">
        <v>45624</v>
      </c>
      <c r="O2" s="1">
        <v>45624</v>
      </c>
      <c r="P2" s="1">
        <v>45624</v>
      </c>
      <c r="Q2">
        <v>50</v>
      </c>
      <c r="R2" s="18">
        <v>50000000000</v>
      </c>
      <c r="S2" s="18">
        <v>50947437000</v>
      </c>
      <c r="T2">
        <v>6.2</v>
      </c>
      <c r="U2" s="19">
        <v>45649</v>
      </c>
      <c r="V2" s="19">
        <v>45649</v>
      </c>
      <c r="W2" s="18">
        <v>51163198000</v>
      </c>
      <c r="X2" s="18">
        <f>Sheet_1[[#This Row],[Ngày giao dịch lần 2]]-Sheet_1[[#This Row],[Ngày giao dịch lần 1]]</f>
        <v>25</v>
      </c>
      <c r="Y2" t="str">
        <f>IFERROR(VLOOKUP(Sheet_1[[#This Row],[Kỳ hạn còn lại]],'Thang kỳ hạn Repo'!$A$1:$B$63,2,0),"Kỳ hạn lẻ")</f>
        <v>Kỳ hạn lẻ</v>
      </c>
      <c r="Z2">
        <f>IF(Sheet_1[[#This Row],[Mã kỳ hạn chuẩn]]="Kỳ hạn lẻ",IFERROR(
_xlfn.IFS(Sheet_1[[#This Row],[Kỳ hạn còn lại]]&gt;365,365,
Sheet_1[[#This Row],[Kỳ hạn còn lại]]&gt;270,270,
Sheet_1[[#This Row],[Kỳ hạn còn lại]]&gt;180,180,
Sheet_1[[#This Row],[Kỳ hạn còn lại]]&gt;90,90,
Sheet_1[[#This Row],[Kỳ hạn còn lại]]&gt;60,60,
Sheet_1[[#This Row],[Kỳ hạn còn lại]]&gt;30,30,
Sheet_1[[#This Row],[Kỳ hạn còn lại]]&gt;14,14,
Sheet_1[[#This Row],[Kỳ hạn còn lại]]&gt;7,7,
Sheet_1[[#This Row],[Kỳ hạn còn lại]]&gt;1,1),0),"")</f>
        <v>14</v>
      </c>
      <c r="AA2">
        <f>IF(Sheet_1[[#This Row],[Mã kỳ hạn chuẩn]]="Kỳ hạn lẻ",IFERROR(
_xlfn.IFS(Sheet_1[[#This Row],[Kỳ hạn còn lại]]&lt;1,1,
Sheet_1[[#This Row],[Kỳ hạn còn lại]]&lt;7,7,
Sheet_1[[#This Row],[Kỳ hạn còn lại]]&lt;14,14,
Sheet_1[[#This Row],[Kỳ hạn còn lại]]&lt;30,30,
Sheet_1[[#This Row],[Kỳ hạn còn lại]]&lt;60,60,
Sheet_1[[#This Row],[Kỳ hạn còn lại]]&lt;90,90,
Sheet_1[[#This Row],[Kỳ hạn còn lại]]&lt;180,180,
Sheet_1[[#This Row],[Kỳ hạn còn lại]]&lt;270,270,
Sheet_1[[#This Row],[Kỳ hạn còn lại]]&lt;365,365),
0),"")</f>
        <v>30</v>
      </c>
      <c r="AB2">
        <f>IF(Sheet_1[[#This Row],[Mã kỳ hạn chuẩn]]="Kỳ hạn lẻ",_xlfn.SWITCH(Sheet_1[[#This Row],[Kỳ hạn Repo chuẩn (shorter)]],14,VLOOKUP(Sheet_1[[#This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4.4649999999999999</v>
      </c>
      <c r="AC2">
        <f>IF(Sheet_1[[#This Row],[Mã kỳ hạn chuẩn]]="Kỳ hạn lẻ",_xlfn.SWITCH(Sheet_1[[#This Row],[Kỳ hạn Repo chuẩn (longer)]],14,VLOOKUP(Sheet_1[[#This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4.468</v>
      </c>
      <c r="AD2" s="14">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0.51692500000000063</v>
      </c>
      <c r="AE2" s="14">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0.48476818181818199</v>
      </c>
      <c r="AF2" s="14">
        <f>IF(Sheet_1[[#This Row],[Mã kỳ hạn chuẩn]]="Kỳ hạn lẻ",_xlfn.FORECAST.LINEAR(Sheet_1[[#This Row],[Kỳ hạn còn lại]],Sheet_1[[#This Row],[Biên độ chuẩn (shorter)]:[Biên độ chuẩn (longer)]],Sheet_1[[#This Row],[Kỳ hạn Repo chuẩn (shorter)]:[Kỳ hạn Repo chuẩn (longer)]]),VLOOKUP(Sheet_1[[#This Row],[Mã kỳ hạn chuẩn]],'Biên độ MM, Repo'!$B$2:$D$10,3,0))</f>
        <v>0.49481718750000037</v>
      </c>
      <c r="AG2" s="20">
        <f>IF(Sheet_1[[#This Row],[Mã kỳ hạn chuẩn]]="Kỳ hạn lẻ",_xlfn.FORECAST.LINEAR(Sheet_1[[#This Row],[Kỳ hạn còn lại]],Sheet_1[[#This Row],[LS Repo chuẩn (shorter)]:[LS Repo chuẩn (longer)]],Sheet_1[[#This Row],[Kỳ hạn Repo chuẩn (shorter)]:[Kỳ hạn Repo chuẩn (longer)]]),INDEX('Data Repo'!$A:$I,MATCH(Sheet_1[[#This Row],[Ngày giao dịch lần 1]],'Data Repo'!A:A,0),MATCH(Sheet_1[[#This Row],[Kỳ hạn còn lại]],'Data Repo'!$A$1:$I$1,0)))</f>
        <v>4.4670624999999999</v>
      </c>
      <c r="AH2" s="21">
        <f>Sheet_1[[#This Row],[Lãi suất tham chiếu]]+Sheet_1[[#This Row],[Biên độ]]</f>
        <v>4.9618796875000006</v>
      </c>
      <c r="AI2" s="21">
        <f>Sheet_1[[#This Row],[Lãi suất tham chiếu]]-Sheet_1[[#This Row],[Biên độ]]</f>
        <v>3.9722453124999997</v>
      </c>
      <c r="AJ2" s="22" t="str">
        <f>IF(Sheet_1[[#This Row],[Lãi suất repo]]&gt;Sheet_1[[#This Row],[Lãi suất tham chiếu lớn nhất]],"Giao dịch bất lợi cho VCBNeo",IF(Sheet_1[[#This Row],[Lãi suất repo]]&lt;Sheet_1[[#This Row],[Lãi suất tham chiếu nhỏ nhất]],"Giao dịch có lợi cho VCBNeo","GD Hợp lý"))</f>
        <v>Giao dịch bất lợi cho VCBNeo</v>
      </c>
    </row>
    <row r="3" spans="1:36" x14ac:dyDescent="0.25">
      <c r="A3">
        <v>2</v>
      </c>
      <c r="B3" t="s">
        <v>59</v>
      </c>
      <c r="C3" t="s">
        <v>66</v>
      </c>
      <c r="D3" t="s">
        <v>61</v>
      </c>
      <c r="E3" t="s">
        <v>62</v>
      </c>
      <c r="F3">
        <v>1000000000</v>
      </c>
      <c r="G3" s="1">
        <v>45450</v>
      </c>
      <c r="H3" s="1">
        <v>48006</v>
      </c>
      <c r="I3">
        <v>7</v>
      </c>
      <c r="J3" t="s">
        <v>63</v>
      </c>
      <c r="K3">
        <v>7.4749999999999996</v>
      </c>
      <c r="L3" t="s">
        <v>64</v>
      </c>
      <c r="M3" t="s">
        <v>67</v>
      </c>
      <c r="N3" s="1">
        <v>45624</v>
      </c>
      <c r="O3" s="1">
        <v>45624</v>
      </c>
      <c r="P3" s="1">
        <v>45624</v>
      </c>
      <c r="Q3">
        <v>50</v>
      </c>
      <c r="R3" s="18">
        <v>50000000000</v>
      </c>
      <c r="S3" s="18">
        <v>51572712700</v>
      </c>
      <c r="T3">
        <v>6.2</v>
      </c>
      <c r="U3" s="19">
        <v>45649</v>
      </c>
      <c r="V3" s="19">
        <v>45649</v>
      </c>
      <c r="W3" s="18">
        <v>51791121750</v>
      </c>
      <c r="X3" s="18">
        <f>Sheet_1[[#This Row],[Ngày giao dịch lần 2]]-Sheet_1[[#This Row],[Ngày giao dịch lần 1]]</f>
        <v>25</v>
      </c>
      <c r="Y3" t="str">
        <f>IFERROR(VLOOKUP(Sheet_1[[#This Row],[Kỳ hạn còn lại]],'Thang kỳ hạn Repo'!$A$1:$B$63,2,0),"Kỳ hạn lẻ")</f>
        <v>Kỳ hạn lẻ</v>
      </c>
      <c r="Z3">
        <f>IF(Sheet_1[[#This Row],[Mã kỳ hạn chuẩn]]="Kỳ hạn lẻ",IFERROR(
_xlfn.IFS(Sheet_1[[#This Row],[Kỳ hạn còn lại]]&gt;365,365,
Sheet_1[[#This Row],[Kỳ hạn còn lại]]&gt;270,270,
Sheet_1[[#This Row],[Kỳ hạn còn lại]]&gt;180,180,
Sheet_1[[#This Row],[Kỳ hạn còn lại]]&gt;90,90,
Sheet_1[[#This Row],[Kỳ hạn còn lại]]&gt;60,60,
Sheet_1[[#This Row],[Kỳ hạn còn lại]]&gt;30,30,
Sheet_1[[#This Row],[Kỳ hạn còn lại]]&gt;14,14,
Sheet_1[[#This Row],[Kỳ hạn còn lại]]&gt;7,7,
Sheet_1[[#This Row],[Kỳ hạn còn lại]]&gt;1,1),0),"")</f>
        <v>14</v>
      </c>
      <c r="AA3">
        <f>IF(Sheet_1[[#This Row],[Mã kỳ hạn chuẩn]]="Kỳ hạn lẻ",IFERROR(
_xlfn.IFS(Sheet_1[[#This Row],[Kỳ hạn còn lại]]&lt;1,1,
Sheet_1[[#This Row],[Kỳ hạn còn lại]]&lt;7,7,
Sheet_1[[#This Row],[Kỳ hạn còn lại]]&lt;14,14,
Sheet_1[[#This Row],[Kỳ hạn còn lại]]&lt;30,30,
Sheet_1[[#This Row],[Kỳ hạn còn lại]]&lt;60,60,
Sheet_1[[#This Row],[Kỳ hạn còn lại]]&lt;90,90,
Sheet_1[[#This Row],[Kỳ hạn còn lại]]&lt;180,180,
Sheet_1[[#This Row],[Kỳ hạn còn lại]]&lt;270,270,
Sheet_1[[#This Row],[Kỳ hạn còn lại]]&lt;365,365),
0),"")</f>
        <v>30</v>
      </c>
      <c r="AB3">
        <f>IF(Sheet_1[[#This Row],[Mã kỳ hạn chuẩn]]="Kỳ hạn lẻ",_xlfn.SWITCH(Sheet_1[[#This Row],[Kỳ hạn Repo chuẩn (shorter)]],14,VLOOKUP(Sheet_1[[#This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4.4649999999999999</v>
      </c>
      <c r="AC3">
        <f>IF(Sheet_1[[#This Row],[Mã kỳ hạn chuẩn]]="Kỳ hạn lẻ",_xlfn.SWITCH(Sheet_1[[#This Row],[Kỳ hạn Repo chuẩn (longer)]],14,VLOOKUP(Sheet_1[[#This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4.468</v>
      </c>
      <c r="AD3" s="21">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0.51692500000000063</v>
      </c>
      <c r="AE3" s="21">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0.48476818181818199</v>
      </c>
      <c r="AF3" s="21">
        <f>IF(Sheet_1[[#This Row],[Mã kỳ hạn chuẩn]]="Kỳ hạn lẻ",_xlfn.FORECAST.LINEAR(Sheet_1[[#This Row],[Kỳ hạn còn lại]],Sheet_1[[#This Row],[Biên độ chuẩn (shorter)]:[Biên độ chuẩn (longer)]],Sheet_1[[#This Row],[Kỳ hạn Repo chuẩn (shorter)]:[Kỳ hạn Repo chuẩn (longer)]]),VLOOKUP(Sheet_1[[#This Row],[Mã kỳ hạn chuẩn]],'Biên độ MM, Repo'!$B$2:$D$10,3,0))</f>
        <v>0.49481718750000037</v>
      </c>
      <c r="AG3" s="20">
        <f>IF(Sheet_1[[#This Row],[Mã kỳ hạn chuẩn]]="Kỳ hạn lẻ",_xlfn.FORECAST.LINEAR(Sheet_1[[#This Row],[Kỳ hạn còn lại]],Sheet_1[[#This Row],[LS Repo chuẩn (shorter)]:[LS Repo chuẩn (longer)]],Sheet_1[[#This Row],[Kỳ hạn Repo chuẩn (shorter)]:[Kỳ hạn Repo chuẩn (longer)]]),INDEX('Data Repo'!$A:$I,MATCH(Sheet_1[[#This Row],[Ngày giao dịch lần 1]],'Data Repo'!A:A,0),MATCH(Sheet_1[[#This Row],[Kỳ hạn còn lại]],'Data Repo'!$A$1:$I$1,0)))</f>
        <v>4.4670624999999999</v>
      </c>
      <c r="AH3" s="21">
        <f>Sheet_1[[#This Row],[Lãi suất tham chiếu]]+Sheet_1[[#This Row],[Biên độ]]</f>
        <v>4.9618796875000006</v>
      </c>
      <c r="AI3" s="21">
        <f>Sheet_1[[#This Row],[Lãi suất tham chiếu]]-Sheet_1[[#This Row],[Biên độ]]</f>
        <v>3.9722453124999997</v>
      </c>
      <c r="AJ3" s="22" t="str">
        <f>IF(Sheet_1[[#This Row],[Lãi suất repo]]&gt;Sheet_1[[#This Row],[Lãi suất tham chiếu lớn nhất]],"Giao dịch bất lợi cho VCBNeo",IF(Sheet_1[[#This Row],[Lãi suất repo]]&lt;Sheet_1[[#This Row],[Lãi suất tham chiếu nhỏ nhất]],"Giao dịch có lợi cho VCBNeo","GD Hợp lý"))</f>
        <v>Giao dịch bất lợi cho VCBNeo</v>
      </c>
    </row>
    <row r="4" spans="1:36" x14ac:dyDescent="0.25">
      <c r="A4">
        <v>3</v>
      </c>
      <c r="B4" t="s">
        <v>59</v>
      </c>
      <c r="C4" t="s">
        <v>66</v>
      </c>
      <c r="D4" t="s">
        <v>61</v>
      </c>
      <c r="E4" t="s">
        <v>62</v>
      </c>
      <c r="F4">
        <v>1000000000</v>
      </c>
      <c r="G4" s="1">
        <v>45450</v>
      </c>
      <c r="H4" s="1">
        <v>48006</v>
      </c>
      <c r="I4">
        <v>7</v>
      </c>
      <c r="J4" t="s">
        <v>63</v>
      </c>
      <c r="K4">
        <v>7.4749999999999996</v>
      </c>
      <c r="L4" t="s">
        <v>64</v>
      </c>
      <c r="M4" t="s">
        <v>68</v>
      </c>
      <c r="N4" s="1">
        <v>45624</v>
      </c>
      <c r="O4" s="1">
        <v>45624</v>
      </c>
      <c r="P4" s="1">
        <v>45624</v>
      </c>
      <c r="Q4">
        <v>50</v>
      </c>
      <c r="R4" s="18">
        <v>50000000000</v>
      </c>
      <c r="S4" s="18">
        <v>51572712700</v>
      </c>
      <c r="T4">
        <v>6.2</v>
      </c>
      <c r="U4" s="19">
        <v>45649</v>
      </c>
      <c r="V4" s="19">
        <v>45649</v>
      </c>
      <c r="W4" s="18">
        <v>51791121750</v>
      </c>
      <c r="X4" s="18">
        <f>Sheet_1[[#This Row],[Ngày giao dịch lần 2]]-Sheet_1[[#This Row],[Ngày giao dịch lần 1]]</f>
        <v>25</v>
      </c>
      <c r="Y4" t="str">
        <f>IFERROR(VLOOKUP(Sheet_1[[#This Row],[Kỳ hạn còn lại]],'Thang kỳ hạn Repo'!$A$1:$B$63,2,0),"Kỳ hạn lẻ")</f>
        <v>Kỳ hạn lẻ</v>
      </c>
      <c r="Z4">
        <f>IF(Sheet_1[[#This Row],[Mã kỳ hạn chuẩn]]="Kỳ hạn lẻ",IFERROR(
_xlfn.IFS(Sheet_1[[#This Row],[Kỳ hạn còn lại]]&gt;365,365,
Sheet_1[[#This Row],[Kỳ hạn còn lại]]&gt;270,270,
Sheet_1[[#This Row],[Kỳ hạn còn lại]]&gt;180,180,
Sheet_1[[#This Row],[Kỳ hạn còn lại]]&gt;90,90,
Sheet_1[[#This Row],[Kỳ hạn còn lại]]&gt;60,60,
Sheet_1[[#This Row],[Kỳ hạn còn lại]]&gt;30,30,
Sheet_1[[#This Row],[Kỳ hạn còn lại]]&gt;14,14,
Sheet_1[[#This Row],[Kỳ hạn còn lại]]&gt;7,7,
Sheet_1[[#This Row],[Kỳ hạn còn lại]]&gt;1,1),0),"")</f>
        <v>14</v>
      </c>
      <c r="AA4">
        <f>IF(Sheet_1[[#This Row],[Mã kỳ hạn chuẩn]]="Kỳ hạn lẻ",IFERROR(
_xlfn.IFS(Sheet_1[[#This Row],[Kỳ hạn còn lại]]&lt;1,1,
Sheet_1[[#This Row],[Kỳ hạn còn lại]]&lt;7,7,
Sheet_1[[#This Row],[Kỳ hạn còn lại]]&lt;14,14,
Sheet_1[[#This Row],[Kỳ hạn còn lại]]&lt;30,30,
Sheet_1[[#This Row],[Kỳ hạn còn lại]]&lt;60,60,
Sheet_1[[#This Row],[Kỳ hạn còn lại]]&lt;90,90,
Sheet_1[[#This Row],[Kỳ hạn còn lại]]&lt;180,180,
Sheet_1[[#This Row],[Kỳ hạn còn lại]]&lt;270,270,
Sheet_1[[#This Row],[Kỳ hạn còn lại]]&lt;365,365),
0),"")</f>
        <v>30</v>
      </c>
      <c r="AB4">
        <f>IF(Sheet_1[[#This Row],[Mã kỳ hạn chuẩn]]="Kỳ hạn lẻ",_xlfn.SWITCH(Sheet_1[[#This Row],[Kỳ hạn Repo chuẩn (shorter)]],14,VLOOKUP(Sheet_1[[#This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4.4649999999999999</v>
      </c>
      <c r="AC4">
        <f>IF(Sheet_1[[#This Row],[Mã kỳ hạn chuẩn]]="Kỳ hạn lẻ",_xlfn.SWITCH(Sheet_1[[#This Row],[Kỳ hạn Repo chuẩn (longer)]],14,VLOOKUP(Sheet_1[[#This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4.468</v>
      </c>
      <c r="AD4" s="21">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0.51692500000000063</v>
      </c>
      <c r="AE4" s="21">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0.48476818181818199</v>
      </c>
      <c r="AF4" s="21">
        <f>IF(Sheet_1[[#This Row],[Mã kỳ hạn chuẩn]]="Kỳ hạn lẻ",_xlfn.FORECAST.LINEAR(Sheet_1[[#This Row],[Kỳ hạn còn lại]],Sheet_1[[#This Row],[Biên độ chuẩn (shorter)]:[Biên độ chuẩn (longer)]],Sheet_1[[#This Row],[Kỳ hạn Repo chuẩn (shorter)]:[Kỳ hạn Repo chuẩn (longer)]]),VLOOKUP(Sheet_1[[#This Row],[Mã kỳ hạn chuẩn]],'Biên độ MM, Repo'!$B$2:$D$10,3,0))</f>
        <v>0.49481718750000037</v>
      </c>
      <c r="AG4" s="20">
        <f>IF(Sheet_1[[#This Row],[Mã kỳ hạn chuẩn]]="Kỳ hạn lẻ",_xlfn.FORECAST.LINEAR(Sheet_1[[#This Row],[Kỳ hạn còn lại]],Sheet_1[[#This Row],[LS Repo chuẩn (shorter)]:[LS Repo chuẩn (longer)]],Sheet_1[[#This Row],[Kỳ hạn Repo chuẩn (shorter)]:[Kỳ hạn Repo chuẩn (longer)]]),INDEX('Data Repo'!$A:$I,MATCH(Sheet_1[[#This Row],[Ngày giao dịch lần 1]],'Data Repo'!A:A,0),MATCH(Sheet_1[[#This Row],[Kỳ hạn còn lại]],'Data Repo'!$A$1:$I$1,0)))</f>
        <v>4.4670624999999999</v>
      </c>
      <c r="AH4" s="21">
        <f>Sheet_1[[#This Row],[Lãi suất tham chiếu]]+Sheet_1[[#This Row],[Biên độ]]</f>
        <v>4.9618796875000006</v>
      </c>
      <c r="AI4" s="21">
        <f>Sheet_1[[#This Row],[Lãi suất tham chiếu]]-Sheet_1[[#This Row],[Biên độ]]</f>
        <v>3.9722453124999997</v>
      </c>
      <c r="AJ4" s="22" t="str">
        <f>IF(Sheet_1[[#This Row],[Lãi suất repo]]&gt;Sheet_1[[#This Row],[Lãi suất tham chiếu lớn nhất]],"Giao dịch bất lợi cho VCBNeo",IF(Sheet_1[[#This Row],[Lãi suất repo]]&lt;Sheet_1[[#This Row],[Lãi suất tham chiếu nhỏ nhất]],"Giao dịch có lợi cho VCBNeo","GD Hợp lý"))</f>
        <v>Giao dịch bất lợi cho VCBNeo</v>
      </c>
    </row>
    <row r="5" spans="1:36" x14ac:dyDescent="0.25">
      <c r="A5">
        <v>4</v>
      </c>
      <c r="B5" t="s">
        <v>59</v>
      </c>
      <c r="C5" t="s">
        <v>69</v>
      </c>
      <c r="D5" t="s">
        <v>61</v>
      </c>
      <c r="E5" t="s">
        <v>62</v>
      </c>
      <c r="F5">
        <v>1000000000</v>
      </c>
      <c r="G5" s="1">
        <v>45527</v>
      </c>
      <c r="H5" s="1">
        <v>48083</v>
      </c>
      <c r="I5">
        <v>7</v>
      </c>
      <c r="J5" t="s">
        <v>63</v>
      </c>
      <c r="K5">
        <v>7.5750000000000002</v>
      </c>
      <c r="L5" t="s">
        <v>64</v>
      </c>
      <c r="M5" t="s">
        <v>70</v>
      </c>
      <c r="N5" s="1">
        <v>45621</v>
      </c>
      <c r="O5" s="1">
        <v>45621</v>
      </c>
      <c r="P5" s="1">
        <v>45621</v>
      </c>
      <c r="Q5">
        <v>150</v>
      </c>
      <c r="R5" s="18">
        <v>150000000000</v>
      </c>
      <c r="S5" s="18">
        <v>153202902750</v>
      </c>
      <c r="T5">
        <v>5.8</v>
      </c>
      <c r="U5" s="19">
        <v>45651</v>
      </c>
      <c r="V5" s="19">
        <v>45651</v>
      </c>
      <c r="W5" s="18">
        <v>153931244400</v>
      </c>
      <c r="X5" s="18">
        <f>Sheet_1[[#This Row],[Ngày giao dịch lần 2]]-Sheet_1[[#This Row],[Ngày giao dịch lần 1]]</f>
        <v>30</v>
      </c>
      <c r="Y5" t="str">
        <f>IFERROR(VLOOKUP(Sheet_1[[#This Row],[Kỳ hạn còn lại]],'Thang kỳ hạn Repo'!$A$1:$B$63,2,0),"Kỳ hạn lẻ")</f>
        <v>1M</v>
      </c>
      <c r="Z5" t="str">
        <f>IF(Sheet_1[[#This Row],[Mã kỳ hạn chuẩn]]="Kỳ hạn lẻ",IFERROR(
_xlfn.IFS(Sheet_1[[#This Row],[Kỳ hạn còn lại]]&gt;365,365,
Sheet_1[[#This Row],[Kỳ hạn còn lại]]&gt;270,270,
Sheet_1[[#This Row],[Kỳ hạn còn lại]]&gt;180,180,
Sheet_1[[#This Row],[Kỳ hạn còn lại]]&gt;90,90,
Sheet_1[[#This Row],[Kỳ hạn còn lại]]&gt;60,60,
Sheet_1[[#This Row],[Kỳ hạn còn lại]]&gt;30,30,
Sheet_1[[#This Row],[Kỳ hạn còn lại]]&gt;14,14,
Sheet_1[[#This Row],[Kỳ hạn còn lại]]&gt;7,7,
Sheet_1[[#This Row],[Kỳ hạn còn lại]]&gt;1,1),0),"")</f>
        <v/>
      </c>
      <c r="AA5" t="str">
        <f>IF(Sheet_1[[#This Row],[Mã kỳ hạn chuẩn]]="Kỳ hạn lẻ",IFERROR(
_xlfn.IFS(Sheet_1[[#This Row],[Kỳ hạn còn lại]]&lt;1,1,
Sheet_1[[#This Row],[Kỳ hạn còn lại]]&lt;7,7,
Sheet_1[[#This Row],[Kỳ hạn còn lại]]&lt;14,14,
Sheet_1[[#This Row],[Kỳ hạn còn lại]]&lt;30,30,
Sheet_1[[#This Row],[Kỳ hạn còn lại]]&lt;60,60,
Sheet_1[[#This Row],[Kỳ hạn còn lại]]&lt;90,90,
Sheet_1[[#This Row],[Kỳ hạn còn lại]]&lt;180,180,
Sheet_1[[#This Row],[Kỳ hạn còn lại]]&lt;270,270,
Sheet_1[[#This Row],[Kỳ hạn còn lại]]&lt;365,365),
0),"")</f>
        <v/>
      </c>
      <c r="AB5" t="str">
        <f>IF(Sheet_1[[#This Row],[Mã kỳ hạn chuẩn]]="Kỳ hạn lẻ",_xlfn.SWITCH(Sheet_1[[#This Row],[Kỳ hạn Repo chuẩn (shorter)]],14,VLOOKUP(Sheet_1[[#This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
      </c>
      <c r="AC5" t="str">
        <f>IF(Sheet_1[[#This Row],[Mã kỳ hạn chuẩn]]="Kỳ hạn lẻ",_xlfn.SWITCH(Sheet_1[[#This Row],[Kỳ hạn Repo chuẩn (longer)]],14,VLOOKUP(Sheet_1[[#This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
      </c>
      <c r="AD5" s="21">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0</v>
      </c>
      <c r="AE5" s="21">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0</v>
      </c>
      <c r="AF5" s="21">
        <f>IF(Sheet_1[[#This Row],[Mã kỳ hạn chuẩn]]="Kỳ hạn lẻ",_xlfn.FORECAST.LINEAR(Sheet_1[[#This Row],[Kỳ hạn còn lại]],Sheet_1[[#This Row],[Biên độ chuẩn (shorter)]:[Biên độ chuẩn (longer)]],Sheet_1[[#This Row],[Kỳ hạn Repo chuẩn (shorter)]:[Kỳ hạn Repo chuẩn (longer)]]),VLOOKUP(Sheet_1[[#This Row],[Mã kỳ hạn chuẩn]],'Biên độ MM, Repo'!$B$2:$D$10,3,0))</f>
        <v>0.48476818181818199</v>
      </c>
      <c r="AG5" s="20">
        <f>IF(Sheet_1[[#This Row],[Mã kỳ hạn chuẩn]]="Kỳ hạn lẻ",_xlfn.FORECAST.LINEAR(Sheet_1[[#This Row],[Kỳ hạn còn lại]],Sheet_1[[#This Row],[LS Repo chuẩn (shorter)]:[LS Repo chuẩn (longer)]],Sheet_1[[#This Row],[Kỳ hạn Repo chuẩn (shorter)]:[Kỳ hạn Repo chuẩn (longer)]]),INDEX('Data Repo'!$A:$I,MATCH(Sheet_1[[#This Row],[Ngày giao dịch lần 1]],'Data Repo'!A:A,0),MATCH(Sheet_1[[#This Row],[Kỳ hạn còn lại]],'Data Repo'!$A$1:$I$1,0)))</f>
        <v>4.5670000000000002</v>
      </c>
      <c r="AH5" s="21">
        <f>Sheet_1[[#This Row],[Lãi suất tham chiếu]]+Sheet_1[[#This Row],[Biên độ]]</f>
        <v>5.0517681818181819</v>
      </c>
      <c r="AI5" s="21">
        <f>Sheet_1[[#This Row],[Lãi suất tham chiếu]]-Sheet_1[[#This Row],[Biên độ]]</f>
        <v>4.0822318181818185</v>
      </c>
      <c r="AJ5" s="22" t="str">
        <f>IF(Sheet_1[[#This Row],[Lãi suất repo]]&gt;Sheet_1[[#This Row],[Lãi suất tham chiếu lớn nhất]],"Giao dịch bất lợi cho VCBNeo",IF(Sheet_1[[#This Row],[Lãi suất repo]]&lt;Sheet_1[[#This Row],[Lãi suất tham chiếu nhỏ nhất]],"Giao dịch có lợi cho VCBNeo","GD Hợp lý"))</f>
        <v>Giao dịch bất lợi cho VCBNeo</v>
      </c>
    </row>
    <row r="6" spans="1:36" x14ac:dyDescent="0.25">
      <c r="A6">
        <v>5</v>
      </c>
      <c r="B6" t="s">
        <v>59</v>
      </c>
      <c r="C6" t="s">
        <v>71</v>
      </c>
      <c r="D6" t="s">
        <v>61</v>
      </c>
      <c r="E6" t="s">
        <v>62</v>
      </c>
      <c r="F6">
        <v>1000000000</v>
      </c>
      <c r="G6" s="1">
        <v>45565</v>
      </c>
      <c r="H6" s="1">
        <v>48121</v>
      </c>
      <c r="I6">
        <v>7</v>
      </c>
      <c r="J6" t="s">
        <v>63</v>
      </c>
      <c r="K6">
        <v>7.5750000000000002</v>
      </c>
      <c r="L6" t="s">
        <v>64</v>
      </c>
      <c r="M6" t="s">
        <v>72</v>
      </c>
      <c r="N6" s="1">
        <v>45621</v>
      </c>
      <c r="O6" s="1">
        <v>45621</v>
      </c>
      <c r="P6" s="1">
        <v>45621</v>
      </c>
      <c r="Q6">
        <v>100</v>
      </c>
      <c r="R6" s="18">
        <v>100000000000</v>
      </c>
      <c r="S6" s="18">
        <v>101195810200</v>
      </c>
      <c r="T6">
        <v>5.8</v>
      </c>
      <c r="U6" s="19">
        <v>45651</v>
      </c>
      <c r="V6" s="19">
        <v>45651</v>
      </c>
      <c r="W6" s="18">
        <v>101676905000</v>
      </c>
      <c r="X6" s="18">
        <f>Sheet_1[[#This Row],[Ngày giao dịch lần 2]]-Sheet_1[[#This Row],[Ngày giao dịch lần 1]]</f>
        <v>30</v>
      </c>
      <c r="Y6" t="str">
        <f>IFERROR(VLOOKUP(Sheet_1[[#This Row],[Kỳ hạn còn lại]],'Thang kỳ hạn Repo'!$A$1:$B$63,2,0),"Kỳ hạn lẻ")</f>
        <v>1M</v>
      </c>
      <c r="Z6" t="str">
        <f>IF(Sheet_1[[#This Row],[Mã kỳ hạn chuẩn]]="Kỳ hạn lẻ",IFERROR(
_xlfn.IFS(Sheet_1[[#This Row],[Kỳ hạn còn lại]]&gt;365,365,
Sheet_1[[#This Row],[Kỳ hạn còn lại]]&gt;270,270,
Sheet_1[[#This Row],[Kỳ hạn còn lại]]&gt;180,180,
Sheet_1[[#This Row],[Kỳ hạn còn lại]]&gt;90,90,
Sheet_1[[#This Row],[Kỳ hạn còn lại]]&gt;60,60,
Sheet_1[[#This Row],[Kỳ hạn còn lại]]&gt;30,30,
Sheet_1[[#This Row],[Kỳ hạn còn lại]]&gt;14,14,
Sheet_1[[#This Row],[Kỳ hạn còn lại]]&gt;7,7,
Sheet_1[[#This Row],[Kỳ hạn còn lại]]&gt;1,1),0),"")</f>
        <v/>
      </c>
      <c r="AA6" t="str">
        <f>IF(Sheet_1[[#This Row],[Mã kỳ hạn chuẩn]]="Kỳ hạn lẻ",IFERROR(
_xlfn.IFS(Sheet_1[[#This Row],[Kỳ hạn còn lại]]&lt;1,1,
Sheet_1[[#This Row],[Kỳ hạn còn lại]]&lt;7,7,
Sheet_1[[#This Row],[Kỳ hạn còn lại]]&lt;14,14,
Sheet_1[[#This Row],[Kỳ hạn còn lại]]&lt;30,30,
Sheet_1[[#This Row],[Kỳ hạn còn lại]]&lt;60,60,
Sheet_1[[#This Row],[Kỳ hạn còn lại]]&lt;90,90,
Sheet_1[[#This Row],[Kỳ hạn còn lại]]&lt;180,180,
Sheet_1[[#This Row],[Kỳ hạn còn lại]]&lt;270,270,
Sheet_1[[#This Row],[Kỳ hạn còn lại]]&lt;365,365),
0),"")</f>
        <v/>
      </c>
      <c r="AB6" t="str">
        <f>IF(Sheet_1[[#This Row],[Mã kỳ hạn chuẩn]]="Kỳ hạn lẻ",_xlfn.SWITCH(Sheet_1[[#This Row],[Kỳ hạn Repo chuẩn (shorter)]],14,VLOOKUP(Sheet_1[[#This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
      </c>
      <c r="AC6" t="str">
        <f>IF(Sheet_1[[#This Row],[Mã kỳ hạn chuẩn]]="Kỳ hạn lẻ",_xlfn.SWITCH(Sheet_1[[#This Row],[Kỳ hạn Repo chuẩn (longer)]],14,VLOOKUP(Sheet_1[[#This Row],[Ngày giao dịch lần 1]],'Data Repo'!$A:$I,2,0),30,VLOOKUP(Sheet_1[[#This Row],[Ngày giao dịch lần 1]],'Data Repo'!$A:$I,3,0),60,VLOOKUP(Sheet_1[[#This Row],[Ngày giao dịch lần 1]],'Data Repo'!$A:$I,4,0),90,VLOOKUP(Sheet_1[[#This Row],[Ngày giao dịch lần 1]],'Data Repo'!$A:$I,5,0),180,VLOOKUP(Sheet_1[[#This Row],[Ngày giao dịch lần 1]],'Data Repo'!$A:$I,6,0),270,VLOOKUP(Sheet_1[[#This Row],[Ngày giao dịch lần 1]],'Data Repo'!$A:$I,7,0),365,VLOOKUP(Sheet_1[[#This Row],[Ngày giao dịch lần 1]],'Data Repo'!$A:$I,8,0)),"")</f>
        <v/>
      </c>
      <c r="AD6" s="21">
        <f>IF(Sheet_1[[#This Row],[Mã kỳ hạn chuẩn]]="Kỳ hạn lẻ",_xlfn.SWITCH(Sheet_1[[#This Row],[Kỳ hạn Repo chuẩn (shorter)]],1,'Biên độ MM, Repo'!$D$2,7,'Biên độ MM, Repo'!$D$3,14,'Biên độ MM, Repo'!$D$4,21,'Biên độ MM, Repo'!#REF!,30,'Biên độ MM, Repo'!$D$5,60,'Biên độ MM, Repo'!$D$6,90,'Biên độ MM, Repo'!$D$7,180,'Biên độ MM, Repo'!$D$8,270,'Biên độ MM, Repo'!$D$9,365,'Biên độ MM, Repo'!$D$10),0)</f>
        <v>0</v>
      </c>
      <c r="AE6" s="21">
        <f>IF(Sheet_1[[#This Row],[Mã kỳ hạn chuẩn]]="Kỳ hạn lẻ",_xlfn.SWITCH(Sheet_1[[#This Row],[Kỳ hạn Repo chuẩn (longer)]],1,'Biên độ MM, Repo'!$D$2,7,'Biên độ MM, Repo'!$D$3,14,'Biên độ MM, Repo'!$D$4,21,'Biên độ MM, Repo'!#REF!,30,'Biên độ MM, Repo'!$D$5,60,'Biên độ MM, Repo'!$D$6,90,'Biên độ MM, Repo'!$D$7,180,'Biên độ MM, Repo'!$D$8,270,'Biên độ MM, Repo'!$D$9,365,'Biên độ MM, Repo'!$D$10),0)</f>
        <v>0</v>
      </c>
      <c r="AF6" s="21">
        <f>IF(Sheet_1[[#This Row],[Mã kỳ hạn chuẩn]]="Kỳ hạn lẻ",_xlfn.FORECAST.LINEAR(Sheet_1[[#This Row],[Kỳ hạn còn lại]],Sheet_1[[#This Row],[Biên độ chuẩn (shorter)]:[Biên độ chuẩn (longer)]],Sheet_1[[#This Row],[Kỳ hạn Repo chuẩn (shorter)]:[Kỳ hạn Repo chuẩn (longer)]]),VLOOKUP(Sheet_1[[#This Row],[Mã kỳ hạn chuẩn]],'Biên độ MM, Repo'!$B$2:$D$10,3,0))</f>
        <v>0.48476818181818199</v>
      </c>
      <c r="AG6" s="20">
        <f>IF(Sheet_1[[#This Row],[Mã kỳ hạn chuẩn]]="Kỳ hạn lẻ",_xlfn.FORECAST.LINEAR(Sheet_1[[#This Row],[Kỳ hạn còn lại]],Sheet_1[[#This Row],[LS Repo chuẩn (shorter)]:[LS Repo chuẩn (longer)]],Sheet_1[[#This Row],[Kỳ hạn Repo chuẩn (shorter)]:[Kỳ hạn Repo chuẩn (longer)]]),INDEX('Data Repo'!$A:$I,MATCH(Sheet_1[[#This Row],[Ngày giao dịch lần 1]],'Data Repo'!A:A,0),MATCH(Sheet_1[[#This Row],[Kỳ hạn còn lại]],'Data Repo'!$A$1:$I$1,0)))</f>
        <v>4.5670000000000002</v>
      </c>
      <c r="AH6" s="21">
        <f>Sheet_1[[#This Row],[Lãi suất tham chiếu]]+Sheet_1[[#This Row],[Biên độ]]</f>
        <v>5.0517681818181819</v>
      </c>
      <c r="AI6" s="21">
        <f>Sheet_1[[#This Row],[Lãi suất tham chiếu]]-Sheet_1[[#This Row],[Biên độ]]</f>
        <v>4.0822318181818185</v>
      </c>
      <c r="AJ6" s="22" t="str">
        <f>IF(Sheet_1[[#This Row],[Lãi suất repo]]&gt;Sheet_1[[#This Row],[Lãi suất tham chiếu lớn nhất]],"Giao dịch bất lợi cho VCBNeo",IF(Sheet_1[[#This Row],[Lãi suất repo]]&lt;Sheet_1[[#This Row],[Lãi suất tham chiếu nhỏ nhất]],"Giao dịch có lợi cho VCBNeo","GD Hợp lý"))</f>
        <v>Giao dịch bất lợi cho VCBNeo</v>
      </c>
    </row>
    <row r="7" spans="1:36" ht="409.5" x14ac:dyDescent="0.25">
      <c r="P7" s="75" t="s">
        <v>168</v>
      </c>
      <c r="Q7" s="75"/>
      <c r="R7" s="75"/>
      <c r="S7" s="75"/>
      <c r="T7" s="75"/>
      <c r="U7" s="75"/>
      <c r="V7" s="75"/>
      <c r="W7" s="75"/>
      <c r="X7" s="75"/>
      <c r="Y7" s="73" t="s">
        <v>169</v>
      </c>
      <c r="Z7" s="71" t="s">
        <v>170</v>
      </c>
      <c r="AA7" s="71" t="s">
        <v>171</v>
      </c>
      <c r="AB7" s="71" t="s">
        <v>172</v>
      </c>
      <c r="AC7" s="71" t="s">
        <v>173</v>
      </c>
      <c r="AD7" s="71" t="s">
        <v>174</v>
      </c>
      <c r="AE7" s="71" t="s">
        <v>175</v>
      </c>
      <c r="AF7" s="71" t="s">
        <v>176</v>
      </c>
      <c r="AG7" s="71" t="s">
        <v>177</v>
      </c>
      <c r="AH7" s="71" t="s">
        <v>178</v>
      </c>
      <c r="AI7" s="71" t="s">
        <v>179</v>
      </c>
      <c r="AJ7" s="37" t="s">
        <v>180</v>
      </c>
    </row>
  </sheetData>
  <mergeCells count="1">
    <mergeCell ref="P7:X7"/>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068F-096D-43CB-90C3-4B34030C7A94}">
  <sheetPr>
    <tabColor rgb="FF00B050"/>
  </sheetPr>
  <dimension ref="A1:X6"/>
  <sheetViews>
    <sheetView workbookViewId="0">
      <selection sqref="A1:X6"/>
    </sheetView>
  </sheetViews>
  <sheetFormatPr defaultRowHeight="15" x14ac:dyDescent="0.25"/>
  <cols>
    <col min="1" max="1" width="6.28515625" bestFit="1" customWidth="1"/>
    <col min="2" max="2" width="27.5703125" bestFit="1" customWidth="1"/>
    <col min="3" max="3" width="12.5703125" bestFit="1" customWidth="1"/>
    <col min="4" max="4" width="12.28515625" bestFit="1" customWidth="1"/>
    <col min="5" max="5" width="19.140625" bestFit="1" customWidth="1"/>
    <col min="6" max="6" width="11.5703125" bestFit="1" customWidth="1"/>
    <col min="7" max="7" width="17.140625" bestFit="1" customWidth="1"/>
    <col min="8" max="8" width="15.42578125" bestFit="1" customWidth="1"/>
    <col min="10" max="10" width="15.5703125" bestFit="1" customWidth="1"/>
    <col min="11" max="11" width="19.28515625" bestFit="1" customWidth="1"/>
    <col min="12" max="12" width="27" bestFit="1" customWidth="1"/>
    <col min="13" max="13" width="28.7109375" bestFit="1" customWidth="1"/>
    <col min="14" max="14" width="17" bestFit="1" customWidth="1"/>
    <col min="15" max="15" width="20.85546875" bestFit="1" customWidth="1"/>
    <col min="16" max="16" width="22.5703125" bestFit="1" customWidth="1"/>
    <col min="17" max="17" width="20.140625" bestFit="1" customWidth="1"/>
    <col min="18" max="18" width="26.42578125" bestFit="1" customWidth="1"/>
    <col min="19" max="19" width="20.7109375" bestFit="1" customWidth="1"/>
    <col min="20" max="20" width="14.42578125" bestFit="1" customWidth="1"/>
    <col min="21" max="21" width="20.85546875" bestFit="1" customWidth="1"/>
    <col min="22" max="22" width="22.5703125" bestFit="1" customWidth="1"/>
    <col min="23" max="23" width="19.140625" bestFit="1" customWidth="1"/>
    <col min="24" max="24" width="15.42578125" bestFit="1" customWidth="1"/>
  </cols>
  <sheetData>
    <row r="1" spans="1:24" x14ac:dyDescent="0.25">
      <c r="A1" s="44" t="s">
        <v>1</v>
      </c>
      <c r="B1" s="45" t="s">
        <v>42</v>
      </c>
      <c r="C1" s="45" t="s">
        <v>43</v>
      </c>
      <c r="D1" s="45" t="s">
        <v>44</v>
      </c>
      <c r="E1" s="45" t="s">
        <v>5</v>
      </c>
      <c r="F1" s="45" t="s">
        <v>45</v>
      </c>
      <c r="G1" s="45" t="s">
        <v>6</v>
      </c>
      <c r="H1" s="45" t="s">
        <v>0</v>
      </c>
      <c r="I1" s="45" t="s">
        <v>7</v>
      </c>
      <c r="J1" s="45" t="s">
        <v>46</v>
      </c>
      <c r="K1" s="45" t="s">
        <v>47</v>
      </c>
      <c r="L1" s="45" t="s">
        <v>8</v>
      </c>
      <c r="M1" s="45" t="s">
        <v>48</v>
      </c>
      <c r="N1" s="50" t="s">
        <v>49</v>
      </c>
      <c r="O1" s="50" t="s">
        <v>50</v>
      </c>
      <c r="P1" s="50" t="s">
        <v>51</v>
      </c>
      <c r="Q1" s="45" t="s">
        <v>52</v>
      </c>
      <c r="R1" s="51" t="s">
        <v>53</v>
      </c>
      <c r="S1" s="51" t="s">
        <v>54</v>
      </c>
      <c r="T1" s="45" t="s">
        <v>55</v>
      </c>
      <c r="U1" s="52" t="s">
        <v>56</v>
      </c>
      <c r="V1" s="52" t="s">
        <v>57</v>
      </c>
      <c r="W1" s="45" t="s">
        <v>58</v>
      </c>
      <c r="X1" s="45" t="s">
        <v>19</v>
      </c>
    </row>
    <row r="2" spans="1:24" x14ac:dyDescent="0.25">
      <c r="A2" s="48">
        <v>1</v>
      </c>
      <c r="B2" s="46" t="s">
        <v>59</v>
      </c>
      <c r="C2" s="46" t="s">
        <v>60</v>
      </c>
      <c r="D2" s="46" t="s">
        <v>61</v>
      </c>
      <c r="E2" s="46" t="s">
        <v>62</v>
      </c>
      <c r="F2" s="46">
        <v>1000000000</v>
      </c>
      <c r="G2" s="53">
        <v>45504</v>
      </c>
      <c r="H2" s="53">
        <v>48060</v>
      </c>
      <c r="I2" s="46">
        <v>7</v>
      </c>
      <c r="J2" s="46" t="s">
        <v>63</v>
      </c>
      <c r="K2" s="46">
        <v>7.4749999999999996</v>
      </c>
      <c r="L2" s="46" t="s">
        <v>64</v>
      </c>
      <c r="M2" s="46" t="s">
        <v>65</v>
      </c>
      <c r="N2" s="53">
        <v>45624</v>
      </c>
      <c r="O2" s="53">
        <v>45624</v>
      </c>
      <c r="P2" s="53">
        <v>45624</v>
      </c>
      <c r="Q2" s="46">
        <v>50</v>
      </c>
      <c r="R2" s="54">
        <v>50000000000</v>
      </c>
      <c r="S2" s="54">
        <v>50947437000</v>
      </c>
      <c r="T2" s="46">
        <v>6.2</v>
      </c>
      <c r="U2" s="55">
        <v>45649</v>
      </c>
      <c r="V2" s="55">
        <v>45649</v>
      </c>
      <c r="W2" s="54">
        <v>51163198000</v>
      </c>
      <c r="X2" s="54">
        <f>Sheet_1[[#This Row],[Ngày giao dịch lần 2]]-Sheet_1[[#This Row],[Ngày giao dịch lần 1]]</f>
        <v>25</v>
      </c>
    </row>
    <row r="3" spans="1:24" x14ac:dyDescent="0.25">
      <c r="A3" s="49">
        <v>2</v>
      </c>
      <c r="B3" s="47" t="s">
        <v>59</v>
      </c>
      <c r="C3" s="47" t="s">
        <v>66</v>
      </c>
      <c r="D3" s="47" t="s">
        <v>61</v>
      </c>
      <c r="E3" s="47" t="s">
        <v>62</v>
      </c>
      <c r="F3" s="47">
        <v>1000000000</v>
      </c>
      <c r="G3" s="56">
        <v>45450</v>
      </c>
      <c r="H3" s="56">
        <v>48006</v>
      </c>
      <c r="I3" s="47">
        <v>7</v>
      </c>
      <c r="J3" s="47" t="s">
        <v>63</v>
      </c>
      <c r="K3" s="47">
        <v>7.4749999999999996</v>
      </c>
      <c r="L3" s="47" t="s">
        <v>64</v>
      </c>
      <c r="M3" s="47" t="s">
        <v>67</v>
      </c>
      <c r="N3" s="56">
        <v>45624</v>
      </c>
      <c r="O3" s="56">
        <v>45624</v>
      </c>
      <c r="P3" s="56">
        <v>45624</v>
      </c>
      <c r="Q3" s="47">
        <v>50</v>
      </c>
      <c r="R3" s="57">
        <v>50000000000</v>
      </c>
      <c r="S3" s="57">
        <v>51572712700</v>
      </c>
      <c r="T3" s="47">
        <v>6.2</v>
      </c>
      <c r="U3" s="58">
        <v>45649</v>
      </c>
      <c r="V3" s="58">
        <v>45649</v>
      </c>
      <c r="W3" s="57">
        <v>51791121750</v>
      </c>
      <c r="X3" s="57">
        <f>Sheet_1[[#This Row],[Ngày giao dịch lần 2]]-Sheet_1[[#This Row],[Ngày giao dịch lần 1]]</f>
        <v>25</v>
      </c>
    </row>
    <row r="4" spans="1:24" x14ac:dyDescent="0.25">
      <c r="A4" s="48">
        <v>3</v>
      </c>
      <c r="B4" s="46" t="s">
        <v>59</v>
      </c>
      <c r="C4" s="46" t="s">
        <v>66</v>
      </c>
      <c r="D4" s="46" t="s">
        <v>61</v>
      </c>
      <c r="E4" s="46" t="s">
        <v>62</v>
      </c>
      <c r="F4" s="46">
        <v>1000000000</v>
      </c>
      <c r="G4" s="53">
        <v>45450</v>
      </c>
      <c r="H4" s="53">
        <v>48006</v>
      </c>
      <c r="I4" s="46">
        <v>7</v>
      </c>
      <c r="J4" s="46" t="s">
        <v>63</v>
      </c>
      <c r="K4" s="46">
        <v>7.4749999999999996</v>
      </c>
      <c r="L4" s="46" t="s">
        <v>64</v>
      </c>
      <c r="M4" s="46" t="s">
        <v>68</v>
      </c>
      <c r="N4" s="53">
        <v>45624</v>
      </c>
      <c r="O4" s="53">
        <v>45624</v>
      </c>
      <c r="P4" s="53">
        <v>45624</v>
      </c>
      <c r="Q4" s="46">
        <v>50</v>
      </c>
      <c r="R4" s="54">
        <v>50000000000</v>
      </c>
      <c r="S4" s="54">
        <v>51572712700</v>
      </c>
      <c r="T4" s="46">
        <v>6.2</v>
      </c>
      <c r="U4" s="55">
        <v>45649</v>
      </c>
      <c r="V4" s="55">
        <v>45649</v>
      </c>
      <c r="W4" s="54">
        <v>51791121750</v>
      </c>
      <c r="X4" s="54">
        <f>Sheet_1[[#This Row],[Ngày giao dịch lần 2]]-Sheet_1[[#This Row],[Ngày giao dịch lần 1]]</f>
        <v>25</v>
      </c>
    </row>
    <row r="5" spans="1:24" x14ac:dyDescent="0.25">
      <c r="A5" s="49">
        <v>4</v>
      </c>
      <c r="B5" s="47" t="s">
        <v>59</v>
      </c>
      <c r="C5" s="47" t="s">
        <v>69</v>
      </c>
      <c r="D5" s="47" t="s">
        <v>61</v>
      </c>
      <c r="E5" s="47" t="s">
        <v>62</v>
      </c>
      <c r="F5" s="47">
        <v>1000000000</v>
      </c>
      <c r="G5" s="56">
        <v>45527</v>
      </c>
      <c r="H5" s="56">
        <v>48083</v>
      </c>
      <c r="I5" s="47">
        <v>7</v>
      </c>
      <c r="J5" s="47" t="s">
        <v>63</v>
      </c>
      <c r="K5" s="47">
        <v>7.5750000000000002</v>
      </c>
      <c r="L5" s="47" t="s">
        <v>64</v>
      </c>
      <c r="M5" s="47" t="s">
        <v>70</v>
      </c>
      <c r="N5" s="56">
        <v>45621</v>
      </c>
      <c r="O5" s="56">
        <v>45621</v>
      </c>
      <c r="P5" s="56">
        <v>45621</v>
      </c>
      <c r="Q5" s="47">
        <v>150</v>
      </c>
      <c r="R5" s="57">
        <v>150000000000</v>
      </c>
      <c r="S5" s="57">
        <v>153202902750</v>
      </c>
      <c r="T5" s="47">
        <v>5.8</v>
      </c>
      <c r="U5" s="58">
        <v>45651</v>
      </c>
      <c r="V5" s="58">
        <v>45651</v>
      </c>
      <c r="W5" s="57">
        <v>153931244400</v>
      </c>
      <c r="X5" s="57">
        <f>Sheet_1[[#This Row],[Ngày giao dịch lần 2]]-Sheet_1[[#This Row],[Ngày giao dịch lần 1]]</f>
        <v>30</v>
      </c>
    </row>
    <row r="6" spans="1:24" x14ac:dyDescent="0.25">
      <c r="A6" s="48">
        <v>5</v>
      </c>
      <c r="B6" s="46" t="s">
        <v>59</v>
      </c>
      <c r="C6" s="46" t="s">
        <v>71</v>
      </c>
      <c r="D6" s="46" t="s">
        <v>61</v>
      </c>
      <c r="E6" s="46" t="s">
        <v>62</v>
      </c>
      <c r="F6" s="46">
        <v>1000000000</v>
      </c>
      <c r="G6" s="53">
        <v>45565</v>
      </c>
      <c r="H6" s="53">
        <v>48121</v>
      </c>
      <c r="I6" s="46">
        <v>7</v>
      </c>
      <c r="J6" s="46" t="s">
        <v>63</v>
      </c>
      <c r="K6" s="46">
        <v>7.5750000000000002</v>
      </c>
      <c r="L6" s="46" t="s">
        <v>64</v>
      </c>
      <c r="M6" s="46" t="s">
        <v>72</v>
      </c>
      <c r="N6" s="53">
        <v>45621</v>
      </c>
      <c r="O6" s="53">
        <v>45621</v>
      </c>
      <c r="P6" s="53">
        <v>45621</v>
      </c>
      <c r="Q6" s="46">
        <v>100</v>
      </c>
      <c r="R6" s="54">
        <v>100000000000</v>
      </c>
      <c r="S6" s="54">
        <v>101195810200</v>
      </c>
      <c r="T6" s="46">
        <v>5.8</v>
      </c>
      <c r="U6" s="55">
        <v>45651</v>
      </c>
      <c r="V6" s="55">
        <v>45651</v>
      </c>
      <c r="W6" s="54">
        <v>101676905000</v>
      </c>
      <c r="X6" s="54">
        <f>Sheet_1[[#This Row],[Ngày giao dịch lần 2]]-Sheet_1[[#This Row],[Ngày giao dịch lần 1]]</f>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6E8D4-EE09-4399-B0DC-37F0E9DC1F20}">
  <sheetPr>
    <tabColor rgb="FF00B050"/>
  </sheetPr>
  <dimension ref="A1:H4"/>
  <sheetViews>
    <sheetView workbookViewId="0">
      <selection sqref="A1:X6"/>
    </sheetView>
  </sheetViews>
  <sheetFormatPr defaultRowHeight="15" x14ac:dyDescent="0.25"/>
  <cols>
    <col min="1" max="1" width="17.7109375" bestFit="1" customWidth="1"/>
    <col min="2" max="2" width="19.28515625" bestFit="1" customWidth="1"/>
    <col min="3" max="3" width="33.42578125" bestFit="1" customWidth="1"/>
    <col min="4" max="4" width="21.85546875" bestFit="1" customWidth="1"/>
    <col min="5" max="5" width="32.42578125" bestFit="1" customWidth="1"/>
    <col min="6" max="7" width="15.140625" bestFit="1" customWidth="1"/>
    <col min="8" max="8" width="27.85546875" bestFit="1" customWidth="1"/>
  </cols>
  <sheetData>
    <row r="1" spans="1:8" ht="28.5" x14ac:dyDescent="0.25">
      <c r="A1" s="59" t="s">
        <v>151</v>
      </c>
      <c r="B1" s="9" t="s">
        <v>8</v>
      </c>
      <c r="C1" s="9" t="s">
        <v>152</v>
      </c>
      <c r="D1" s="9" t="s">
        <v>22</v>
      </c>
      <c r="E1" s="9" t="s">
        <v>7</v>
      </c>
      <c r="F1" s="9" t="s">
        <v>153</v>
      </c>
      <c r="G1" s="60" t="s">
        <v>145</v>
      </c>
      <c r="H1" s="60" t="s">
        <v>0</v>
      </c>
    </row>
    <row r="2" spans="1:8" x14ac:dyDescent="0.25">
      <c r="A2" s="61" t="s">
        <v>76</v>
      </c>
      <c r="B2" s="62" t="s">
        <v>108</v>
      </c>
      <c r="C2" s="63">
        <v>200000000000</v>
      </c>
      <c r="D2" s="63" t="s">
        <v>150</v>
      </c>
      <c r="E2" s="62">
        <v>5</v>
      </c>
      <c r="F2" s="62">
        <v>4.2</v>
      </c>
      <c r="G2" s="64">
        <v>45771</v>
      </c>
      <c r="H2" s="64">
        <v>45776</v>
      </c>
    </row>
    <row r="3" spans="1:8" x14ac:dyDescent="0.25">
      <c r="A3" s="65" t="s">
        <v>76</v>
      </c>
      <c r="B3" s="66" t="s">
        <v>109</v>
      </c>
      <c r="C3" s="67">
        <v>200000000000</v>
      </c>
      <c r="D3" s="67" t="s">
        <v>150</v>
      </c>
      <c r="E3" s="66">
        <v>14</v>
      </c>
      <c r="F3" s="66">
        <v>4.2</v>
      </c>
      <c r="G3" s="68">
        <v>45772</v>
      </c>
      <c r="H3" s="68">
        <v>45786</v>
      </c>
    </row>
    <row r="4" spans="1:8" x14ac:dyDescent="0.25">
      <c r="A4" s="61" t="s">
        <v>76</v>
      </c>
      <c r="B4" s="62" t="s">
        <v>110</v>
      </c>
      <c r="C4" s="63">
        <v>150000000000</v>
      </c>
      <c r="D4" s="63" t="s">
        <v>150</v>
      </c>
      <c r="E4" s="62">
        <v>1</v>
      </c>
      <c r="F4" s="62">
        <v>2.2999999999999998</v>
      </c>
      <c r="G4" s="64">
        <v>45775</v>
      </c>
      <c r="H4" s="64">
        <v>45776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E88BD-3DB4-4C2A-A5A0-49165A17C560}">
  <sheetPr>
    <tabColor rgb="FF00B050"/>
  </sheetPr>
  <dimension ref="A1:AY1828"/>
  <sheetViews>
    <sheetView workbookViewId="0"/>
  </sheetViews>
  <sheetFormatPr defaultRowHeight="15" x14ac:dyDescent="0.25"/>
  <cols>
    <col min="1" max="1" width="13.42578125" style="2" customWidth="1"/>
    <col min="2" max="2" width="11.140625" style="2" bestFit="1" customWidth="1"/>
    <col min="3" max="11" width="9" style="2" bestFit="1" customWidth="1"/>
    <col min="12" max="12" width="15.85546875" style="2" bestFit="1" customWidth="1"/>
    <col min="13" max="14" width="16" style="2" bestFit="1" customWidth="1"/>
    <col min="15" max="19" width="15.85546875" style="2" bestFit="1" customWidth="1"/>
    <col min="20" max="20" width="15" style="2" bestFit="1" customWidth="1"/>
    <col min="21" max="21" width="13.140625" style="3" bestFit="1" customWidth="1"/>
    <col min="22" max="22" width="11.42578125" style="3" bestFit="1" customWidth="1"/>
    <col min="23" max="23" width="16.85546875" style="2" customWidth="1"/>
    <col min="24" max="24" width="17.42578125" style="2" customWidth="1"/>
    <col min="25" max="25" width="16.7109375" style="2" customWidth="1"/>
    <col min="26" max="26" width="17.140625" style="2" customWidth="1"/>
    <col min="27" max="27" width="18.85546875" style="2" customWidth="1"/>
    <col min="28" max="28" width="17.85546875" style="2" customWidth="1"/>
    <col min="29" max="30" width="17.42578125" style="2" customWidth="1"/>
    <col min="31" max="31" width="16" style="3" customWidth="1"/>
    <col min="32" max="32" width="18" style="2" bestFit="1" customWidth="1"/>
    <col min="33" max="34" width="17.85546875" style="2" bestFit="1" customWidth="1"/>
    <col min="35" max="39" width="18" style="2" bestFit="1" customWidth="1"/>
    <col min="40" max="40" width="17.28515625" style="2" bestFit="1" customWidth="1"/>
    <col min="41" max="41" width="9.140625" style="2"/>
    <col min="42" max="42" width="13" style="2" customWidth="1"/>
    <col min="43" max="51" width="15.28515625" style="5" customWidth="1"/>
    <col min="52" max="16384" width="9.140625" style="2"/>
  </cols>
  <sheetData>
    <row r="1" spans="1:51" x14ac:dyDescent="0.25">
      <c r="B1" t="s">
        <v>33</v>
      </c>
      <c r="C1" t="s">
        <v>98</v>
      </c>
      <c r="D1" t="s">
        <v>89</v>
      </c>
      <c r="E1" t="s">
        <v>77</v>
      </c>
      <c r="F1" t="s">
        <v>79</v>
      </c>
      <c r="G1" t="s">
        <v>80</v>
      </c>
      <c r="H1" t="s">
        <v>81</v>
      </c>
      <c r="I1" t="s">
        <v>82</v>
      </c>
      <c r="J1" t="s">
        <v>83</v>
      </c>
      <c r="K1" t="s">
        <v>84</v>
      </c>
      <c r="M1" s="25"/>
      <c r="N1" s="11"/>
      <c r="O1" s="11"/>
      <c r="P1" s="11"/>
      <c r="Q1" s="11"/>
      <c r="R1" s="11"/>
      <c r="S1" s="11"/>
      <c r="T1" s="11"/>
      <c r="U1" s="11"/>
      <c r="V1" s="11"/>
      <c r="X1" s="11" t="e">
        <f>_xlfn.PERCENTILE.EXC(N3:V1253,95%)</f>
        <v>#NUM!</v>
      </c>
      <c r="AE1" s="2"/>
      <c r="AQ1" s="2"/>
      <c r="AR1" s="2"/>
      <c r="AS1" s="2"/>
      <c r="AT1" s="2"/>
      <c r="AU1" s="2"/>
      <c r="AV1" s="2"/>
      <c r="AW1" s="2"/>
      <c r="AX1" s="2"/>
      <c r="AY1" s="2"/>
    </row>
    <row r="2" spans="1:51" x14ac:dyDescent="0.25">
      <c r="B2" s="1" t="s">
        <v>2</v>
      </c>
      <c r="C2" t="s">
        <v>21</v>
      </c>
      <c r="D2" t="s">
        <v>21</v>
      </c>
      <c r="E2" t="s">
        <v>21</v>
      </c>
      <c r="F2" t="s">
        <v>21</v>
      </c>
      <c r="G2" t="s">
        <v>21</v>
      </c>
      <c r="H2" t="s">
        <v>21</v>
      </c>
      <c r="I2" t="s">
        <v>21</v>
      </c>
      <c r="J2" t="s">
        <v>21</v>
      </c>
      <c r="K2" t="s">
        <v>21</v>
      </c>
      <c r="M2" s="25"/>
      <c r="N2" s="9"/>
      <c r="O2" s="9"/>
      <c r="P2" s="9"/>
      <c r="Q2" s="9"/>
      <c r="R2" s="9"/>
      <c r="S2" s="9"/>
      <c r="T2" s="9"/>
      <c r="U2" s="9"/>
      <c r="V2" s="10"/>
      <c r="AE2" s="2"/>
      <c r="AQ2" s="2"/>
      <c r="AR2" s="2"/>
      <c r="AS2" s="2"/>
      <c r="AT2" s="2"/>
      <c r="AU2" s="2"/>
      <c r="AV2" s="2"/>
      <c r="AW2" s="2"/>
      <c r="AX2" s="2"/>
      <c r="AY2" s="2"/>
    </row>
    <row r="3" spans="1:51" x14ac:dyDescent="0.25">
      <c r="A3" s="24">
        <v>45776</v>
      </c>
      <c r="B3" s="1">
        <v>45776</v>
      </c>
      <c r="C3">
        <v>4</v>
      </c>
      <c r="D3">
        <v>4.2</v>
      </c>
      <c r="E3">
        <v>4.37</v>
      </c>
      <c r="F3">
        <v>4.54</v>
      </c>
      <c r="G3">
        <v>4.68</v>
      </c>
      <c r="H3">
        <v>4.7300000000000004</v>
      </c>
      <c r="I3">
        <v>5</v>
      </c>
      <c r="J3">
        <v>5.18</v>
      </c>
      <c r="K3">
        <v>5.24</v>
      </c>
      <c r="M3" s="3"/>
      <c r="N3" s="17"/>
      <c r="O3" s="17"/>
      <c r="P3" s="17"/>
      <c r="Q3" s="17"/>
      <c r="R3" s="17"/>
      <c r="S3" s="17"/>
      <c r="T3" s="17"/>
      <c r="U3" s="17"/>
      <c r="V3" s="17"/>
      <c r="X3" s="9" t="s">
        <v>11</v>
      </c>
      <c r="Y3" s="2">
        <f>N1</f>
        <v>0</v>
      </c>
      <c r="AE3" s="2"/>
      <c r="AQ3" s="2"/>
      <c r="AR3" s="2"/>
      <c r="AS3" s="2"/>
      <c r="AT3" s="2"/>
      <c r="AU3" s="2"/>
      <c r="AV3" s="2"/>
      <c r="AW3" s="2"/>
      <c r="AX3" s="2"/>
      <c r="AY3" s="2"/>
    </row>
    <row r="4" spans="1:51" x14ac:dyDescent="0.25">
      <c r="A4" s="24">
        <v>45775</v>
      </c>
      <c r="B4" s="1">
        <v>45775</v>
      </c>
      <c r="C4">
        <v>2.5</v>
      </c>
      <c r="D4">
        <v>4.28</v>
      </c>
      <c r="E4">
        <v>4.34</v>
      </c>
      <c r="F4">
        <v>4.53</v>
      </c>
      <c r="G4">
        <v>4.68</v>
      </c>
      <c r="H4">
        <v>4.72</v>
      </c>
      <c r="I4">
        <v>4.96</v>
      </c>
      <c r="J4">
        <v>5.13</v>
      </c>
      <c r="K4">
        <v>5.15</v>
      </c>
      <c r="M4" s="3"/>
      <c r="N4" s="17"/>
      <c r="O4" s="17"/>
      <c r="P4" s="17"/>
      <c r="Q4" s="17"/>
      <c r="R4" s="17"/>
      <c r="S4" s="17"/>
      <c r="T4" s="17"/>
      <c r="U4" s="17"/>
      <c r="V4" s="17"/>
      <c r="X4" s="9" t="s">
        <v>12</v>
      </c>
      <c r="Y4" s="2">
        <f>O1</f>
        <v>0</v>
      </c>
      <c r="AE4" s="2"/>
      <c r="AQ4" s="2"/>
      <c r="AR4" s="2"/>
      <c r="AS4" s="2"/>
      <c r="AT4" s="2"/>
      <c r="AU4" s="2"/>
      <c r="AV4" s="2"/>
      <c r="AW4" s="2"/>
      <c r="AX4" s="2"/>
      <c r="AY4" s="2"/>
    </row>
    <row r="5" spans="1:51" x14ac:dyDescent="0.25">
      <c r="A5" s="24">
        <v>45773</v>
      </c>
      <c r="B5" s="1">
        <v>45773</v>
      </c>
      <c r="C5">
        <v>2.5299999999999998</v>
      </c>
      <c r="D5">
        <v>4.2300000000000004</v>
      </c>
      <c r="E5">
        <v>4.3499999999999996</v>
      </c>
      <c r="F5">
        <v>4.53</v>
      </c>
      <c r="G5">
        <v>4.7</v>
      </c>
      <c r="H5">
        <v>4.75</v>
      </c>
      <c r="I5">
        <v>5</v>
      </c>
      <c r="J5">
        <v>5.16</v>
      </c>
      <c r="K5">
        <v>5.24</v>
      </c>
      <c r="M5" s="3"/>
      <c r="N5" s="17"/>
      <c r="O5" s="17"/>
      <c r="P5" s="17"/>
      <c r="Q5" s="17"/>
      <c r="R5" s="17"/>
      <c r="S5" s="17"/>
      <c r="T5" s="17"/>
      <c r="U5" s="17"/>
      <c r="V5" s="17"/>
      <c r="X5" s="9" t="s">
        <v>13</v>
      </c>
      <c r="Y5" s="2">
        <f>P1</f>
        <v>0</v>
      </c>
      <c r="AE5" s="2"/>
      <c r="AQ5" s="2"/>
      <c r="AR5" s="2"/>
      <c r="AS5" s="2"/>
      <c r="AT5" s="2"/>
      <c r="AU5" s="2"/>
      <c r="AV5" s="2"/>
      <c r="AW5" s="2"/>
      <c r="AX5" s="2"/>
      <c r="AY5" s="2"/>
    </row>
    <row r="6" spans="1:51" x14ac:dyDescent="0.25">
      <c r="A6" s="24">
        <v>45772</v>
      </c>
      <c r="B6" s="1">
        <v>45772</v>
      </c>
      <c r="C6">
        <v>2.4300000000000002</v>
      </c>
      <c r="D6">
        <v>4.13</v>
      </c>
      <c r="E6">
        <v>4.28</v>
      </c>
      <c r="F6">
        <v>4.55</v>
      </c>
      <c r="G6">
        <v>4.7</v>
      </c>
      <c r="H6">
        <v>4.7300000000000004</v>
      </c>
      <c r="I6">
        <v>5.03</v>
      </c>
      <c r="J6">
        <v>5.18</v>
      </c>
      <c r="K6">
        <v>5.24</v>
      </c>
      <c r="M6" s="3"/>
      <c r="N6" s="17"/>
      <c r="O6" s="17"/>
      <c r="P6" s="17"/>
      <c r="Q6" s="17"/>
      <c r="R6" s="17"/>
      <c r="S6" s="17"/>
      <c r="T6" s="17"/>
      <c r="U6" s="17"/>
      <c r="V6" s="17"/>
      <c r="X6" s="9" t="s">
        <v>14</v>
      </c>
      <c r="Y6" s="2">
        <f>Q1</f>
        <v>0</v>
      </c>
      <c r="AE6" s="2"/>
      <c r="AQ6" s="2"/>
      <c r="AR6" s="2"/>
      <c r="AS6" s="2"/>
      <c r="AT6" s="2"/>
      <c r="AU6" s="2"/>
      <c r="AV6" s="2"/>
      <c r="AW6" s="2"/>
      <c r="AX6" s="2"/>
      <c r="AY6" s="2"/>
    </row>
    <row r="7" spans="1:51" x14ac:dyDescent="0.25">
      <c r="A7" s="24">
        <v>45771</v>
      </c>
      <c r="B7" s="1">
        <v>45771</v>
      </c>
      <c r="C7">
        <v>3.33</v>
      </c>
      <c r="D7">
        <v>4.3099999999999996</v>
      </c>
      <c r="E7">
        <v>4.47</v>
      </c>
      <c r="F7">
        <v>4.6100000000000003</v>
      </c>
      <c r="G7">
        <v>4.71</v>
      </c>
      <c r="H7">
        <v>4.7699999999999996</v>
      </c>
      <c r="I7">
        <v>5.04</v>
      </c>
      <c r="J7">
        <v>5.2</v>
      </c>
      <c r="K7">
        <v>5.25</v>
      </c>
      <c r="M7" s="3"/>
      <c r="N7" s="17"/>
      <c r="O7" s="17"/>
      <c r="P7" s="17"/>
      <c r="Q7" s="17"/>
      <c r="R7" s="17"/>
      <c r="S7" s="17"/>
      <c r="T7" s="17"/>
      <c r="U7" s="17"/>
      <c r="V7" s="17"/>
      <c r="X7" s="9" t="s">
        <v>15</v>
      </c>
      <c r="Y7" s="2">
        <f>R1</f>
        <v>0</v>
      </c>
      <c r="AE7" s="2"/>
      <c r="AQ7" s="2"/>
      <c r="AR7" s="2"/>
      <c r="AS7" s="2"/>
      <c r="AT7" s="2"/>
      <c r="AU7" s="2"/>
      <c r="AV7" s="2"/>
      <c r="AW7" s="2"/>
      <c r="AX7" s="2"/>
      <c r="AY7" s="2"/>
    </row>
    <row r="8" spans="1:51" x14ac:dyDescent="0.25">
      <c r="A8" s="24">
        <v>45770</v>
      </c>
      <c r="B8" s="1">
        <v>45770</v>
      </c>
      <c r="C8">
        <v>3.97</v>
      </c>
      <c r="D8">
        <v>4.53</v>
      </c>
      <c r="E8">
        <v>4.63</v>
      </c>
      <c r="F8">
        <v>4.7300000000000004</v>
      </c>
      <c r="G8">
        <v>4.78</v>
      </c>
      <c r="H8">
        <v>4.83</v>
      </c>
      <c r="I8">
        <v>5.05</v>
      </c>
      <c r="J8">
        <v>5.22</v>
      </c>
      <c r="K8">
        <v>5.26</v>
      </c>
      <c r="M8" s="3"/>
      <c r="N8" s="17"/>
      <c r="O8" s="17"/>
      <c r="P8" s="17"/>
      <c r="Q8" s="17"/>
      <c r="R8" s="17"/>
      <c r="S8" s="17"/>
      <c r="T8" s="17"/>
      <c r="U8" s="17"/>
      <c r="V8" s="17"/>
      <c r="X8" s="9" t="s">
        <v>16</v>
      </c>
      <c r="Y8" s="2">
        <f>S1</f>
        <v>0</v>
      </c>
      <c r="AE8" s="2"/>
      <c r="AQ8" s="2"/>
      <c r="AR8" s="2"/>
      <c r="AS8" s="2"/>
      <c r="AT8" s="2"/>
      <c r="AU8" s="2"/>
      <c r="AV8" s="2"/>
      <c r="AW8" s="2"/>
      <c r="AX8" s="2"/>
      <c r="AY8" s="2"/>
    </row>
    <row r="9" spans="1:51" x14ac:dyDescent="0.25">
      <c r="A9" s="24">
        <v>45769</v>
      </c>
      <c r="B9" s="1">
        <v>45769</v>
      </c>
      <c r="C9">
        <v>4.47</v>
      </c>
      <c r="D9">
        <v>4.57</v>
      </c>
      <c r="E9">
        <v>4.6900000000000004</v>
      </c>
      <c r="F9">
        <v>4.76</v>
      </c>
      <c r="G9">
        <v>4.79</v>
      </c>
      <c r="H9">
        <v>4.84</v>
      </c>
      <c r="I9">
        <v>5.04</v>
      </c>
      <c r="J9">
        <v>5.2</v>
      </c>
      <c r="K9">
        <v>5.25</v>
      </c>
      <c r="M9" s="3"/>
      <c r="N9" s="17"/>
      <c r="O9" s="17"/>
      <c r="P9" s="17"/>
      <c r="Q9" s="17"/>
      <c r="R9" s="17"/>
      <c r="S9" s="17"/>
      <c r="T9" s="17"/>
      <c r="U9" s="17"/>
      <c r="V9" s="17"/>
      <c r="X9" s="9" t="s">
        <v>17</v>
      </c>
      <c r="Y9" s="2">
        <f>T1</f>
        <v>0</v>
      </c>
      <c r="AE9" s="2"/>
      <c r="AQ9" s="2"/>
      <c r="AR9" s="2"/>
      <c r="AS9" s="2"/>
      <c r="AT9" s="2"/>
      <c r="AU9" s="2"/>
      <c r="AV9" s="2"/>
      <c r="AW9" s="2"/>
      <c r="AX9" s="2"/>
      <c r="AY9" s="2"/>
    </row>
    <row r="10" spans="1:51" x14ac:dyDescent="0.25">
      <c r="A10" s="24">
        <v>45768</v>
      </c>
      <c r="B10" s="1">
        <v>45768</v>
      </c>
      <c r="C10">
        <v>4.5599999999999996</v>
      </c>
      <c r="D10">
        <v>4.62</v>
      </c>
      <c r="E10">
        <v>4.72</v>
      </c>
      <c r="F10">
        <v>4.74</v>
      </c>
      <c r="G10">
        <v>4.82</v>
      </c>
      <c r="H10">
        <v>4.8600000000000003</v>
      </c>
      <c r="I10">
        <v>5.0599999999999996</v>
      </c>
      <c r="J10">
        <v>5.18</v>
      </c>
      <c r="K10">
        <v>5.25</v>
      </c>
      <c r="M10" s="3"/>
      <c r="N10" s="17"/>
      <c r="O10" s="17"/>
      <c r="P10" s="17"/>
      <c r="Q10" s="17"/>
      <c r="R10" s="17"/>
      <c r="S10" s="17"/>
      <c r="T10" s="17"/>
      <c r="U10" s="17"/>
      <c r="V10" s="17"/>
      <c r="X10" s="9" t="s">
        <v>18</v>
      </c>
      <c r="Y10" s="2">
        <f>U1</f>
        <v>0</v>
      </c>
      <c r="AE10" s="2"/>
      <c r="AQ10" s="2"/>
      <c r="AR10" s="2"/>
      <c r="AS10" s="2"/>
      <c r="AT10" s="2"/>
      <c r="AU10" s="2"/>
      <c r="AV10" s="2"/>
      <c r="AW10" s="2"/>
      <c r="AX10" s="2"/>
      <c r="AY10" s="2"/>
    </row>
    <row r="11" spans="1:51" x14ac:dyDescent="0.25">
      <c r="A11" s="24">
        <v>45765</v>
      </c>
      <c r="B11" s="1">
        <v>45765</v>
      </c>
      <c r="C11">
        <v>4.18</v>
      </c>
      <c r="D11">
        <v>4.3600000000000003</v>
      </c>
      <c r="E11">
        <v>4.54</v>
      </c>
      <c r="F11">
        <v>4.5999999999999996</v>
      </c>
      <c r="G11">
        <v>4.72</v>
      </c>
      <c r="H11">
        <v>4.76</v>
      </c>
      <c r="I11">
        <v>4.96</v>
      </c>
      <c r="J11">
        <v>5.13</v>
      </c>
      <c r="K11">
        <v>5.15</v>
      </c>
      <c r="M11" s="3"/>
      <c r="N11" s="17"/>
      <c r="O11" s="17"/>
      <c r="P11" s="17"/>
      <c r="Q11" s="17"/>
      <c r="R11" s="17"/>
      <c r="S11" s="17"/>
      <c r="T11" s="17"/>
      <c r="U11" s="17"/>
      <c r="V11" s="17"/>
      <c r="X11" s="10" t="s">
        <v>20</v>
      </c>
      <c r="Y11" s="2">
        <f>V1</f>
        <v>0</v>
      </c>
      <c r="AE11" s="2"/>
      <c r="AQ11" s="2"/>
      <c r="AR11" s="2"/>
      <c r="AS11" s="2"/>
      <c r="AT11" s="2"/>
      <c r="AU11" s="2"/>
      <c r="AV11" s="2"/>
      <c r="AW11" s="2"/>
      <c r="AX11" s="2"/>
      <c r="AY11" s="2"/>
    </row>
    <row r="12" spans="1:51" x14ac:dyDescent="0.25">
      <c r="A12" s="24">
        <v>45764</v>
      </c>
      <c r="B12" s="1">
        <v>45764</v>
      </c>
      <c r="C12">
        <v>4.0999999999999996</v>
      </c>
      <c r="D12">
        <v>4.33</v>
      </c>
      <c r="E12">
        <v>4.4800000000000004</v>
      </c>
      <c r="F12">
        <v>4.5999999999999996</v>
      </c>
      <c r="G12">
        <v>4.7300000000000004</v>
      </c>
      <c r="H12">
        <v>4.78</v>
      </c>
      <c r="I12">
        <v>5.08</v>
      </c>
      <c r="J12">
        <v>5.22</v>
      </c>
      <c r="K12">
        <v>5.26</v>
      </c>
      <c r="M12" s="3"/>
      <c r="N12" s="17"/>
      <c r="O12" s="17"/>
      <c r="P12" s="17"/>
      <c r="Q12" s="17"/>
      <c r="R12" s="17"/>
      <c r="S12" s="17"/>
      <c r="T12" s="17"/>
      <c r="U12" s="17"/>
      <c r="V12" s="17"/>
      <c r="AE12" s="2"/>
      <c r="AQ12" s="2"/>
      <c r="AR12" s="2"/>
      <c r="AS12" s="2"/>
      <c r="AT12" s="2"/>
      <c r="AU12" s="2"/>
      <c r="AV12" s="2"/>
      <c r="AW12" s="2"/>
      <c r="AX12" s="2"/>
      <c r="AY12" s="2"/>
    </row>
    <row r="13" spans="1:51" x14ac:dyDescent="0.25">
      <c r="A13" s="24">
        <v>45763</v>
      </c>
      <c r="B13" s="1">
        <v>45763</v>
      </c>
      <c r="C13">
        <v>4.0599999999999996</v>
      </c>
      <c r="D13">
        <v>4.3</v>
      </c>
      <c r="E13">
        <v>4.46</v>
      </c>
      <c r="F13">
        <v>4.62</v>
      </c>
      <c r="G13">
        <v>4.74</v>
      </c>
      <c r="H13">
        <v>4.8</v>
      </c>
      <c r="I13">
        <v>5</v>
      </c>
      <c r="J13">
        <v>5.18</v>
      </c>
      <c r="K13">
        <v>5.23</v>
      </c>
      <c r="M13" s="3"/>
      <c r="N13" s="17"/>
      <c r="O13" s="17"/>
      <c r="P13" s="17"/>
      <c r="Q13" s="17"/>
      <c r="R13" s="17"/>
      <c r="S13" s="17"/>
      <c r="T13" s="17"/>
      <c r="U13" s="17"/>
      <c r="V13" s="17"/>
      <c r="AE13" s="2"/>
      <c r="AQ13" s="2"/>
      <c r="AR13" s="2"/>
      <c r="AS13" s="2"/>
      <c r="AT13" s="2"/>
      <c r="AU13" s="2"/>
      <c r="AV13" s="2"/>
      <c r="AW13" s="2"/>
      <c r="AX13" s="2"/>
      <c r="AY13" s="2"/>
    </row>
    <row r="14" spans="1:51" x14ac:dyDescent="0.25">
      <c r="A14" s="24">
        <v>45762</v>
      </c>
      <c r="B14" s="1">
        <v>45762</v>
      </c>
      <c r="C14">
        <v>4.08</v>
      </c>
      <c r="D14">
        <v>4.34</v>
      </c>
      <c r="E14">
        <v>4.4800000000000004</v>
      </c>
      <c r="F14">
        <v>4.5999999999999996</v>
      </c>
      <c r="G14">
        <v>4.68</v>
      </c>
      <c r="H14">
        <v>4.74</v>
      </c>
      <c r="I14">
        <v>5.04</v>
      </c>
      <c r="J14">
        <v>5.18</v>
      </c>
      <c r="K14">
        <v>5.25</v>
      </c>
      <c r="M14" s="3"/>
      <c r="N14" s="17"/>
      <c r="O14" s="17"/>
      <c r="P14" s="17"/>
      <c r="Q14" s="17"/>
      <c r="R14" s="17"/>
      <c r="S14" s="17"/>
      <c r="T14" s="17"/>
      <c r="U14" s="17"/>
      <c r="V14" s="17"/>
      <c r="AE14" s="2"/>
      <c r="AQ14" s="2"/>
      <c r="AR14" s="2"/>
      <c r="AS14" s="2"/>
      <c r="AT14" s="2"/>
      <c r="AU14" s="2"/>
      <c r="AV14" s="2"/>
      <c r="AW14" s="2"/>
      <c r="AX14" s="2"/>
      <c r="AY14" s="2"/>
    </row>
    <row r="15" spans="1:51" x14ac:dyDescent="0.25">
      <c r="A15" s="24">
        <v>45761</v>
      </c>
      <c r="B15" s="1">
        <v>45761</v>
      </c>
      <c r="C15">
        <v>4.0999999999999996</v>
      </c>
      <c r="D15">
        <v>4.34</v>
      </c>
      <c r="E15">
        <v>4.4800000000000004</v>
      </c>
      <c r="F15">
        <v>4.62</v>
      </c>
      <c r="G15">
        <v>4.72</v>
      </c>
      <c r="H15">
        <v>4.76</v>
      </c>
      <c r="I15">
        <v>5.0999999999999996</v>
      </c>
      <c r="J15">
        <v>5.26</v>
      </c>
      <c r="K15">
        <v>5.29</v>
      </c>
      <c r="M15" s="3"/>
      <c r="N15" s="17"/>
      <c r="O15" s="17"/>
      <c r="P15" s="17"/>
      <c r="Q15" s="17"/>
      <c r="R15" s="17"/>
      <c r="S15" s="17"/>
      <c r="T15" s="17"/>
      <c r="U15" s="17"/>
      <c r="V15" s="17"/>
      <c r="AE15" s="2"/>
      <c r="AQ15" s="2"/>
      <c r="AR15" s="2"/>
      <c r="AS15" s="2"/>
      <c r="AT15" s="2"/>
      <c r="AU15" s="2"/>
      <c r="AV15" s="2"/>
      <c r="AW15" s="2"/>
      <c r="AX15" s="2"/>
      <c r="AY15" s="2"/>
    </row>
    <row r="16" spans="1:51" x14ac:dyDescent="0.25">
      <c r="A16" s="24">
        <v>45758</v>
      </c>
      <c r="B16" s="1">
        <v>45758</v>
      </c>
      <c r="C16">
        <v>4.08</v>
      </c>
      <c r="D16">
        <v>4.33</v>
      </c>
      <c r="E16">
        <v>4.5</v>
      </c>
      <c r="F16">
        <v>4.63</v>
      </c>
      <c r="G16">
        <v>4.7</v>
      </c>
      <c r="H16">
        <v>4.75</v>
      </c>
      <c r="I16">
        <v>4.9800000000000004</v>
      </c>
      <c r="J16">
        <v>5.12</v>
      </c>
      <c r="K16">
        <v>5.18</v>
      </c>
      <c r="M16" s="3"/>
      <c r="N16" s="17"/>
      <c r="O16" s="17"/>
      <c r="P16" s="17"/>
      <c r="Q16" s="17"/>
      <c r="R16" s="17"/>
      <c r="S16" s="17"/>
      <c r="T16" s="17"/>
      <c r="U16" s="17"/>
      <c r="V16" s="17"/>
      <c r="AE16" s="2"/>
      <c r="AQ16" s="2"/>
      <c r="AR16" s="2"/>
      <c r="AS16" s="2"/>
      <c r="AT16" s="2"/>
      <c r="AU16" s="2"/>
      <c r="AV16" s="2"/>
      <c r="AW16" s="2"/>
      <c r="AX16" s="2"/>
      <c r="AY16" s="2"/>
    </row>
    <row r="17" spans="1:51" x14ac:dyDescent="0.25">
      <c r="A17" s="24">
        <v>45757</v>
      </c>
      <c r="B17" s="1">
        <v>45757</v>
      </c>
      <c r="C17">
        <v>4.07</v>
      </c>
      <c r="D17">
        <v>4.28</v>
      </c>
      <c r="E17">
        <v>4.4800000000000004</v>
      </c>
      <c r="F17">
        <v>4.62</v>
      </c>
      <c r="G17">
        <v>4.72</v>
      </c>
      <c r="H17">
        <v>4.7699999999999996</v>
      </c>
      <c r="I17">
        <v>5.03</v>
      </c>
      <c r="J17">
        <v>5.18</v>
      </c>
      <c r="K17">
        <v>5.24</v>
      </c>
      <c r="M17" s="3"/>
      <c r="N17" s="17"/>
      <c r="O17" s="17"/>
      <c r="P17" s="17"/>
      <c r="Q17" s="17"/>
      <c r="R17" s="17"/>
      <c r="S17" s="17"/>
      <c r="T17" s="17"/>
      <c r="U17" s="17"/>
      <c r="V17" s="17"/>
      <c r="AE17" s="2"/>
      <c r="AQ17" s="2"/>
      <c r="AR17" s="2"/>
      <c r="AS17" s="2"/>
      <c r="AT17" s="2"/>
      <c r="AU17" s="2"/>
      <c r="AV17" s="2"/>
      <c r="AW17" s="2"/>
      <c r="AX17" s="2"/>
      <c r="AY17" s="2"/>
    </row>
    <row r="18" spans="1:51" x14ac:dyDescent="0.25">
      <c r="A18" s="24">
        <v>45756</v>
      </c>
      <c r="B18" s="1">
        <v>45756</v>
      </c>
      <c r="C18">
        <v>4.18</v>
      </c>
      <c r="D18">
        <v>4.42</v>
      </c>
      <c r="E18">
        <v>4.55</v>
      </c>
      <c r="F18">
        <v>4.62</v>
      </c>
      <c r="G18">
        <v>4.72</v>
      </c>
      <c r="H18">
        <v>4.7699999999999996</v>
      </c>
      <c r="I18">
        <v>5.03</v>
      </c>
      <c r="J18">
        <v>5.2</v>
      </c>
      <c r="K18">
        <v>5.24</v>
      </c>
      <c r="M18" s="3"/>
      <c r="N18" s="17"/>
      <c r="O18" s="17"/>
      <c r="P18" s="17"/>
      <c r="Q18" s="17"/>
      <c r="R18" s="17"/>
      <c r="S18" s="17"/>
      <c r="T18" s="17"/>
      <c r="U18" s="17"/>
      <c r="V18" s="17"/>
      <c r="AE18" s="2"/>
      <c r="AQ18" s="2"/>
      <c r="AR18" s="2"/>
      <c r="AS18" s="2"/>
      <c r="AT18" s="2"/>
      <c r="AU18" s="2"/>
      <c r="AV18" s="2"/>
      <c r="AW18" s="2"/>
      <c r="AX18" s="2"/>
      <c r="AY18" s="2"/>
    </row>
    <row r="19" spans="1:51" x14ac:dyDescent="0.25">
      <c r="A19" s="24">
        <v>45755</v>
      </c>
      <c r="B19" s="1">
        <v>45755</v>
      </c>
      <c r="C19">
        <v>4.18</v>
      </c>
      <c r="D19">
        <v>4.42</v>
      </c>
      <c r="E19">
        <v>4.54</v>
      </c>
      <c r="F19">
        <v>4.62</v>
      </c>
      <c r="G19">
        <v>4.7</v>
      </c>
      <c r="H19">
        <v>4.72</v>
      </c>
      <c r="I19">
        <v>5.0199999999999996</v>
      </c>
      <c r="J19">
        <v>5.16</v>
      </c>
      <c r="K19">
        <v>5.2</v>
      </c>
      <c r="M19" s="3"/>
      <c r="N19" s="17"/>
      <c r="O19" s="17"/>
      <c r="P19" s="17"/>
      <c r="Q19" s="17"/>
      <c r="R19" s="17"/>
      <c r="S19" s="17"/>
      <c r="T19" s="17"/>
      <c r="U19" s="17"/>
      <c r="V19" s="17"/>
      <c r="AE19" s="2"/>
      <c r="AQ19" s="2"/>
      <c r="AR19" s="2"/>
      <c r="AS19" s="2"/>
      <c r="AT19" s="2"/>
      <c r="AU19" s="2"/>
      <c r="AV19" s="2"/>
      <c r="AW19" s="2"/>
      <c r="AX19" s="2"/>
      <c r="AY19" s="2"/>
    </row>
    <row r="20" spans="1:51" x14ac:dyDescent="0.25">
      <c r="A20" s="24">
        <v>45751</v>
      </c>
      <c r="B20" s="1">
        <v>45751</v>
      </c>
      <c r="C20">
        <v>4.0599999999999996</v>
      </c>
      <c r="D20">
        <v>4.3</v>
      </c>
      <c r="E20">
        <v>4.4000000000000004</v>
      </c>
      <c r="F20">
        <v>4.5599999999999996</v>
      </c>
      <c r="G20">
        <v>4.68</v>
      </c>
      <c r="H20">
        <v>4.72</v>
      </c>
      <c r="I20">
        <v>5.0999999999999996</v>
      </c>
      <c r="J20">
        <v>5.23</v>
      </c>
      <c r="K20">
        <v>5.25</v>
      </c>
      <c r="M20" s="3"/>
      <c r="N20" s="17"/>
      <c r="O20" s="17"/>
      <c r="P20" s="17"/>
      <c r="Q20" s="17"/>
      <c r="R20" s="17"/>
      <c r="S20" s="17"/>
      <c r="T20" s="17"/>
      <c r="U20" s="17"/>
      <c r="V20" s="17"/>
      <c r="AE20" s="2"/>
      <c r="AQ20" s="2"/>
      <c r="AR20" s="2"/>
      <c r="AS20" s="2"/>
      <c r="AT20" s="2"/>
      <c r="AU20" s="2"/>
      <c r="AV20" s="2"/>
      <c r="AW20" s="2"/>
      <c r="AX20" s="2"/>
      <c r="AY20" s="2"/>
    </row>
    <row r="21" spans="1:51" x14ac:dyDescent="0.25">
      <c r="A21" s="24">
        <v>45750</v>
      </c>
      <c r="B21" s="1">
        <v>45750</v>
      </c>
      <c r="C21">
        <v>4</v>
      </c>
      <c r="D21">
        <v>4.32</v>
      </c>
      <c r="E21">
        <v>4.54</v>
      </c>
      <c r="F21">
        <v>4.62</v>
      </c>
      <c r="G21">
        <v>4.7</v>
      </c>
      <c r="H21">
        <v>4.74</v>
      </c>
      <c r="I21">
        <v>5</v>
      </c>
      <c r="J21">
        <v>5.18</v>
      </c>
      <c r="K21">
        <v>5.23</v>
      </c>
      <c r="M21" s="3"/>
      <c r="N21" s="17"/>
      <c r="O21" s="17"/>
      <c r="P21" s="17"/>
      <c r="Q21" s="17"/>
      <c r="R21" s="17"/>
      <c r="S21" s="17"/>
      <c r="T21" s="17"/>
      <c r="U21" s="17"/>
      <c r="V21" s="17"/>
      <c r="AE21" s="2"/>
      <c r="AQ21" s="2"/>
      <c r="AR21" s="2"/>
      <c r="AS21" s="2"/>
      <c r="AT21" s="2"/>
      <c r="AU21" s="2"/>
      <c r="AV21" s="2"/>
      <c r="AW21" s="2"/>
      <c r="AX21" s="2"/>
      <c r="AY21" s="2"/>
    </row>
    <row r="22" spans="1:51" x14ac:dyDescent="0.25">
      <c r="A22" s="24">
        <v>45749</v>
      </c>
      <c r="B22" s="1">
        <v>45749</v>
      </c>
      <c r="C22">
        <v>4.04</v>
      </c>
      <c r="D22">
        <v>4.3</v>
      </c>
      <c r="E22">
        <v>4.4800000000000004</v>
      </c>
      <c r="F22">
        <v>4.58</v>
      </c>
      <c r="G22">
        <v>4.68</v>
      </c>
      <c r="H22">
        <v>4.72</v>
      </c>
      <c r="I22">
        <v>5</v>
      </c>
      <c r="J22">
        <v>5.18</v>
      </c>
      <c r="K22">
        <v>5.23</v>
      </c>
      <c r="M22" s="3"/>
      <c r="N22" s="17"/>
      <c r="O22" s="17"/>
      <c r="P22" s="17"/>
      <c r="Q22" s="17"/>
      <c r="R22" s="17"/>
      <c r="S22" s="17"/>
      <c r="T22" s="17"/>
      <c r="U22" s="17"/>
      <c r="V22" s="17"/>
      <c r="AE22" s="2"/>
      <c r="AQ22" s="2"/>
      <c r="AR22" s="2"/>
      <c r="AS22" s="2"/>
      <c r="AT22" s="2"/>
      <c r="AU22" s="2"/>
      <c r="AV22" s="2"/>
      <c r="AW22" s="2"/>
      <c r="AX22" s="2"/>
      <c r="AY22" s="2"/>
    </row>
    <row r="23" spans="1:51" x14ac:dyDescent="0.25">
      <c r="A23" s="24">
        <v>45748</v>
      </c>
      <c r="B23" s="1">
        <v>45748</v>
      </c>
      <c r="C23">
        <v>4.5199999999999996</v>
      </c>
      <c r="D23">
        <v>4.6500000000000004</v>
      </c>
      <c r="E23">
        <v>4.7</v>
      </c>
      <c r="F23">
        <v>4.72</v>
      </c>
      <c r="G23">
        <v>4.75</v>
      </c>
      <c r="H23">
        <v>4.78</v>
      </c>
      <c r="I23">
        <v>5.05</v>
      </c>
      <c r="J23">
        <v>5.2</v>
      </c>
      <c r="K23">
        <v>5.24</v>
      </c>
      <c r="M23" s="3"/>
      <c r="N23" s="17"/>
      <c r="O23" s="17"/>
      <c r="P23" s="17"/>
      <c r="Q23" s="17"/>
      <c r="R23" s="17"/>
      <c r="S23" s="17"/>
      <c r="T23" s="17"/>
      <c r="U23" s="17"/>
      <c r="V23" s="17"/>
      <c r="AE23" s="2"/>
      <c r="AQ23" s="2"/>
      <c r="AR23" s="2"/>
      <c r="AS23" s="2"/>
      <c r="AT23" s="2"/>
      <c r="AU23" s="2"/>
      <c r="AV23" s="2"/>
      <c r="AW23" s="2"/>
      <c r="AX23" s="2"/>
      <c r="AY23" s="2"/>
    </row>
    <row r="24" spans="1:51" x14ac:dyDescent="0.25">
      <c r="A24" s="24">
        <v>45747</v>
      </c>
      <c r="B24" s="1">
        <v>45747</v>
      </c>
      <c r="C24">
        <v>4.7</v>
      </c>
      <c r="D24">
        <v>4.8</v>
      </c>
      <c r="E24">
        <v>4.78</v>
      </c>
      <c r="F24">
        <v>4.78</v>
      </c>
      <c r="G24">
        <v>4.76</v>
      </c>
      <c r="H24">
        <v>4.76</v>
      </c>
      <c r="I24">
        <v>5.04</v>
      </c>
      <c r="J24">
        <v>5.18</v>
      </c>
      <c r="K24">
        <v>5.23</v>
      </c>
      <c r="M24" s="3"/>
      <c r="N24" s="17"/>
      <c r="O24" s="17"/>
      <c r="P24" s="17"/>
      <c r="Q24" s="17"/>
      <c r="R24" s="17"/>
      <c r="S24" s="17"/>
      <c r="T24" s="17"/>
      <c r="U24" s="17"/>
      <c r="V24" s="17"/>
      <c r="AE24" s="2"/>
      <c r="AQ24" s="2"/>
      <c r="AR24" s="2"/>
      <c r="AS24" s="2"/>
      <c r="AT24" s="2"/>
      <c r="AU24" s="2"/>
      <c r="AV24" s="2"/>
      <c r="AW24" s="2"/>
      <c r="AX24" s="2"/>
      <c r="AY24" s="2"/>
    </row>
    <row r="25" spans="1:51" x14ac:dyDescent="0.25">
      <c r="A25" s="24">
        <v>45744</v>
      </c>
      <c r="B25" s="1">
        <v>45744</v>
      </c>
      <c r="C25">
        <v>3.58</v>
      </c>
      <c r="D25">
        <v>4.46</v>
      </c>
      <c r="E25">
        <v>4.5599999999999996</v>
      </c>
      <c r="F25">
        <v>4.62</v>
      </c>
      <c r="G25">
        <v>4.7</v>
      </c>
      <c r="H25">
        <v>4.7</v>
      </c>
      <c r="I25">
        <v>5.0599999999999996</v>
      </c>
      <c r="J25">
        <v>5.13</v>
      </c>
      <c r="K25">
        <v>5.18</v>
      </c>
      <c r="M25" s="3"/>
      <c r="N25" s="17"/>
      <c r="O25" s="17"/>
      <c r="P25" s="17"/>
      <c r="Q25" s="17"/>
      <c r="R25" s="17"/>
      <c r="S25" s="17"/>
      <c r="T25" s="17"/>
      <c r="U25" s="17"/>
      <c r="V25" s="17"/>
      <c r="AE25" s="2"/>
      <c r="AQ25" s="2"/>
      <c r="AR25" s="2"/>
      <c r="AS25" s="2"/>
      <c r="AT25" s="2"/>
      <c r="AU25" s="2"/>
      <c r="AV25" s="2"/>
      <c r="AW25" s="2"/>
      <c r="AX25" s="2"/>
      <c r="AY25" s="2"/>
    </row>
    <row r="26" spans="1:51" x14ac:dyDescent="0.25">
      <c r="A26" s="24">
        <v>45743</v>
      </c>
      <c r="B26" s="1">
        <v>45743</v>
      </c>
      <c r="C26">
        <v>3.96</v>
      </c>
      <c r="D26">
        <v>4.46</v>
      </c>
      <c r="E26">
        <v>4.5599999999999996</v>
      </c>
      <c r="F26">
        <v>4.63</v>
      </c>
      <c r="G26">
        <v>4.7300000000000004</v>
      </c>
      <c r="H26">
        <v>4.74</v>
      </c>
      <c r="I26">
        <v>5.07</v>
      </c>
      <c r="J26">
        <v>5.17</v>
      </c>
      <c r="K26">
        <v>5.2</v>
      </c>
      <c r="M26" s="3"/>
      <c r="N26" s="17"/>
      <c r="O26" s="17"/>
      <c r="P26" s="17"/>
      <c r="Q26" s="17"/>
      <c r="R26" s="17"/>
      <c r="S26" s="17"/>
      <c r="T26" s="17"/>
      <c r="U26" s="17"/>
      <c r="V26" s="17"/>
      <c r="AE26" s="2"/>
      <c r="AQ26" s="2"/>
      <c r="AR26" s="2"/>
      <c r="AS26" s="2"/>
      <c r="AT26" s="2"/>
      <c r="AU26" s="2"/>
      <c r="AV26" s="2"/>
      <c r="AW26" s="2"/>
      <c r="AX26" s="2"/>
      <c r="AY26" s="2"/>
    </row>
    <row r="27" spans="1:51" x14ac:dyDescent="0.25">
      <c r="A27" s="24">
        <v>45742</v>
      </c>
      <c r="B27" s="1">
        <v>45742</v>
      </c>
      <c r="C27">
        <v>4.34</v>
      </c>
      <c r="D27">
        <v>4.5199999999999996</v>
      </c>
      <c r="E27">
        <v>4.58</v>
      </c>
      <c r="F27">
        <v>4.5999999999999996</v>
      </c>
      <c r="G27">
        <v>4.68</v>
      </c>
      <c r="H27">
        <v>4.7</v>
      </c>
      <c r="I27">
        <v>5.12</v>
      </c>
      <c r="J27">
        <v>5.23</v>
      </c>
      <c r="K27">
        <v>5.25</v>
      </c>
      <c r="M27" s="3"/>
      <c r="N27" s="17"/>
      <c r="O27" s="17"/>
      <c r="P27" s="17"/>
      <c r="Q27" s="17"/>
      <c r="R27" s="17"/>
      <c r="S27" s="17"/>
      <c r="T27" s="17"/>
      <c r="U27" s="17"/>
      <c r="V27" s="17"/>
      <c r="AE27" s="2"/>
      <c r="AQ27" s="2"/>
      <c r="AR27" s="2"/>
      <c r="AS27" s="2"/>
      <c r="AT27" s="2"/>
      <c r="AU27" s="2"/>
      <c r="AV27" s="2"/>
      <c r="AW27" s="2"/>
      <c r="AX27" s="2"/>
      <c r="AY27" s="2"/>
    </row>
    <row r="28" spans="1:51" x14ac:dyDescent="0.25">
      <c r="A28" s="24">
        <v>45741</v>
      </c>
      <c r="B28" s="1">
        <v>45741</v>
      </c>
      <c r="C28">
        <v>4.5</v>
      </c>
      <c r="D28">
        <v>4.62</v>
      </c>
      <c r="E28">
        <v>4.6399999999999997</v>
      </c>
      <c r="F28">
        <v>4.66</v>
      </c>
      <c r="G28">
        <v>4.7</v>
      </c>
      <c r="H28">
        <v>4.7</v>
      </c>
      <c r="I28">
        <v>5.08</v>
      </c>
      <c r="J28">
        <v>5.13</v>
      </c>
      <c r="K28">
        <v>5.18</v>
      </c>
      <c r="M28" s="3"/>
      <c r="N28" s="17"/>
      <c r="O28" s="17"/>
      <c r="P28" s="17"/>
      <c r="Q28" s="17"/>
      <c r="R28" s="17"/>
      <c r="S28" s="17"/>
      <c r="T28" s="17"/>
      <c r="U28" s="17"/>
      <c r="V28" s="17"/>
      <c r="AE28" s="2"/>
      <c r="AQ28" s="2"/>
      <c r="AR28" s="2"/>
      <c r="AS28" s="2"/>
      <c r="AT28" s="2"/>
      <c r="AU28" s="2"/>
      <c r="AV28" s="2"/>
      <c r="AW28" s="2"/>
      <c r="AX28" s="2"/>
      <c r="AY28" s="2"/>
    </row>
    <row r="29" spans="1:51" x14ac:dyDescent="0.25">
      <c r="A29" s="24">
        <v>45740</v>
      </c>
      <c r="B29" s="1">
        <v>45740</v>
      </c>
      <c r="C29">
        <v>4.38</v>
      </c>
      <c r="D29">
        <v>4.4800000000000004</v>
      </c>
      <c r="E29">
        <v>4.55</v>
      </c>
      <c r="F29">
        <v>4.58</v>
      </c>
      <c r="G29">
        <v>4.68</v>
      </c>
      <c r="H29">
        <v>4.7</v>
      </c>
      <c r="I29">
        <v>5.15</v>
      </c>
      <c r="J29">
        <v>5.22</v>
      </c>
      <c r="K29">
        <v>5.26</v>
      </c>
      <c r="M29" s="3"/>
      <c r="N29" s="17"/>
      <c r="O29" s="17"/>
      <c r="P29" s="17"/>
      <c r="Q29" s="17"/>
      <c r="R29" s="17"/>
      <c r="S29" s="17"/>
      <c r="T29" s="17"/>
      <c r="U29" s="17"/>
      <c r="V29" s="17"/>
      <c r="AE29" s="2"/>
      <c r="AQ29" s="2"/>
      <c r="AR29" s="2"/>
      <c r="AS29" s="2"/>
      <c r="AT29" s="2"/>
      <c r="AU29" s="2"/>
      <c r="AV29" s="2"/>
      <c r="AW29" s="2"/>
      <c r="AX29" s="2"/>
      <c r="AY29" s="2"/>
    </row>
    <row r="30" spans="1:51" x14ac:dyDescent="0.25">
      <c r="A30" s="24">
        <v>45737</v>
      </c>
      <c r="B30" s="1">
        <v>45737</v>
      </c>
      <c r="C30">
        <v>4.22</v>
      </c>
      <c r="D30">
        <v>4.38</v>
      </c>
      <c r="E30">
        <v>4.5</v>
      </c>
      <c r="F30">
        <v>4.54</v>
      </c>
      <c r="G30">
        <v>4.66</v>
      </c>
      <c r="H30">
        <v>4.68</v>
      </c>
      <c r="I30">
        <v>5.0999999999999996</v>
      </c>
      <c r="J30">
        <v>5.2</v>
      </c>
      <c r="K30">
        <v>5.23</v>
      </c>
      <c r="M30" s="3"/>
      <c r="N30" s="17"/>
      <c r="O30" s="17"/>
      <c r="P30" s="17"/>
      <c r="Q30" s="17"/>
      <c r="R30" s="17"/>
      <c r="S30" s="17"/>
      <c r="T30" s="17"/>
      <c r="U30" s="17"/>
      <c r="V30" s="17"/>
      <c r="AE30" s="2"/>
      <c r="AQ30" s="2"/>
      <c r="AR30" s="2"/>
      <c r="AS30" s="2"/>
      <c r="AT30" s="2"/>
      <c r="AU30" s="2"/>
      <c r="AV30" s="2"/>
      <c r="AW30" s="2"/>
      <c r="AX30" s="2"/>
      <c r="AY30" s="2"/>
    </row>
    <row r="31" spans="1:51" x14ac:dyDescent="0.25">
      <c r="A31" s="24">
        <v>45736</v>
      </c>
      <c r="B31" s="1">
        <v>45736</v>
      </c>
      <c r="C31">
        <v>4.04</v>
      </c>
      <c r="D31">
        <v>4.18</v>
      </c>
      <c r="E31">
        <v>4.38</v>
      </c>
      <c r="F31">
        <v>4.5</v>
      </c>
      <c r="G31">
        <v>4.58</v>
      </c>
      <c r="H31">
        <v>4.62</v>
      </c>
      <c r="I31">
        <v>5.08</v>
      </c>
      <c r="J31">
        <v>5.18</v>
      </c>
      <c r="K31">
        <v>5.23</v>
      </c>
      <c r="M31" s="3"/>
      <c r="N31" s="17"/>
      <c r="O31" s="17"/>
      <c r="P31" s="17"/>
      <c r="Q31" s="17"/>
      <c r="R31" s="17"/>
      <c r="S31" s="17"/>
      <c r="T31" s="17"/>
      <c r="U31" s="17"/>
      <c r="V31" s="17"/>
      <c r="AE31" s="2"/>
      <c r="AQ31" s="2"/>
      <c r="AR31" s="2"/>
      <c r="AS31" s="2"/>
      <c r="AT31" s="2"/>
      <c r="AU31" s="2"/>
      <c r="AV31" s="2"/>
      <c r="AW31" s="2"/>
      <c r="AX31" s="2"/>
      <c r="AY31" s="2"/>
    </row>
    <row r="32" spans="1:51" x14ac:dyDescent="0.25">
      <c r="A32" s="24">
        <v>45735</v>
      </c>
      <c r="B32" s="1">
        <v>45735</v>
      </c>
      <c r="C32">
        <v>4.0999999999999996</v>
      </c>
      <c r="D32">
        <v>4.26</v>
      </c>
      <c r="E32">
        <v>4.4000000000000004</v>
      </c>
      <c r="F32">
        <v>4.5199999999999996</v>
      </c>
      <c r="G32">
        <v>4.62</v>
      </c>
      <c r="H32">
        <v>4.68</v>
      </c>
      <c r="I32">
        <v>5.08</v>
      </c>
      <c r="J32">
        <v>5.2</v>
      </c>
      <c r="K32">
        <v>5.25</v>
      </c>
      <c r="M32" s="3"/>
      <c r="N32" s="17"/>
      <c r="O32" s="17"/>
      <c r="P32" s="17"/>
      <c r="Q32" s="17"/>
      <c r="R32" s="17"/>
      <c r="S32" s="17"/>
      <c r="T32" s="17"/>
      <c r="U32" s="17"/>
      <c r="V32" s="17"/>
      <c r="AE32" s="2"/>
      <c r="AQ32" s="2"/>
      <c r="AR32" s="2"/>
      <c r="AS32" s="2"/>
      <c r="AT32" s="2"/>
      <c r="AU32" s="2"/>
      <c r="AV32" s="2"/>
      <c r="AW32" s="2"/>
      <c r="AX32" s="2"/>
      <c r="AY32" s="2"/>
    </row>
    <row r="33" spans="1:51" x14ac:dyDescent="0.25">
      <c r="A33" s="24">
        <v>45734</v>
      </c>
      <c r="B33" s="1">
        <v>45734</v>
      </c>
      <c r="C33">
        <v>4.16</v>
      </c>
      <c r="D33">
        <v>4.29</v>
      </c>
      <c r="E33">
        <v>4.4000000000000004</v>
      </c>
      <c r="F33">
        <v>4.51</v>
      </c>
      <c r="G33">
        <v>4.63</v>
      </c>
      <c r="H33">
        <v>4.66</v>
      </c>
      <c r="I33">
        <v>5.09</v>
      </c>
      <c r="J33">
        <v>5.17</v>
      </c>
      <c r="K33">
        <v>5.2</v>
      </c>
      <c r="M33" s="3"/>
      <c r="N33" s="17"/>
      <c r="O33" s="17"/>
      <c r="P33" s="17"/>
      <c r="Q33" s="17"/>
      <c r="R33" s="17"/>
      <c r="S33" s="17"/>
      <c r="T33" s="17"/>
      <c r="U33" s="17"/>
      <c r="V33" s="17"/>
      <c r="AE33" s="2"/>
      <c r="AQ33" s="2"/>
      <c r="AR33" s="2"/>
      <c r="AS33" s="2"/>
      <c r="AT33" s="2"/>
      <c r="AU33" s="2"/>
      <c r="AV33" s="2"/>
      <c r="AW33" s="2"/>
      <c r="AX33" s="2"/>
      <c r="AY33" s="2"/>
    </row>
    <row r="34" spans="1:51" x14ac:dyDescent="0.25">
      <c r="A34" s="24">
        <v>45733</v>
      </c>
      <c r="B34" s="1">
        <v>45733</v>
      </c>
      <c r="C34">
        <v>4.24</v>
      </c>
      <c r="D34">
        <v>4.34</v>
      </c>
      <c r="E34">
        <v>4.46</v>
      </c>
      <c r="F34">
        <v>4.54</v>
      </c>
      <c r="G34">
        <v>4.62</v>
      </c>
      <c r="H34">
        <v>4.66</v>
      </c>
      <c r="I34">
        <v>5.08</v>
      </c>
      <c r="J34">
        <v>5.18</v>
      </c>
      <c r="K34">
        <v>5.23</v>
      </c>
      <c r="M34" s="3"/>
      <c r="N34" s="17"/>
      <c r="O34" s="17"/>
      <c r="P34" s="17"/>
      <c r="Q34" s="17"/>
      <c r="R34" s="17"/>
      <c r="S34" s="17"/>
      <c r="T34" s="17"/>
      <c r="U34" s="17"/>
      <c r="V34" s="17"/>
      <c r="AE34" s="2"/>
      <c r="AQ34" s="2"/>
      <c r="AR34" s="2"/>
      <c r="AS34" s="2"/>
      <c r="AT34" s="2"/>
      <c r="AU34" s="2"/>
      <c r="AV34" s="2"/>
      <c r="AW34" s="2"/>
      <c r="AX34" s="2"/>
      <c r="AY34" s="2"/>
    </row>
    <row r="35" spans="1:51" x14ac:dyDescent="0.25">
      <c r="A35" s="24">
        <v>45730</v>
      </c>
      <c r="B35" s="1">
        <v>45730</v>
      </c>
      <c r="C35">
        <v>4.3</v>
      </c>
      <c r="D35">
        <v>4.43</v>
      </c>
      <c r="E35">
        <v>4.53</v>
      </c>
      <c r="F35">
        <v>4.6100000000000003</v>
      </c>
      <c r="G35">
        <v>4.7300000000000004</v>
      </c>
      <c r="H35">
        <v>4.79</v>
      </c>
      <c r="I35">
        <v>5.14</v>
      </c>
      <c r="J35">
        <v>5.23</v>
      </c>
      <c r="K35">
        <v>5.26</v>
      </c>
      <c r="M35" s="3"/>
      <c r="N35" s="17"/>
      <c r="O35" s="17"/>
      <c r="P35" s="17"/>
      <c r="Q35" s="17"/>
      <c r="R35" s="17"/>
      <c r="S35" s="17"/>
      <c r="T35" s="17"/>
      <c r="U35" s="17"/>
      <c r="V35" s="17"/>
      <c r="AE35" s="2"/>
      <c r="AQ35" s="2"/>
      <c r="AR35" s="2"/>
      <c r="AS35" s="2"/>
      <c r="AT35" s="2"/>
      <c r="AU35" s="2"/>
      <c r="AV35" s="2"/>
      <c r="AW35" s="2"/>
      <c r="AX35" s="2"/>
      <c r="AY35" s="2"/>
    </row>
    <row r="36" spans="1:51" x14ac:dyDescent="0.25">
      <c r="A36" s="24">
        <v>45729</v>
      </c>
      <c r="B36" s="1">
        <v>45729</v>
      </c>
      <c r="C36">
        <v>4.5599999999999996</v>
      </c>
      <c r="D36">
        <v>4.62</v>
      </c>
      <c r="E36">
        <v>4.66</v>
      </c>
      <c r="F36">
        <v>4.6399999999999997</v>
      </c>
      <c r="G36">
        <v>4.66</v>
      </c>
      <c r="H36">
        <v>4.66</v>
      </c>
      <c r="I36">
        <v>5.14</v>
      </c>
      <c r="J36">
        <v>5.18</v>
      </c>
      <c r="K36">
        <v>5.23</v>
      </c>
      <c r="M36" s="3"/>
      <c r="N36" s="17"/>
      <c r="O36" s="17"/>
      <c r="P36" s="17"/>
      <c r="Q36" s="17"/>
      <c r="R36" s="17"/>
      <c r="S36" s="17"/>
      <c r="T36" s="17"/>
      <c r="U36" s="17"/>
      <c r="V36" s="17"/>
      <c r="AE36" s="2"/>
      <c r="AQ36" s="2"/>
      <c r="AR36" s="2"/>
      <c r="AS36" s="2"/>
      <c r="AT36" s="2"/>
      <c r="AU36" s="2"/>
      <c r="AV36" s="2"/>
      <c r="AW36" s="2"/>
      <c r="AX36" s="2"/>
      <c r="AY36" s="2"/>
    </row>
    <row r="37" spans="1:51" x14ac:dyDescent="0.25">
      <c r="A37" s="24">
        <v>45728</v>
      </c>
      <c r="B37" s="1">
        <v>45728</v>
      </c>
      <c r="C37">
        <v>4.74</v>
      </c>
      <c r="D37">
        <v>4.76</v>
      </c>
      <c r="E37">
        <v>4.71</v>
      </c>
      <c r="F37">
        <v>4.7300000000000004</v>
      </c>
      <c r="G37">
        <v>4.8099999999999996</v>
      </c>
      <c r="H37">
        <v>4.84</v>
      </c>
      <c r="I37">
        <v>5.14</v>
      </c>
      <c r="J37">
        <v>5.23</v>
      </c>
      <c r="K37">
        <v>5.24</v>
      </c>
      <c r="M37" s="3"/>
      <c r="N37" s="17"/>
      <c r="O37" s="17"/>
      <c r="P37" s="17"/>
      <c r="Q37" s="17"/>
      <c r="R37" s="17"/>
      <c r="S37" s="17"/>
      <c r="T37" s="17"/>
      <c r="U37" s="17"/>
      <c r="V37" s="17"/>
      <c r="AE37" s="2"/>
      <c r="AQ37" s="2"/>
      <c r="AR37" s="2"/>
      <c r="AS37" s="2"/>
      <c r="AT37" s="2"/>
      <c r="AU37" s="2"/>
      <c r="AV37" s="2"/>
      <c r="AW37" s="2"/>
      <c r="AX37" s="2"/>
      <c r="AY37" s="2"/>
    </row>
    <row r="38" spans="1:51" x14ac:dyDescent="0.25">
      <c r="A38" s="24">
        <v>45727</v>
      </c>
      <c r="B38" s="1">
        <v>45727</v>
      </c>
      <c r="C38">
        <v>4.58</v>
      </c>
      <c r="D38">
        <v>4.5999999999999996</v>
      </c>
      <c r="E38">
        <v>4.5999999999999996</v>
      </c>
      <c r="F38">
        <v>4.54</v>
      </c>
      <c r="G38">
        <v>4.7</v>
      </c>
      <c r="H38">
        <v>4.72</v>
      </c>
      <c r="I38">
        <v>5.14</v>
      </c>
      <c r="J38">
        <v>5.18</v>
      </c>
      <c r="K38">
        <v>5.2</v>
      </c>
      <c r="M38" s="3"/>
      <c r="N38" s="17"/>
      <c r="O38" s="17"/>
      <c r="P38" s="17"/>
      <c r="Q38" s="17"/>
      <c r="R38" s="17"/>
      <c r="S38" s="17"/>
      <c r="T38" s="17"/>
      <c r="U38" s="17"/>
      <c r="V38" s="17"/>
      <c r="AE38" s="2"/>
      <c r="AQ38" s="2"/>
      <c r="AR38" s="2"/>
      <c r="AS38" s="2"/>
      <c r="AT38" s="2"/>
      <c r="AU38" s="2"/>
      <c r="AV38" s="2"/>
      <c r="AW38" s="2"/>
      <c r="AX38" s="2"/>
      <c r="AY38" s="2"/>
    </row>
    <row r="39" spans="1:51" x14ac:dyDescent="0.25">
      <c r="A39" s="24">
        <v>45726</v>
      </c>
      <c r="B39" s="1">
        <v>45726</v>
      </c>
      <c r="C39">
        <v>4.1500000000000004</v>
      </c>
      <c r="D39">
        <v>4.32</v>
      </c>
      <c r="E39">
        <v>4.37</v>
      </c>
      <c r="F39">
        <v>4.53</v>
      </c>
      <c r="G39">
        <v>4.68</v>
      </c>
      <c r="H39">
        <v>4.7300000000000004</v>
      </c>
      <c r="I39">
        <v>5.0999999999999996</v>
      </c>
      <c r="J39">
        <v>5.22</v>
      </c>
      <c r="K39">
        <v>5.24</v>
      </c>
      <c r="M39" s="3"/>
      <c r="N39" s="17"/>
      <c r="O39" s="17"/>
      <c r="P39" s="17"/>
      <c r="Q39" s="17"/>
      <c r="R39" s="17"/>
      <c r="S39" s="17"/>
      <c r="T39" s="17"/>
      <c r="U39" s="17"/>
      <c r="V39" s="17"/>
      <c r="AE39" s="2"/>
      <c r="AQ39" s="2"/>
      <c r="AR39" s="2"/>
      <c r="AS39" s="2"/>
      <c r="AT39" s="2"/>
      <c r="AU39" s="2"/>
      <c r="AV39" s="2"/>
      <c r="AW39" s="2"/>
      <c r="AX39" s="2"/>
      <c r="AY39" s="2"/>
    </row>
    <row r="40" spans="1:51" x14ac:dyDescent="0.25">
      <c r="A40" s="24">
        <v>45723</v>
      </c>
      <c r="B40" s="1">
        <v>45723</v>
      </c>
      <c r="C40">
        <v>3.99</v>
      </c>
      <c r="D40">
        <v>4.09</v>
      </c>
      <c r="E40">
        <v>4.2699999999999996</v>
      </c>
      <c r="F40">
        <v>4.43</v>
      </c>
      <c r="G40">
        <v>4.7</v>
      </c>
      <c r="H40">
        <v>4.74</v>
      </c>
      <c r="I40">
        <v>5.13</v>
      </c>
      <c r="J40">
        <v>5.2</v>
      </c>
      <c r="K40">
        <v>5.22</v>
      </c>
      <c r="M40" s="3"/>
      <c r="N40" s="17"/>
      <c r="O40" s="17"/>
      <c r="P40" s="17"/>
      <c r="Q40" s="17"/>
      <c r="R40" s="17"/>
      <c r="S40" s="17"/>
      <c r="T40" s="17"/>
      <c r="U40" s="17"/>
      <c r="V40" s="17"/>
      <c r="AE40" s="2"/>
      <c r="AQ40" s="2"/>
      <c r="AR40" s="2"/>
      <c r="AS40" s="2"/>
      <c r="AT40" s="2"/>
      <c r="AU40" s="2"/>
      <c r="AV40" s="2"/>
      <c r="AW40" s="2"/>
      <c r="AX40" s="2"/>
      <c r="AY40" s="2"/>
    </row>
    <row r="41" spans="1:51" x14ac:dyDescent="0.25">
      <c r="A41" s="24">
        <v>45722</v>
      </c>
      <c r="B41" s="1">
        <v>45722</v>
      </c>
      <c r="C41">
        <v>4.0199999999999996</v>
      </c>
      <c r="D41">
        <v>4.16</v>
      </c>
      <c r="E41">
        <v>4.3</v>
      </c>
      <c r="F41">
        <v>4.42</v>
      </c>
      <c r="G41">
        <v>4.76</v>
      </c>
      <c r="H41">
        <v>4.82</v>
      </c>
      <c r="I41">
        <v>5.22</v>
      </c>
      <c r="J41">
        <v>5.25</v>
      </c>
      <c r="K41">
        <v>5.3</v>
      </c>
      <c r="M41" s="3"/>
      <c r="N41" s="17"/>
      <c r="O41" s="17"/>
      <c r="P41" s="17"/>
      <c r="Q41" s="17"/>
      <c r="R41" s="17"/>
      <c r="S41" s="17"/>
      <c r="T41" s="17"/>
      <c r="U41" s="17"/>
      <c r="V41" s="17"/>
      <c r="AE41" s="2"/>
      <c r="AQ41" s="2"/>
      <c r="AR41" s="2"/>
      <c r="AS41" s="2"/>
      <c r="AT41" s="2"/>
      <c r="AU41" s="2"/>
      <c r="AV41" s="2"/>
      <c r="AW41" s="2"/>
      <c r="AX41" s="2"/>
      <c r="AY41" s="2"/>
    </row>
    <row r="42" spans="1:51" x14ac:dyDescent="0.25">
      <c r="A42" s="24">
        <v>45721</v>
      </c>
      <c r="B42" s="1">
        <v>45721</v>
      </c>
      <c r="C42">
        <v>4.17</v>
      </c>
      <c r="D42">
        <v>4.3099999999999996</v>
      </c>
      <c r="E42">
        <v>4.41</v>
      </c>
      <c r="F42">
        <v>4.51</v>
      </c>
      <c r="G42">
        <v>4.87</v>
      </c>
      <c r="H42">
        <v>4.91</v>
      </c>
      <c r="I42">
        <v>5.23</v>
      </c>
      <c r="J42">
        <v>5.24</v>
      </c>
      <c r="K42">
        <v>5.28</v>
      </c>
      <c r="M42" s="3"/>
      <c r="N42" s="17"/>
      <c r="O42" s="17"/>
      <c r="P42" s="17"/>
      <c r="Q42" s="17"/>
      <c r="R42" s="17"/>
      <c r="S42" s="17"/>
      <c r="T42" s="17"/>
      <c r="U42" s="17"/>
      <c r="V42" s="17"/>
      <c r="AE42" s="2"/>
      <c r="AQ42" s="2"/>
      <c r="AR42" s="2"/>
      <c r="AS42" s="2"/>
      <c r="AT42" s="2"/>
      <c r="AU42" s="2"/>
      <c r="AV42" s="2"/>
      <c r="AW42" s="2"/>
      <c r="AX42" s="2"/>
      <c r="AY42" s="2"/>
    </row>
    <row r="43" spans="1:51" x14ac:dyDescent="0.25">
      <c r="A43" s="24">
        <v>45720</v>
      </c>
      <c r="B43" s="1">
        <v>45720</v>
      </c>
      <c r="C43">
        <v>4.7699999999999996</v>
      </c>
      <c r="D43">
        <v>4.82</v>
      </c>
      <c r="E43">
        <v>4.8499999999999996</v>
      </c>
      <c r="F43">
        <v>4.88</v>
      </c>
      <c r="G43">
        <v>4.97</v>
      </c>
      <c r="H43">
        <v>5.03</v>
      </c>
      <c r="I43">
        <v>5.27</v>
      </c>
      <c r="J43">
        <v>5.29</v>
      </c>
      <c r="K43">
        <v>5.31</v>
      </c>
      <c r="M43" s="3"/>
      <c r="N43" s="17"/>
      <c r="O43" s="17"/>
      <c r="P43" s="17"/>
      <c r="Q43" s="17"/>
      <c r="R43" s="17"/>
      <c r="S43" s="17"/>
      <c r="T43" s="17"/>
      <c r="U43" s="17"/>
      <c r="V43" s="17"/>
      <c r="AE43" s="2"/>
      <c r="AQ43" s="2"/>
      <c r="AR43" s="2"/>
      <c r="AS43" s="2"/>
      <c r="AT43" s="2"/>
      <c r="AU43" s="2"/>
      <c r="AV43" s="2"/>
      <c r="AW43" s="2"/>
      <c r="AX43" s="2"/>
      <c r="AY43" s="2"/>
    </row>
    <row r="44" spans="1:51" x14ac:dyDescent="0.25">
      <c r="A44" s="24">
        <v>45719</v>
      </c>
      <c r="B44" s="1">
        <v>45719</v>
      </c>
      <c r="C44">
        <v>4.76</v>
      </c>
      <c r="D44">
        <v>4.82</v>
      </c>
      <c r="E44">
        <v>4.82</v>
      </c>
      <c r="F44">
        <v>4.88</v>
      </c>
      <c r="G44">
        <v>5.0199999999999996</v>
      </c>
      <c r="H44">
        <v>5.08</v>
      </c>
      <c r="I44">
        <v>5.28</v>
      </c>
      <c r="J44">
        <v>5.33</v>
      </c>
      <c r="K44">
        <v>5.35</v>
      </c>
      <c r="M44" s="3"/>
      <c r="N44" s="17"/>
      <c r="O44" s="17"/>
      <c r="P44" s="17"/>
      <c r="Q44" s="17"/>
      <c r="R44" s="17"/>
      <c r="S44" s="17"/>
      <c r="T44" s="17"/>
      <c r="U44" s="17"/>
      <c r="V44" s="17"/>
      <c r="AE44" s="2"/>
      <c r="AQ44" s="2"/>
      <c r="AR44" s="2"/>
      <c r="AS44" s="2"/>
      <c r="AT44" s="2"/>
      <c r="AU44" s="2"/>
      <c r="AV44" s="2"/>
      <c r="AW44" s="2"/>
      <c r="AX44" s="2"/>
      <c r="AY44" s="2"/>
    </row>
    <row r="45" spans="1:51" x14ac:dyDescent="0.25">
      <c r="A45" s="24">
        <v>45716</v>
      </c>
      <c r="B45" s="1">
        <v>45716</v>
      </c>
      <c r="C45">
        <v>4.8</v>
      </c>
      <c r="D45">
        <v>4.88</v>
      </c>
      <c r="E45">
        <v>4.88</v>
      </c>
      <c r="F45">
        <v>4.93</v>
      </c>
      <c r="G45">
        <v>5.03</v>
      </c>
      <c r="H45">
        <v>5.09</v>
      </c>
      <c r="I45">
        <v>5.28</v>
      </c>
      <c r="J45">
        <v>5.33</v>
      </c>
      <c r="K45">
        <v>5.35</v>
      </c>
      <c r="M45" s="3"/>
      <c r="N45" s="17"/>
      <c r="O45" s="17"/>
      <c r="P45" s="17"/>
      <c r="Q45" s="17"/>
      <c r="R45" s="17"/>
      <c r="S45" s="17"/>
      <c r="T45" s="17"/>
      <c r="U45" s="17"/>
      <c r="V45" s="17"/>
      <c r="AE45" s="2"/>
      <c r="AQ45" s="2"/>
      <c r="AR45" s="2"/>
      <c r="AS45" s="2"/>
      <c r="AT45" s="2"/>
      <c r="AU45" s="2"/>
      <c r="AV45" s="2"/>
      <c r="AW45" s="2"/>
      <c r="AX45" s="2"/>
      <c r="AY45" s="2"/>
    </row>
    <row r="46" spans="1:51" x14ac:dyDescent="0.25">
      <c r="A46" s="24">
        <v>45715</v>
      </c>
      <c r="B46" s="1">
        <v>45715</v>
      </c>
      <c r="C46">
        <v>3.82</v>
      </c>
      <c r="D46">
        <v>4.37</v>
      </c>
      <c r="E46">
        <v>4.62</v>
      </c>
      <c r="F46">
        <v>4.82</v>
      </c>
      <c r="G46">
        <v>4.95</v>
      </c>
      <c r="H46">
        <v>5.03</v>
      </c>
      <c r="I46">
        <v>5.25</v>
      </c>
      <c r="J46">
        <v>5.3</v>
      </c>
      <c r="K46">
        <v>5.32</v>
      </c>
      <c r="M46" s="3"/>
      <c r="N46" s="17"/>
      <c r="O46" s="17"/>
      <c r="P46" s="17"/>
      <c r="Q46" s="17"/>
      <c r="R46" s="17"/>
      <c r="S46" s="17"/>
      <c r="T46" s="17"/>
      <c r="U46" s="17"/>
      <c r="V46" s="17"/>
      <c r="AE46" s="2"/>
      <c r="AQ46" s="2"/>
      <c r="AR46" s="2"/>
      <c r="AS46" s="2"/>
      <c r="AT46" s="2"/>
      <c r="AU46" s="2"/>
      <c r="AV46" s="2"/>
      <c r="AW46" s="2"/>
      <c r="AX46" s="2"/>
      <c r="AY46" s="2"/>
    </row>
    <row r="47" spans="1:51" x14ac:dyDescent="0.25">
      <c r="A47" s="24">
        <v>45714</v>
      </c>
      <c r="B47" s="1">
        <v>45714</v>
      </c>
      <c r="C47">
        <v>4.2</v>
      </c>
      <c r="D47">
        <v>4.5199999999999996</v>
      </c>
      <c r="E47">
        <v>4.75</v>
      </c>
      <c r="F47">
        <v>4.87</v>
      </c>
      <c r="G47">
        <v>4.9800000000000004</v>
      </c>
      <c r="H47">
        <v>5.08</v>
      </c>
      <c r="I47">
        <v>5.28</v>
      </c>
      <c r="J47">
        <v>5.34</v>
      </c>
      <c r="K47">
        <v>5.36</v>
      </c>
      <c r="M47" s="3"/>
      <c r="N47" s="17"/>
      <c r="O47" s="17"/>
      <c r="P47" s="17"/>
      <c r="Q47" s="17"/>
      <c r="R47" s="17"/>
      <c r="S47" s="17"/>
      <c r="T47" s="17"/>
      <c r="U47" s="17"/>
      <c r="V47" s="17"/>
      <c r="AE47" s="2"/>
      <c r="AQ47" s="2"/>
      <c r="AR47" s="2"/>
      <c r="AS47" s="2"/>
      <c r="AT47" s="2"/>
      <c r="AU47" s="2"/>
      <c r="AV47" s="2"/>
      <c r="AW47" s="2"/>
      <c r="AX47" s="2"/>
      <c r="AY47" s="2"/>
    </row>
    <row r="48" spans="1:51" x14ac:dyDescent="0.25">
      <c r="A48" s="24">
        <v>45713</v>
      </c>
      <c r="B48" s="1">
        <v>45713</v>
      </c>
      <c r="C48">
        <v>4.76</v>
      </c>
      <c r="D48">
        <v>4.8</v>
      </c>
      <c r="E48">
        <v>4.91</v>
      </c>
      <c r="F48">
        <v>4.9400000000000004</v>
      </c>
      <c r="G48">
        <v>5.03</v>
      </c>
      <c r="H48">
        <v>5.09</v>
      </c>
      <c r="I48">
        <v>5.29</v>
      </c>
      <c r="J48">
        <v>5.33</v>
      </c>
      <c r="K48">
        <v>5.35</v>
      </c>
      <c r="M48" s="3"/>
      <c r="N48" s="17"/>
      <c r="O48" s="17"/>
      <c r="P48" s="17"/>
      <c r="Q48" s="17"/>
      <c r="R48" s="17"/>
      <c r="S48" s="17"/>
      <c r="T48" s="17"/>
      <c r="U48" s="17"/>
      <c r="V48" s="17"/>
      <c r="AE48" s="2"/>
      <c r="AQ48" s="2"/>
      <c r="AR48" s="2"/>
      <c r="AS48" s="2"/>
      <c r="AT48" s="2"/>
      <c r="AU48" s="2"/>
      <c r="AV48" s="2"/>
      <c r="AW48" s="2"/>
      <c r="AX48" s="2"/>
      <c r="AY48" s="2"/>
    </row>
    <row r="49" spans="1:51" x14ac:dyDescent="0.25">
      <c r="A49" s="24">
        <v>45712</v>
      </c>
      <c r="B49" s="1">
        <v>45712</v>
      </c>
      <c r="C49">
        <v>4.53</v>
      </c>
      <c r="D49">
        <v>4.68</v>
      </c>
      <c r="E49">
        <v>4.78</v>
      </c>
      <c r="F49">
        <v>4.88</v>
      </c>
      <c r="G49">
        <v>4.97</v>
      </c>
      <c r="H49">
        <v>5.07</v>
      </c>
      <c r="I49">
        <v>5.28</v>
      </c>
      <c r="J49">
        <v>5.32</v>
      </c>
      <c r="K49">
        <v>5.34</v>
      </c>
      <c r="M49" s="3"/>
      <c r="N49" s="17"/>
      <c r="O49" s="17"/>
      <c r="P49" s="17"/>
      <c r="Q49" s="17"/>
      <c r="R49" s="17"/>
      <c r="S49" s="17"/>
      <c r="T49" s="17"/>
      <c r="U49" s="17"/>
      <c r="V49" s="17"/>
      <c r="AE49" s="2"/>
      <c r="AQ49" s="2"/>
      <c r="AR49" s="2"/>
      <c r="AS49" s="2"/>
      <c r="AT49" s="2"/>
      <c r="AU49" s="2"/>
      <c r="AV49" s="2"/>
      <c r="AW49" s="2"/>
      <c r="AX49" s="2"/>
      <c r="AY49" s="2"/>
    </row>
    <row r="50" spans="1:51" x14ac:dyDescent="0.25">
      <c r="A50" s="24">
        <v>45709</v>
      </c>
      <c r="B50" s="1">
        <v>45709</v>
      </c>
      <c r="C50">
        <v>4.07</v>
      </c>
      <c r="D50">
        <v>4.42</v>
      </c>
      <c r="E50">
        <v>4.58</v>
      </c>
      <c r="F50">
        <v>4.78</v>
      </c>
      <c r="G50">
        <v>5</v>
      </c>
      <c r="H50">
        <v>5.0999999999999996</v>
      </c>
      <c r="I50">
        <v>5.28</v>
      </c>
      <c r="J50">
        <v>5.34</v>
      </c>
      <c r="K50">
        <v>5.36</v>
      </c>
      <c r="M50" s="3"/>
      <c r="N50" s="17"/>
      <c r="O50" s="17"/>
      <c r="P50" s="17"/>
      <c r="Q50" s="17"/>
      <c r="R50" s="17"/>
      <c r="S50" s="17"/>
      <c r="T50" s="17"/>
      <c r="U50" s="17"/>
      <c r="V50" s="17"/>
      <c r="AE50" s="2"/>
      <c r="AQ50" s="2"/>
      <c r="AR50" s="2"/>
      <c r="AS50" s="2"/>
      <c r="AT50" s="2"/>
      <c r="AU50" s="2"/>
      <c r="AV50" s="2"/>
      <c r="AW50" s="2"/>
      <c r="AX50" s="2"/>
      <c r="AY50" s="2"/>
    </row>
    <row r="51" spans="1:51" x14ac:dyDescent="0.25">
      <c r="A51" s="24">
        <v>45708</v>
      </c>
      <c r="B51" s="1">
        <v>45708</v>
      </c>
      <c r="C51">
        <v>4.18</v>
      </c>
      <c r="D51">
        <v>4.45</v>
      </c>
      <c r="E51">
        <v>4.62</v>
      </c>
      <c r="F51">
        <v>4.8</v>
      </c>
      <c r="G51">
        <v>4.9800000000000004</v>
      </c>
      <c r="H51">
        <v>5.0999999999999996</v>
      </c>
      <c r="I51">
        <v>5.28</v>
      </c>
      <c r="J51">
        <v>5.34</v>
      </c>
      <c r="K51">
        <v>5.34</v>
      </c>
      <c r="M51" s="3"/>
      <c r="N51" s="17"/>
      <c r="O51" s="17"/>
      <c r="P51" s="17"/>
      <c r="Q51" s="17"/>
      <c r="R51" s="17"/>
      <c r="S51" s="17"/>
      <c r="T51" s="17"/>
      <c r="U51" s="17"/>
      <c r="V51" s="17"/>
      <c r="AE51" s="2"/>
      <c r="AQ51" s="2"/>
      <c r="AR51" s="2"/>
      <c r="AS51" s="2"/>
      <c r="AT51" s="2"/>
      <c r="AU51" s="2"/>
      <c r="AV51" s="2"/>
      <c r="AW51" s="2"/>
      <c r="AX51" s="2"/>
      <c r="AY51" s="2"/>
    </row>
    <row r="52" spans="1:51" x14ac:dyDescent="0.25">
      <c r="A52" s="24">
        <v>45707</v>
      </c>
      <c r="B52" s="1">
        <v>45707</v>
      </c>
      <c r="C52">
        <v>4.33</v>
      </c>
      <c r="D52">
        <v>4.57</v>
      </c>
      <c r="E52">
        <v>4.75</v>
      </c>
      <c r="F52">
        <v>4.88</v>
      </c>
      <c r="G52">
        <v>5.03</v>
      </c>
      <c r="H52">
        <v>5.15</v>
      </c>
      <c r="I52">
        <v>5.27</v>
      </c>
      <c r="J52">
        <v>5.32</v>
      </c>
      <c r="K52">
        <v>5.34</v>
      </c>
      <c r="M52" s="3"/>
      <c r="N52" s="17"/>
      <c r="O52" s="17"/>
      <c r="P52" s="17"/>
      <c r="Q52" s="17"/>
      <c r="R52" s="17"/>
      <c r="S52" s="17"/>
      <c r="T52" s="17"/>
      <c r="U52" s="17"/>
      <c r="V52" s="17"/>
      <c r="AE52" s="2"/>
      <c r="AQ52" s="2"/>
      <c r="AR52" s="2"/>
      <c r="AS52" s="2"/>
      <c r="AT52" s="2"/>
      <c r="AU52" s="2"/>
      <c r="AV52" s="2"/>
      <c r="AW52" s="2"/>
      <c r="AX52" s="2"/>
      <c r="AY52" s="2"/>
    </row>
    <row r="53" spans="1:51" x14ac:dyDescent="0.25">
      <c r="A53" s="24">
        <v>45706</v>
      </c>
      <c r="B53" s="1">
        <v>45706</v>
      </c>
      <c r="C53">
        <v>4.68</v>
      </c>
      <c r="D53">
        <v>4.8</v>
      </c>
      <c r="E53">
        <v>4.8499999999999996</v>
      </c>
      <c r="F53">
        <v>4.92</v>
      </c>
      <c r="G53">
        <v>5.0199999999999996</v>
      </c>
      <c r="H53">
        <v>5.12</v>
      </c>
      <c r="I53">
        <v>5.27</v>
      </c>
      <c r="J53">
        <v>5.32</v>
      </c>
      <c r="K53">
        <v>5.34</v>
      </c>
      <c r="M53" s="3"/>
      <c r="N53" s="17"/>
      <c r="O53" s="17"/>
      <c r="P53" s="17"/>
      <c r="Q53" s="17"/>
      <c r="R53" s="17"/>
      <c r="S53" s="17"/>
      <c r="T53" s="17"/>
      <c r="U53" s="17"/>
      <c r="V53" s="17"/>
      <c r="AE53" s="2"/>
      <c r="AQ53" s="2"/>
      <c r="AR53" s="2"/>
      <c r="AS53" s="2"/>
      <c r="AT53" s="2"/>
      <c r="AU53" s="2"/>
      <c r="AV53" s="2"/>
      <c r="AW53" s="2"/>
      <c r="AX53" s="2"/>
      <c r="AY53" s="2"/>
    </row>
    <row r="54" spans="1:51" x14ac:dyDescent="0.25">
      <c r="A54" s="24">
        <v>45705</v>
      </c>
      <c r="B54" s="1">
        <v>45705</v>
      </c>
      <c r="C54">
        <v>4.55</v>
      </c>
      <c r="D54">
        <v>4.72</v>
      </c>
      <c r="E54">
        <v>4.75</v>
      </c>
      <c r="F54">
        <v>4.9000000000000004</v>
      </c>
      <c r="G54">
        <v>5.03</v>
      </c>
      <c r="H54">
        <v>5.12</v>
      </c>
      <c r="I54">
        <v>5.28</v>
      </c>
      <c r="J54">
        <v>5.36</v>
      </c>
      <c r="K54">
        <v>5.36</v>
      </c>
      <c r="M54" s="3"/>
      <c r="N54" s="17"/>
      <c r="O54" s="17"/>
      <c r="P54" s="17"/>
      <c r="Q54" s="17"/>
      <c r="R54" s="17"/>
      <c r="S54" s="17"/>
      <c r="T54" s="17"/>
      <c r="U54" s="17"/>
      <c r="V54" s="17"/>
      <c r="AE54" s="2"/>
      <c r="AQ54" s="2"/>
      <c r="AR54" s="2"/>
      <c r="AS54" s="2"/>
      <c r="AT54" s="2"/>
      <c r="AU54" s="2"/>
      <c r="AV54" s="2"/>
      <c r="AW54" s="2"/>
      <c r="AX54" s="2"/>
      <c r="AY54" s="2"/>
    </row>
    <row r="55" spans="1:51" x14ac:dyDescent="0.25">
      <c r="A55" s="24">
        <v>45702</v>
      </c>
      <c r="B55" s="1">
        <v>45702</v>
      </c>
      <c r="C55">
        <v>4.0199999999999996</v>
      </c>
      <c r="D55">
        <v>4.3499999999999996</v>
      </c>
      <c r="E55">
        <v>4.63</v>
      </c>
      <c r="F55">
        <v>4.8</v>
      </c>
      <c r="G55">
        <v>5.0199999999999996</v>
      </c>
      <c r="H55">
        <v>5.07</v>
      </c>
      <c r="I55">
        <v>5.27</v>
      </c>
      <c r="J55">
        <v>5.34</v>
      </c>
      <c r="K55">
        <v>5.36</v>
      </c>
      <c r="M55" s="3"/>
      <c r="N55" s="17"/>
      <c r="O55" s="17"/>
      <c r="P55" s="17"/>
      <c r="Q55" s="17"/>
      <c r="R55" s="17"/>
      <c r="S55" s="17"/>
      <c r="T55" s="17"/>
      <c r="U55" s="17"/>
      <c r="V55" s="17"/>
      <c r="AE55" s="2"/>
      <c r="AQ55" s="2"/>
      <c r="AR55" s="2"/>
      <c r="AS55" s="2"/>
      <c r="AT55" s="2"/>
      <c r="AU55" s="2"/>
      <c r="AV55" s="2"/>
      <c r="AW55" s="2"/>
      <c r="AX55" s="2"/>
      <c r="AY55" s="2"/>
    </row>
    <row r="56" spans="1:51" x14ac:dyDescent="0.25">
      <c r="A56" s="24">
        <v>45701</v>
      </c>
      <c r="B56" s="1">
        <v>45701</v>
      </c>
      <c r="C56">
        <v>4.26</v>
      </c>
      <c r="D56">
        <v>4.5</v>
      </c>
      <c r="E56">
        <v>4.6399999999999997</v>
      </c>
      <c r="F56">
        <v>4.84</v>
      </c>
      <c r="G56">
        <v>5.07</v>
      </c>
      <c r="H56">
        <v>5.14</v>
      </c>
      <c r="I56">
        <v>5.26</v>
      </c>
      <c r="J56">
        <v>5.32</v>
      </c>
      <c r="K56">
        <v>5.33</v>
      </c>
      <c r="M56" s="3"/>
      <c r="N56" s="17"/>
      <c r="O56" s="17"/>
      <c r="P56" s="17"/>
      <c r="Q56" s="17"/>
      <c r="R56" s="17"/>
      <c r="S56" s="17"/>
      <c r="T56" s="17"/>
      <c r="U56" s="17"/>
      <c r="V56" s="17"/>
      <c r="AE56" s="2"/>
      <c r="AQ56" s="2"/>
      <c r="AR56" s="2"/>
      <c r="AS56" s="2"/>
      <c r="AT56" s="2"/>
      <c r="AU56" s="2"/>
      <c r="AV56" s="2"/>
      <c r="AW56" s="2"/>
      <c r="AX56" s="2"/>
      <c r="AY56" s="2"/>
    </row>
    <row r="57" spans="1:51" x14ac:dyDescent="0.25">
      <c r="A57" s="24">
        <v>45700</v>
      </c>
      <c r="B57" s="1">
        <v>45700</v>
      </c>
      <c r="C57">
        <v>4.53</v>
      </c>
      <c r="D57">
        <v>4.66</v>
      </c>
      <c r="E57">
        <v>4.83</v>
      </c>
      <c r="F57">
        <v>5.01</v>
      </c>
      <c r="G57">
        <v>5.13</v>
      </c>
      <c r="H57">
        <v>5.16</v>
      </c>
      <c r="I57">
        <v>5.3</v>
      </c>
      <c r="J57">
        <v>5.32</v>
      </c>
      <c r="K57">
        <v>5.33</v>
      </c>
      <c r="M57" s="3"/>
      <c r="N57" s="17"/>
      <c r="O57" s="17"/>
      <c r="P57" s="17"/>
      <c r="Q57" s="17"/>
      <c r="R57" s="17"/>
      <c r="S57" s="17"/>
      <c r="T57" s="17"/>
      <c r="U57" s="17"/>
      <c r="V57" s="17"/>
      <c r="AE57" s="2"/>
      <c r="AQ57" s="2"/>
      <c r="AR57" s="2"/>
      <c r="AS57" s="2"/>
      <c r="AT57" s="2"/>
      <c r="AU57" s="2"/>
      <c r="AV57" s="2"/>
      <c r="AW57" s="2"/>
      <c r="AX57" s="2"/>
      <c r="AY57" s="2"/>
    </row>
    <row r="58" spans="1:51" x14ac:dyDescent="0.25">
      <c r="A58" s="24">
        <v>45699</v>
      </c>
      <c r="B58" s="1">
        <v>45699</v>
      </c>
      <c r="C58">
        <v>5.42</v>
      </c>
      <c r="D58">
        <v>5.48</v>
      </c>
      <c r="E58">
        <v>5.5</v>
      </c>
      <c r="F58">
        <v>5.38</v>
      </c>
      <c r="G58">
        <v>5.3</v>
      </c>
      <c r="H58">
        <v>5.28</v>
      </c>
      <c r="I58">
        <v>5.3</v>
      </c>
      <c r="J58">
        <v>5.32</v>
      </c>
      <c r="K58">
        <v>5.34</v>
      </c>
      <c r="M58" s="3"/>
      <c r="N58" s="17"/>
      <c r="O58" s="17"/>
      <c r="P58" s="17"/>
      <c r="Q58" s="17"/>
      <c r="R58" s="17"/>
      <c r="S58" s="17"/>
      <c r="T58" s="17"/>
      <c r="U58" s="17"/>
      <c r="V58" s="17"/>
      <c r="AE58" s="2"/>
      <c r="AQ58" s="2"/>
      <c r="AR58" s="2"/>
      <c r="AS58" s="2"/>
      <c r="AT58" s="2"/>
      <c r="AU58" s="2"/>
      <c r="AV58" s="2"/>
      <c r="AW58" s="2"/>
      <c r="AX58" s="2"/>
      <c r="AY58" s="2"/>
    </row>
    <row r="59" spans="1:51" x14ac:dyDescent="0.25">
      <c r="A59" s="24">
        <v>45698</v>
      </c>
      <c r="B59" s="1">
        <v>45698</v>
      </c>
      <c r="C59">
        <v>5.51</v>
      </c>
      <c r="D59">
        <v>5.5</v>
      </c>
      <c r="E59">
        <v>5.46</v>
      </c>
      <c r="F59">
        <v>5.24</v>
      </c>
      <c r="G59">
        <v>5.23</v>
      </c>
      <c r="H59">
        <v>5.21</v>
      </c>
      <c r="I59">
        <v>5.33</v>
      </c>
      <c r="J59">
        <v>5.32</v>
      </c>
      <c r="K59">
        <v>5.33</v>
      </c>
      <c r="M59" s="3"/>
      <c r="N59" s="17"/>
      <c r="O59" s="17"/>
      <c r="P59" s="17"/>
      <c r="Q59" s="17"/>
      <c r="R59" s="17"/>
      <c r="S59" s="17"/>
      <c r="T59" s="17"/>
      <c r="U59" s="17"/>
      <c r="V59" s="17"/>
      <c r="AE59" s="2"/>
      <c r="AQ59" s="2"/>
      <c r="AR59" s="2"/>
      <c r="AS59" s="2"/>
      <c r="AT59" s="2"/>
      <c r="AU59" s="2"/>
      <c r="AV59" s="2"/>
      <c r="AW59" s="2"/>
      <c r="AX59" s="2"/>
      <c r="AY59" s="2"/>
    </row>
    <row r="60" spans="1:51" x14ac:dyDescent="0.25">
      <c r="A60" s="24">
        <v>45695</v>
      </c>
      <c r="B60" s="1">
        <v>45695</v>
      </c>
      <c r="C60">
        <v>4.5</v>
      </c>
      <c r="D60">
        <v>4.68</v>
      </c>
      <c r="E60">
        <v>4.8</v>
      </c>
      <c r="F60">
        <v>4.9000000000000004</v>
      </c>
      <c r="G60">
        <v>5.04</v>
      </c>
      <c r="H60">
        <v>5.08</v>
      </c>
      <c r="I60">
        <v>5.26</v>
      </c>
      <c r="J60">
        <v>5.25</v>
      </c>
      <c r="K60">
        <v>5.28</v>
      </c>
      <c r="M60" s="3"/>
      <c r="N60" s="17"/>
      <c r="O60" s="17"/>
      <c r="P60" s="17"/>
      <c r="Q60" s="17"/>
      <c r="R60" s="17"/>
      <c r="S60" s="17"/>
      <c r="T60" s="17"/>
      <c r="U60" s="17"/>
      <c r="V60" s="17"/>
      <c r="AE60" s="2"/>
      <c r="AQ60" s="2"/>
      <c r="AR60" s="2"/>
      <c r="AS60" s="2"/>
      <c r="AT60" s="2"/>
      <c r="AU60" s="2"/>
      <c r="AV60" s="2"/>
      <c r="AW60" s="2"/>
      <c r="AX60" s="2"/>
      <c r="AY60" s="2"/>
    </row>
    <row r="61" spans="1:51" x14ac:dyDescent="0.25">
      <c r="A61" s="24">
        <v>45694</v>
      </c>
      <c r="B61" s="1">
        <v>45694</v>
      </c>
      <c r="C61">
        <v>4.37</v>
      </c>
      <c r="D61">
        <v>4.57</v>
      </c>
      <c r="E61">
        <v>4.7300000000000004</v>
      </c>
      <c r="F61">
        <v>4.8499999999999996</v>
      </c>
      <c r="G61">
        <v>5.05</v>
      </c>
      <c r="H61">
        <v>5.08</v>
      </c>
      <c r="I61">
        <v>5.3</v>
      </c>
      <c r="J61">
        <v>5.28</v>
      </c>
      <c r="K61">
        <v>5.3</v>
      </c>
      <c r="M61" s="3"/>
      <c r="N61" s="17"/>
      <c r="O61" s="17"/>
      <c r="P61" s="17"/>
      <c r="Q61" s="17"/>
      <c r="R61" s="17"/>
      <c r="S61" s="17"/>
      <c r="T61" s="17"/>
      <c r="U61" s="17"/>
      <c r="V61" s="17"/>
      <c r="AE61" s="2"/>
      <c r="AQ61" s="2"/>
      <c r="AR61" s="2"/>
      <c r="AS61" s="2"/>
      <c r="AT61" s="2"/>
      <c r="AU61" s="2"/>
      <c r="AV61" s="2"/>
      <c r="AW61" s="2"/>
      <c r="AX61" s="2"/>
      <c r="AY61" s="2"/>
    </row>
    <row r="62" spans="1:51" x14ac:dyDescent="0.25">
      <c r="A62" s="24">
        <v>45693</v>
      </c>
      <c r="B62" s="1">
        <v>45693</v>
      </c>
      <c r="C62">
        <v>4.51</v>
      </c>
      <c r="D62">
        <v>4.71</v>
      </c>
      <c r="E62">
        <v>4.84</v>
      </c>
      <c r="F62">
        <v>5.01</v>
      </c>
      <c r="G62">
        <v>5.0999999999999996</v>
      </c>
      <c r="H62">
        <v>5.1100000000000003</v>
      </c>
      <c r="I62">
        <v>5.26</v>
      </c>
      <c r="J62">
        <v>5.3</v>
      </c>
      <c r="K62">
        <v>5.32</v>
      </c>
      <c r="M62" s="3"/>
      <c r="N62" s="17"/>
      <c r="O62" s="17"/>
      <c r="P62" s="17"/>
      <c r="Q62" s="17"/>
      <c r="R62" s="17"/>
      <c r="S62" s="17"/>
      <c r="T62" s="17"/>
      <c r="U62" s="17"/>
      <c r="V62" s="17"/>
      <c r="AE62" s="2"/>
      <c r="AQ62" s="2"/>
      <c r="AR62" s="2"/>
      <c r="AS62" s="2"/>
      <c r="AT62" s="2"/>
      <c r="AU62" s="2"/>
      <c r="AV62" s="2"/>
      <c r="AW62" s="2"/>
      <c r="AX62" s="2"/>
      <c r="AY62" s="2"/>
    </row>
    <row r="63" spans="1:51" x14ac:dyDescent="0.25">
      <c r="A63" s="24">
        <v>45692</v>
      </c>
      <c r="B63" s="1">
        <v>45692</v>
      </c>
      <c r="C63">
        <v>5.5</v>
      </c>
      <c r="D63">
        <v>5.44</v>
      </c>
      <c r="E63">
        <v>5.38</v>
      </c>
      <c r="F63">
        <v>5.28</v>
      </c>
      <c r="G63">
        <v>5.32</v>
      </c>
      <c r="H63">
        <v>5.28</v>
      </c>
      <c r="I63">
        <v>5.32</v>
      </c>
      <c r="J63">
        <v>5.38</v>
      </c>
      <c r="K63">
        <v>5.38</v>
      </c>
      <c r="M63" s="3"/>
      <c r="N63" s="17"/>
      <c r="O63" s="17"/>
      <c r="P63" s="17"/>
      <c r="Q63" s="17"/>
      <c r="R63" s="17"/>
      <c r="S63" s="17"/>
      <c r="T63" s="17"/>
      <c r="U63" s="17"/>
      <c r="V63" s="17"/>
      <c r="AE63" s="2"/>
      <c r="AQ63" s="2"/>
      <c r="AR63" s="2"/>
      <c r="AS63" s="2"/>
      <c r="AT63" s="2"/>
      <c r="AU63" s="2"/>
      <c r="AV63" s="2"/>
      <c r="AW63" s="2"/>
      <c r="AX63" s="2"/>
      <c r="AY63" s="2"/>
    </row>
    <row r="64" spans="1:51" x14ac:dyDescent="0.25">
      <c r="A64" s="24">
        <v>45691</v>
      </c>
      <c r="B64" s="1">
        <v>45691</v>
      </c>
      <c r="C64">
        <v>4.8600000000000003</v>
      </c>
      <c r="D64">
        <v>4.9800000000000004</v>
      </c>
      <c r="E64">
        <v>5.0599999999999996</v>
      </c>
      <c r="F64">
        <v>5.0599999999999996</v>
      </c>
      <c r="G64">
        <v>5.14</v>
      </c>
      <c r="H64">
        <v>5.14</v>
      </c>
      <c r="I64">
        <v>5.3</v>
      </c>
      <c r="J64">
        <v>5.28</v>
      </c>
      <c r="K64">
        <v>5.28</v>
      </c>
      <c r="M64" s="3"/>
      <c r="N64" s="17"/>
      <c r="O64" s="17"/>
      <c r="P64" s="17"/>
      <c r="Q64" s="17"/>
      <c r="R64" s="17"/>
      <c r="S64" s="17"/>
      <c r="T64" s="17"/>
      <c r="U64" s="17"/>
      <c r="V64" s="17"/>
      <c r="AE64" s="2"/>
      <c r="AQ64" s="2"/>
      <c r="AR64" s="2"/>
      <c r="AS64" s="2"/>
      <c r="AT64" s="2"/>
      <c r="AU64" s="2"/>
      <c r="AV64" s="2"/>
      <c r="AW64" s="2"/>
      <c r="AX64" s="2"/>
      <c r="AY64" s="2"/>
    </row>
    <row r="65" spans="1:51" x14ac:dyDescent="0.25">
      <c r="A65" s="24">
        <v>45681</v>
      </c>
      <c r="B65" s="1">
        <v>45681</v>
      </c>
      <c r="C65">
        <v>4.82</v>
      </c>
      <c r="D65">
        <v>4.87</v>
      </c>
      <c r="E65">
        <v>4.93</v>
      </c>
      <c r="F65">
        <v>5.0999999999999996</v>
      </c>
      <c r="G65">
        <v>5.12</v>
      </c>
      <c r="H65">
        <v>5.17</v>
      </c>
      <c r="I65">
        <v>5.3</v>
      </c>
      <c r="J65">
        <v>5.34</v>
      </c>
      <c r="K65">
        <v>5.34</v>
      </c>
      <c r="M65" s="3"/>
      <c r="N65" s="17"/>
      <c r="O65" s="17"/>
      <c r="P65" s="17"/>
      <c r="Q65" s="17"/>
      <c r="R65" s="17"/>
      <c r="S65" s="17"/>
      <c r="T65" s="17"/>
      <c r="U65" s="17"/>
      <c r="V65" s="17"/>
      <c r="AE65" s="2"/>
      <c r="AQ65" s="2"/>
      <c r="AR65" s="2"/>
      <c r="AS65" s="2"/>
      <c r="AT65" s="2"/>
      <c r="AU65" s="2"/>
      <c r="AV65" s="2"/>
      <c r="AW65" s="2"/>
      <c r="AX65" s="2"/>
      <c r="AY65" s="2"/>
    </row>
    <row r="66" spans="1:51" x14ac:dyDescent="0.25">
      <c r="A66" s="24">
        <v>45680</v>
      </c>
      <c r="B66" s="1">
        <v>45680</v>
      </c>
      <c r="C66">
        <v>4</v>
      </c>
      <c r="D66">
        <v>4.82</v>
      </c>
      <c r="E66">
        <v>4.92</v>
      </c>
      <c r="F66">
        <v>5.0199999999999996</v>
      </c>
      <c r="G66">
        <v>5.08</v>
      </c>
      <c r="H66">
        <v>5.12</v>
      </c>
      <c r="I66">
        <v>5.28</v>
      </c>
      <c r="J66">
        <v>5.33</v>
      </c>
      <c r="K66">
        <v>5.33</v>
      </c>
      <c r="M66" s="3"/>
      <c r="N66" s="17"/>
      <c r="O66" s="17"/>
      <c r="P66" s="17"/>
      <c r="Q66" s="17"/>
      <c r="R66" s="17"/>
      <c r="S66" s="17"/>
      <c r="T66" s="17"/>
      <c r="U66" s="17"/>
      <c r="V66" s="17"/>
      <c r="AE66" s="2"/>
      <c r="AQ66" s="2"/>
      <c r="AR66" s="2"/>
      <c r="AS66" s="2"/>
      <c r="AT66" s="2"/>
      <c r="AU66" s="2"/>
      <c r="AV66" s="2"/>
      <c r="AW66" s="2"/>
      <c r="AX66" s="2"/>
      <c r="AY66" s="2"/>
    </row>
    <row r="67" spans="1:51" x14ac:dyDescent="0.25">
      <c r="A67" s="24">
        <v>45679</v>
      </c>
      <c r="B67" s="1">
        <v>45679</v>
      </c>
      <c r="C67">
        <v>3.95</v>
      </c>
      <c r="D67">
        <v>4.8499999999999996</v>
      </c>
      <c r="E67">
        <v>4.88</v>
      </c>
      <c r="F67">
        <v>5</v>
      </c>
      <c r="G67">
        <v>5.18</v>
      </c>
      <c r="H67">
        <v>5.25</v>
      </c>
      <c r="I67">
        <v>5.4</v>
      </c>
      <c r="J67">
        <v>5.36</v>
      </c>
      <c r="K67">
        <v>5.36</v>
      </c>
      <c r="M67" s="3"/>
      <c r="N67" s="17"/>
      <c r="O67" s="17"/>
      <c r="P67" s="17"/>
      <c r="Q67" s="17"/>
      <c r="R67" s="17"/>
      <c r="S67" s="17"/>
      <c r="T67" s="17"/>
      <c r="U67" s="17"/>
      <c r="V67" s="17"/>
      <c r="AE67" s="2"/>
      <c r="AQ67" s="2"/>
      <c r="AR67" s="2"/>
      <c r="AS67" s="2"/>
      <c r="AT67" s="2"/>
      <c r="AU67" s="2"/>
      <c r="AV67" s="2"/>
      <c r="AW67" s="2"/>
      <c r="AX67" s="2"/>
      <c r="AY67" s="2"/>
    </row>
    <row r="68" spans="1:51" x14ac:dyDescent="0.25">
      <c r="A68" s="24">
        <v>45678</v>
      </c>
      <c r="B68" s="1">
        <v>45678</v>
      </c>
      <c r="C68">
        <v>4</v>
      </c>
      <c r="D68">
        <v>4.82</v>
      </c>
      <c r="E68">
        <v>4.8600000000000003</v>
      </c>
      <c r="F68">
        <v>4.96</v>
      </c>
      <c r="G68">
        <v>5.14</v>
      </c>
      <c r="H68">
        <v>5.2</v>
      </c>
      <c r="I68">
        <v>5.38</v>
      </c>
      <c r="J68">
        <v>5.4</v>
      </c>
      <c r="K68">
        <v>5.4</v>
      </c>
      <c r="M68" s="3"/>
      <c r="N68" s="17"/>
      <c r="O68" s="17"/>
      <c r="P68" s="17"/>
      <c r="Q68" s="17"/>
      <c r="R68" s="17"/>
      <c r="S68" s="17"/>
      <c r="T68" s="17"/>
      <c r="U68" s="17"/>
      <c r="V68" s="17"/>
      <c r="AE68" s="2"/>
      <c r="AQ68" s="2"/>
      <c r="AR68" s="2"/>
      <c r="AS68" s="2"/>
      <c r="AT68" s="2"/>
      <c r="AU68" s="2"/>
      <c r="AV68" s="2"/>
      <c r="AW68" s="2"/>
      <c r="AX68" s="2"/>
      <c r="AY68" s="2"/>
    </row>
    <row r="69" spans="1:51" x14ac:dyDescent="0.25">
      <c r="A69" s="24">
        <v>45677</v>
      </c>
      <c r="B69" s="1">
        <v>45677</v>
      </c>
      <c r="C69">
        <v>4.67</v>
      </c>
      <c r="D69">
        <v>4.95</v>
      </c>
      <c r="E69">
        <v>4.9800000000000004</v>
      </c>
      <c r="F69">
        <v>5.07</v>
      </c>
      <c r="G69">
        <v>5.17</v>
      </c>
      <c r="H69">
        <v>5.18</v>
      </c>
      <c r="I69">
        <v>5.32</v>
      </c>
      <c r="J69">
        <v>5.38</v>
      </c>
      <c r="K69">
        <v>5.38</v>
      </c>
      <c r="M69" s="3"/>
      <c r="N69" s="17"/>
      <c r="O69" s="17"/>
      <c r="P69" s="17"/>
      <c r="Q69" s="17"/>
      <c r="R69" s="17"/>
      <c r="S69" s="17"/>
      <c r="T69" s="17"/>
      <c r="U69" s="17"/>
      <c r="V69" s="17"/>
      <c r="AE69" s="2"/>
      <c r="AQ69" s="2"/>
      <c r="AR69" s="2"/>
      <c r="AS69" s="2"/>
      <c r="AT69" s="2"/>
      <c r="AU69" s="2"/>
      <c r="AV69" s="2"/>
      <c r="AW69" s="2"/>
      <c r="AX69" s="2"/>
      <c r="AY69" s="2"/>
    </row>
    <row r="70" spans="1:51" x14ac:dyDescent="0.25">
      <c r="A70" s="24">
        <v>45674</v>
      </c>
      <c r="B70" s="1">
        <v>45674</v>
      </c>
      <c r="C70">
        <v>4</v>
      </c>
      <c r="D70">
        <v>4.32</v>
      </c>
      <c r="E70">
        <v>4.9000000000000004</v>
      </c>
      <c r="F70">
        <v>5.0599999999999996</v>
      </c>
      <c r="G70">
        <v>5.18</v>
      </c>
      <c r="H70">
        <v>5.22</v>
      </c>
      <c r="I70">
        <v>5.34</v>
      </c>
      <c r="J70">
        <v>5.38</v>
      </c>
      <c r="K70">
        <v>5.38</v>
      </c>
      <c r="M70" s="3"/>
      <c r="N70" s="17"/>
      <c r="O70" s="17"/>
      <c r="P70" s="17"/>
      <c r="Q70" s="17"/>
      <c r="R70" s="17"/>
      <c r="S70" s="17"/>
      <c r="T70" s="17"/>
      <c r="U70" s="17"/>
      <c r="V70" s="17"/>
      <c r="AE70" s="2"/>
      <c r="AQ70" s="2"/>
      <c r="AR70" s="2"/>
      <c r="AS70" s="2"/>
      <c r="AT70" s="2"/>
      <c r="AU70" s="2"/>
      <c r="AV70" s="2"/>
      <c r="AW70" s="2"/>
      <c r="AX70" s="2"/>
      <c r="AY70" s="2"/>
    </row>
    <row r="71" spans="1:51" x14ac:dyDescent="0.25">
      <c r="A71" s="24">
        <v>45673</v>
      </c>
      <c r="B71" s="1">
        <v>45673</v>
      </c>
      <c r="C71">
        <v>3.92</v>
      </c>
      <c r="D71">
        <v>4.28</v>
      </c>
      <c r="E71">
        <v>5.04</v>
      </c>
      <c r="F71">
        <v>5.08</v>
      </c>
      <c r="G71">
        <v>5.14</v>
      </c>
      <c r="H71">
        <v>5.16</v>
      </c>
      <c r="I71">
        <v>5.32</v>
      </c>
      <c r="J71">
        <v>5.36</v>
      </c>
      <c r="K71">
        <v>5.36</v>
      </c>
      <c r="M71" s="3"/>
      <c r="N71" s="17"/>
      <c r="O71" s="17"/>
      <c r="P71" s="17"/>
      <c r="Q71" s="17"/>
      <c r="R71" s="17"/>
      <c r="S71" s="17"/>
      <c r="T71" s="17"/>
      <c r="U71" s="17"/>
      <c r="V71" s="17"/>
      <c r="AE71" s="2"/>
      <c r="AQ71" s="2"/>
      <c r="AR71" s="2"/>
      <c r="AS71" s="2"/>
      <c r="AT71" s="2"/>
      <c r="AU71" s="2"/>
      <c r="AV71" s="2"/>
      <c r="AW71" s="2"/>
      <c r="AX71" s="2"/>
      <c r="AY71" s="2"/>
    </row>
    <row r="72" spans="1:51" x14ac:dyDescent="0.25">
      <c r="A72" s="24">
        <v>45672</v>
      </c>
      <c r="B72" s="1">
        <v>45672</v>
      </c>
      <c r="C72">
        <v>3.95</v>
      </c>
      <c r="D72">
        <v>4.3499999999999996</v>
      </c>
      <c r="E72">
        <v>4.93</v>
      </c>
      <c r="F72">
        <v>5.12</v>
      </c>
      <c r="G72">
        <v>5.17</v>
      </c>
      <c r="H72">
        <v>5.22</v>
      </c>
      <c r="I72">
        <v>5.37</v>
      </c>
      <c r="J72">
        <v>5.38</v>
      </c>
      <c r="K72">
        <v>5.38</v>
      </c>
      <c r="M72" s="3"/>
      <c r="N72" s="17"/>
      <c r="O72" s="17"/>
      <c r="P72" s="17"/>
      <c r="Q72" s="17"/>
      <c r="R72" s="17"/>
      <c r="S72" s="17"/>
      <c r="T72" s="17"/>
      <c r="U72" s="17"/>
      <c r="V72" s="17"/>
      <c r="AE72" s="2"/>
      <c r="AQ72" s="2"/>
      <c r="AR72" s="2"/>
      <c r="AS72" s="2"/>
      <c r="AT72" s="2"/>
      <c r="AU72" s="2"/>
      <c r="AV72" s="2"/>
      <c r="AW72" s="2"/>
      <c r="AX72" s="2"/>
      <c r="AY72" s="2"/>
    </row>
    <row r="73" spans="1:51" x14ac:dyDescent="0.25">
      <c r="A73" s="24">
        <v>45671</v>
      </c>
      <c r="B73" s="1">
        <v>45671</v>
      </c>
      <c r="C73">
        <v>4.5</v>
      </c>
      <c r="D73">
        <v>4.82</v>
      </c>
      <c r="E73">
        <v>5.07</v>
      </c>
      <c r="F73">
        <v>5.2</v>
      </c>
      <c r="G73">
        <v>5.25</v>
      </c>
      <c r="H73">
        <v>5.27</v>
      </c>
      <c r="I73">
        <v>5.43</v>
      </c>
      <c r="J73">
        <v>5.42</v>
      </c>
      <c r="K73">
        <v>5.42</v>
      </c>
      <c r="M73" s="3"/>
      <c r="N73" s="17"/>
      <c r="O73" s="17"/>
      <c r="P73" s="17"/>
      <c r="Q73" s="17"/>
      <c r="R73" s="17"/>
      <c r="S73" s="17"/>
      <c r="T73" s="17"/>
      <c r="U73" s="17"/>
      <c r="V73" s="17"/>
      <c r="AE73" s="2"/>
      <c r="AQ73" s="2"/>
      <c r="AR73" s="2"/>
      <c r="AS73" s="2"/>
      <c r="AT73" s="2"/>
      <c r="AU73" s="2"/>
      <c r="AV73" s="2"/>
      <c r="AW73" s="2"/>
      <c r="AX73" s="2"/>
      <c r="AY73" s="2"/>
    </row>
    <row r="74" spans="1:51" x14ac:dyDescent="0.25">
      <c r="A74" s="24">
        <v>45670</v>
      </c>
      <c r="B74" s="1">
        <v>45670</v>
      </c>
      <c r="C74">
        <v>4.9800000000000004</v>
      </c>
      <c r="D74">
        <v>5.0999999999999996</v>
      </c>
      <c r="E74">
        <v>5.14</v>
      </c>
      <c r="F74">
        <v>5.26</v>
      </c>
      <c r="G74">
        <v>5.3</v>
      </c>
      <c r="H74">
        <v>5.36</v>
      </c>
      <c r="I74">
        <v>5.44</v>
      </c>
      <c r="J74">
        <v>5.43</v>
      </c>
      <c r="K74">
        <v>5.43</v>
      </c>
      <c r="M74" s="3"/>
      <c r="N74" s="17"/>
      <c r="O74" s="17"/>
      <c r="P74" s="17"/>
      <c r="Q74" s="17"/>
      <c r="R74" s="17"/>
      <c r="S74" s="17"/>
      <c r="T74" s="17"/>
      <c r="U74" s="17"/>
      <c r="V74" s="17"/>
      <c r="AE74" s="2"/>
      <c r="AQ74" s="2"/>
      <c r="AR74" s="2"/>
      <c r="AS74" s="2"/>
      <c r="AT74" s="2"/>
      <c r="AU74" s="2"/>
      <c r="AV74" s="2"/>
      <c r="AW74" s="2"/>
      <c r="AX74" s="2"/>
      <c r="AY74" s="2"/>
    </row>
    <row r="75" spans="1:51" x14ac:dyDescent="0.25">
      <c r="A75" s="24">
        <v>45667</v>
      </c>
      <c r="B75" s="1">
        <v>45667</v>
      </c>
      <c r="C75">
        <v>4.76</v>
      </c>
      <c r="D75">
        <v>4.91</v>
      </c>
      <c r="E75">
        <v>4.97</v>
      </c>
      <c r="F75">
        <v>5.14</v>
      </c>
      <c r="G75">
        <v>5.26</v>
      </c>
      <c r="H75">
        <v>5.29</v>
      </c>
      <c r="I75">
        <v>5.41</v>
      </c>
      <c r="J75">
        <v>5.4</v>
      </c>
      <c r="K75">
        <v>5.4</v>
      </c>
      <c r="M75" s="3"/>
      <c r="N75" s="17"/>
      <c r="O75" s="17"/>
      <c r="P75" s="17"/>
      <c r="Q75" s="17"/>
      <c r="R75" s="17"/>
      <c r="S75" s="17"/>
      <c r="T75" s="17"/>
      <c r="U75" s="17"/>
      <c r="V75" s="17"/>
      <c r="AE75" s="2"/>
      <c r="AQ75" s="2"/>
      <c r="AR75" s="2"/>
      <c r="AS75" s="2"/>
      <c r="AT75" s="2"/>
      <c r="AU75" s="2"/>
      <c r="AV75" s="2"/>
      <c r="AW75" s="2"/>
      <c r="AX75" s="2"/>
      <c r="AY75" s="2"/>
    </row>
    <row r="76" spans="1:51" x14ac:dyDescent="0.25">
      <c r="A76" s="24">
        <v>45666</v>
      </c>
      <c r="B76" s="1">
        <v>45666</v>
      </c>
      <c r="C76">
        <v>4.3499999999999996</v>
      </c>
      <c r="D76">
        <v>4.53</v>
      </c>
      <c r="E76">
        <v>4.63</v>
      </c>
      <c r="F76">
        <v>5.0999999999999996</v>
      </c>
      <c r="G76">
        <v>5.25</v>
      </c>
      <c r="H76">
        <v>5.28</v>
      </c>
      <c r="I76">
        <v>5.43</v>
      </c>
      <c r="J76">
        <v>5.4</v>
      </c>
      <c r="K76">
        <v>5.4</v>
      </c>
      <c r="M76" s="3"/>
      <c r="N76" s="17"/>
      <c r="O76" s="17"/>
      <c r="P76" s="17"/>
      <c r="Q76" s="17"/>
      <c r="R76" s="17"/>
      <c r="S76" s="17"/>
      <c r="T76" s="17"/>
      <c r="U76" s="17"/>
      <c r="V76" s="17"/>
      <c r="AE76" s="2"/>
      <c r="AQ76" s="2"/>
      <c r="AR76" s="2"/>
      <c r="AS76" s="2"/>
      <c r="AT76" s="2"/>
      <c r="AU76" s="2"/>
      <c r="AV76" s="2"/>
      <c r="AW76" s="2"/>
      <c r="AX76" s="2"/>
      <c r="AY76" s="2"/>
    </row>
    <row r="77" spans="1:51" x14ac:dyDescent="0.25">
      <c r="A77" s="24">
        <v>45665</v>
      </c>
      <c r="B77" s="1">
        <v>45665</v>
      </c>
      <c r="C77">
        <v>3.99</v>
      </c>
      <c r="D77">
        <v>4.3</v>
      </c>
      <c r="E77">
        <v>4.5</v>
      </c>
      <c r="F77">
        <v>5.07</v>
      </c>
      <c r="G77">
        <v>5.24</v>
      </c>
      <c r="H77">
        <v>5.29</v>
      </c>
      <c r="I77">
        <v>5.43</v>
      </c>
      <c r="J77">
        <v>5.42</v>
      </c>
      <c r="K77">
        <v>5.42</v>
      </c>
      <c r="M77" s="3"/>
      <c r="N77" s="17"/>
      <c r="O77" s="17"/>
      <c r="P77" s="17"/>
      <c r="Q77" s="17"/>
      <c r="R77" s="17"/>
      <c r="S77" s="17"/>
      <c r="T77" s="17"/>
      <c r="U77" s="17"/>
      <c r="V77" s="17"/>
      <c r="AE77" s="2"/>
      <c r="AQ77" s="2"/>
      <c r="AR77" s="2"/>
      <c r="AS77" s="2"/>
      <c r="AT77" s="2"/>
      <c r="AU77" s="2"/>
      <c r="AV77" s="2"/>
      <c r="AW77" s="2"/>
      <c r="AX77" s="2"/>
      <c r="AY77" s="2"/>
    </row>
    <row r="78" spans="1:51" x14ac:dyDescent="0.25">
      <c r="A78" s="24">
        <v>45664</v>
      </c>
      <c r="B78" s="1">
        <v>45664</v>
      </c>
      <c r="C78">
        <v>3.86</v>
      </c>
      <c r="D78">
        <v>4.26</v>
      </c>
      <c r="E78">
        <v>4.4400000000000004</v>
      </c>
      <c r="F78">
        <v>5.0599999999999996</v>
      </c>
      <c r="G78">
        <v>5.24</v>
      </c>
      <c r="H78">
        <v>5.29</v>
      </c>
      <c r="I78">
        <v>5.43</v>
      </c>
      <c r="J78">
        <v>5.42</v>
      </c>
      <c r="K78">
        <v>5.42</v>
      </c>
      <c r="M78" s="3"/>
      <c r="N78" s="17"/>
      <c r="O78" s="17"/>
      <c r="P78" s="17"/>
      <c r="Q78" s="17"/>
      <c r="R78" s="17"/>
      <c r="S78" s="17"/>
      <c r="T78" s="17"/>
      <c r="U78" s="17"/>
      <c r="V78" s="17"/>
      <c r="AE78" s="2"/>
      <c r="AQ78" s="2"/>
      <c r="AR78" s="2"/>
      <c r="AS78" s="2"/>
      <c r="AT78" s="2"/>
      <c r="AU78" s="2"/>
      <c r="AV78" s="2"/>
      <c r="AW78" s="2"/>
      <c r="AX78" s="2"/>
      <c r="AY78" s="2"/>
    </row>
    <row r="79" spans="1:51" x14ac:dyDescent="0.25">
      <c r="A79" s="24">
        <v>45663</v>
      </c>
      <c r="B79" s="1">
        <v>45663</v>
      </c>
      <c r="C79">
        <v>3.91</v>
      </c>
      <c r="D79">
        <v>4.33</v>
      </c>
      <c r="E79">
        <v>4.49</v>
      </c>
      <c r="F79">
        <v>5.09</v>
      </c>
      <c r="G79">
        <v>5.24</v>
      </c>
      <c r="H79">
        <v>5.3</v>
      </c>
      <c r="I79">
        <v>5.43</v>
      </c>
      <c r="J79">
        <v>5.42</v>
      </c>
      <c r="K79">
        <v>5.42</v>
      </c>
      <c r="M79" s="3"/>
      <c r="N79" s="17"/>
      <c r="O79" s="17"/>
      <c r="P79" s="17"/>
      <c r="Q79" s="17"/>
      <c r="R79" s="17"/>
      <c r="S79" s="17"/>
      <c r="T79" s="17"/>
      <c r="U79" s="17"/>
      <c r="V79" s="17"/>
      <c r="AE79" s="2"/>
      <c r="AQ79" s="2"/>
      <c r="AR79" s="2"/>
      <c r="AS79" s="2"/>
      <c r="AT79" s="2"/>
      <c r="AU79" s="2"/>
      <c r="AV79" s="2"/>
      <c r="AW79" s="2"/>
      <c r="AX79" s="2"/>
      <c r="AY79" s="2"/>
    </row>
    <row r="80" spans="1:51" x14ac:dyDescent="0.25">
      <c r="A80" s="24">
        <v>45660</v>
      </c>
      <c r="B80" s="1">
        <v>45660</v>
      </c>
      <c r="C80">
        <v>4</v>
      </c>
      <c r="D80">
        <v>4.3499999999999996</v>
      </c>
      <c r="E80">
        <v>4.4800000000000004</v>
      </c>
      <c r="F80">
        <v>5.15</v>
      </c>
      <c r="G80">
        <v>5.3</v>
      </c>
      <c r="H80">
        <v>5.38</v>
      </c>
      <c r="I80">
        <v>5.45</v>
      </c>
      <c r="J80">
        <v>5.4</v>
      </c>
      <c r="K80">
        <v>5.4</v>
      </c>
      <c r="M80" s="3"/>
      <c r="N80" s="17"/>
      <c r="O80" s="17"/>
      <c r="P80" s="17"/>
      <c r="Q80" s="17"/>
      <c r="R80" s="17"/>
      <c r="S80" s="17"/>
      <c r="T80" s="17"/>
      <c r="U80" s="17"/>
      <c r="V80" s="17"/>
      <c r="AE80" s="2"/>
      <c r="AQ80" s="2"/>
      <c r="AR80" s="2"/>
      <c r="AS80" s="2"/>
      <c r="AT80" s="2"/>
      <c r="AU80" s="2"/>
      <c r="AV80" s="2"/>
      <c r="AW80" s="2"/>
      <c r="AX80" s="2"/>
      <c r="AY80" s="2"/>
    </row>
    <row r="81" spans="1:51" x14ac:dyDescent="0.25">
      <c r="A81" s="24">
        <v>45659</v>
      </c>
      <c r="B81" s="1">
        <v>45659</v>
      </c>
      <c r="C81">
        <v>4.08</v>
      </c>
      <c r="D81">
        <v>4.42</v>
      </c>
      <c r="E81">
        <v>4.5599999999999996</v>
      </c>
      <c r="F81">
        <v>5.22</v>
      </c>
      <c r="G81">
        <v>5.3</v>
      </c>
      <c r="H81">
        <v>5.32</v>
      </c>
      <c r="I81">
        <v>5.44</v>
      </c>
      <c r="J81">
        <v>5.4</v>
      </c>
      <c r="K81">
        <v>5.4</v>
      </c>
      <c r="M81" s="3"/>
      <c r="N81" s="17"/>
      <c r="O81" s="17"/>
      <c r="P81" s="17"/>
      <c r="Q81" s="17"/>
      <c r="R81" s="17"/>
      <c r="S81" s="17"/>
      <c r="T81" s="17"/>
      <c r="U81" s="17"/>
      <c r="V81" s="17"/>
      <c r="AE81" s="2"/>
      <c r="AQ81" s="2"/>
      <c r="AR81" s="2"/>
      <c r="AS81" s="2"/>
      <c r="AT81" s="2"/>
      <c r="AU81" s="2"/>
      <c r="AV81" s="2"/>
      <c r="AW81" s="2"/>
      <c r="AX81" s="2"/>
      <c r="AY81" s="2"/>
    </row>
    <row r="82" spans="1:51" x14ac:dyDescent="0.25">
      <c r="A82" s="24">
        <v>45657</v>
      </c>
      <c r="B82" s="1">
        <v>45657</v>
      </c>
      <c r="C82">
        <v>3.97</v>
      </c>
      <c r="D82">
        <v>4.97</v>
      </c>
      <c r="E82">
        <v>5.18</v>
      </c>
      <c r="F82">
        <v>5.3</v>
      </c>
      <c r="G82">
        <v>5.4</v>
      </c>
      <c r="H82">
        <v>5.43</v>
      </c>
      <c r="I82">
        <v>5.48</v>
      </c>
      <c r="J82">
        <v>5.46</v>
      </c>
      <c r="K82">
        <v>5.46</v>
      </c>
      <c r="M82" s="3"/>
      <c r="N82" s="17"/>
      <c r="O82" s="17"/>
      <c r="P82" s="17"/>
      <c r="Q82" s="17"/>
      <c r="R82" s="17"/>
      <c r="S82" s="17"/>
      <c r="T82" s="17"/>
      <c r="U82" s="17"/>
      <c r="V82" s="17"/>
      <c r="AE82" s="2"/>
      <c r="AQ82" s="2"/>
      <c r="AR82" s="2"/>
      <c r="AS82" s="2"/>
      <c r="AT82" s="2"/>
      <c r="AU82" s="2"/>
      <c r="AV82" s="2"/>
      <c r="AW82" s="2"/>
      <c r="AX82" s="2"/>
      <c r="AY82" s="2"/>
    </row>
    <row r="83" spans="1:51" x14ac:dyDescent="0.25">
      <c r="A83" s="24">
        <v>45656</v>
      </c>
      <c r="B83" s="1">
        <v>45656</v>
      </c>
      <c r="C83">
        <v>2.98</v>
      </c>
      <c r="D83">
        <v>4.9400000000000004</v>
      </c>
      <c r="E83">
        <v>5.24</v>
      </c>
      <c r="F83">
        <v>5.3</v>
      </c>
      <c r="G83">
        <v>5.36</v>
      </c>
      <c r="H83">
        <v>5.4</v>
      </c>
      <c r="I83">
        <v>5.44</v>
      </c>
      <c r="J83">
        <v>5.4</v>
      </c>
      <c r="K83">
        <v>5.4</v>
      </c>
      <c r="M83" s="3"/>
      <c r="N83" s="17"/>
      <c r="O83" s="17"/>
      <c r="P83" s="17"/>
      <c r="Q83" s="17"/>
      <c r="R83" s="17"/>
      <c r="S83" s="17"/>
      <c r="T83" s="17"/>
      <c r="U83" s="17"/>
      <c r="V83" s="17"/>
      <c r="AE83" s="2"/>
      <c r="AQ83" s="2"/>
      <c r="AR83" s="2"/>
      <c r="AS83" s="2"/>
      <c r="AT83" s="2"/>
      <c r="AU83" s="2"/>
      <c r="AV83" s="2"/>
      <c r="AW83" s="2"/>
      <c r="AX83" s="2"/>
      <c r="AY83" s="2"/>
    </row>
    <row r="84" spans="1:51" x14ac:dyDescent="0.25">
      <c r="A84" s="24">
        <v>45653</v>
      </c>
      <c r="B84" s="1">
        <v>45653</v>
      </c>
      <c r="C84">
        <v>4.0999999999999996</v>
      </c>
      <c r="D84">
        <v>5.28</v>
      </c>
      <c r="E84">
        <v>5.3</v>
      </c>
      <c r="F84">
        <v>5.42</v>
      </c>
      <c r="G84">
        <v>5.48</v>
      </c>
      <c r="H84">
        <v>5.5</v>
      </c>
      <c r="I84">
        <v>5.46</v>
      </c>
      <c r="J84">
        <v>5.43</v>
      </c>
      <c r="K84">
        <v>5.43</v>
      </c>
      <c r="M84" s="3"/>
      <c r="N84" s="17"/>
      <c r="O84" s="17"/>
      <c r="P84" s="17"/>
      <c r="Q84" s="17"/>
      <c r="R84" s="17"/>
      <c r="S84" s="17"/>
      <c r="T84" s="17"/>
      <c r="U84" s="17"/>
      <c r="V84" s="17"/>
      <c r="AE84" s="2"/>
      <c r="AQ84" s="2"/>
      <c r="AR84" s="2"/>
      <c r="AS84" s="2"/>
      <c r="AT84" s="2"/>
      <c r="AU84" s="2"/>
      <c r="AV84" s="2"/>
      <c r="AW84" s="2"/>
      <c r="AX84" s="2"/>
      <c r="AY84" s="2"/>
    </row>
    <row r="85" spans="1:51" x14ac:dyDescent="0.25">
      <c r="A85" s="24">
        <v>45652</v>
      </c>
      <c r="B85" s="1">
        <v>45652</v>
      </c>
      <c r="C85">
        <v>4.74</v>
      </c>
      <c r="D85">
        <v>5.34</v>
      </c>
      <c r="E85">
        <v>5.34</v>
      </c>
      <c r="F85">
        <v>5.38</v>
      </c>
      <c r="G85">
        <v>5.46</v>
      </c>
      <c r="H85">
        <v>5.48</v>
      </c>
      <c r="I85">
        <v>5.44</v>
      </c>
      <c r="J85">
        <v>5.4</v>
      </c>
      <c r="K85">
        <v>5.4</v>
      </c>
      <c r="M85" s="3"/>
      <c r="N85" s="17"/>
      <c r="O85" s="17"/>
      <c r="P85" s="17"/>
      <c r="Q85" s="17"/>
      <c r="R85" s="17"/>
      <c r="S85" s="17"/>
      <c r="T85" s="17"/>
      <c r="U85" s="17"/>
      <c r="V85" s="17"/>
      <c r="AE85" s="2"/>
      <c r="AQ85" s="2"/>
      <c r="AR85" s="2"/>
      <c r="AS85" s="2"/>
      <c r="AT85" s="2"/>
      <c r="AU85" s="2"/>
      <c r="AV85" s="2"/>
      <c r="AW85" s="2"/>
      <c r="AX85" s="2"/>
      <c r="AY85" s="2"/>
    </row>
    <row r="86" spans="1:51" x14ac:dyDescent="0.25">
      <c r="A86" s="24">
        <v>45651</v>
      </c>
      <c r="B86" s="1">
        <v>45651</v>
      </c>
      <c r="C86">
        <v>4.4800000000000004</v>
      </c>
      <c r="D86">
        <v>4.88</v>
      </c>
      <c r="E86">
        <v>5.12</v>
      </c>
      <c r="F86">
        <v>5.32</v>
      </c>
      <c r="G86">
        <v>5.45</v>
      </c>
      <c r="H86">
        <v>5.45</v>
      </c>
      <c r="I86">
        <v>5.43</v>
      </c>
      <c r="J86">
        <v>5.4</v>
      </c>
      <c r="K86">
        <v>5.4</v>
      </c>
      <c r="M86" s="3"/>
      <c r="N86" s="17"/>
      <c r="O86" s="17"/>
      <c r="P86" s="17"/>
      <c r="Q86" s="17"/>
      <c r="R86" s="17"/>
      <c r="S86" s="17"/>
      <c r="T86" s="17"/>
      <c r="U86" s="17"/>
      <c r="V86" s="17"/>
      <c r="AE86" s="2"/>
      <c r="AQ86" s="2"/>
      <c r="AR86" s="2"/>
      <c r="AS86" s="2"/>
      <c r="AT86" s="2"/>
      <c r="AU86" s="2"/>
      <c r="AV86" s="2"/>
      <c r="AW86" s="2"/>
      <c r="AX86" s="2"/>
      <c r="AY86" s="2"/>
    </row>
    <row r="87" spans="1:51" x14ac:dyDescent="0.25">
      <c r="A87" s="24">
        <v>45650</v>
      </c>
      <c r="B87" s="1">
        <v>45650</v>
      </c>
      <c r="C87">
        <v>4.4800000000000004</v>
      </c>
      <c r="D87">
        <v>4.7</v>
      </c>
      <c r="E87">
        <v>5.05</v>
      </c>
      <c r="F87">
        <v>5.18</v>
      </c>
      <c r="G87">
        <v>5.28</v>
      </c>
      <c r="H87">
        <v>5.35</v>
      </c>
      <c r="I87">
        <v>5.5</v>
      </c>
      <c r="J87">
        <v>5.44</v>
      </c>
      <c r="K87">
        <v>5.44</v>
      </c>
      <c r="M87" s="3"/>
      <c r="N87" s="17"/>
      <c r="O87" s="17"/>
      <c r="P87" s="17"/>
      <c r="Q87" s="17"/>
      <c r="R87" s="17"/>
      <c r="S87" s="17"/>
      <c r="T87" s="17"/>
      <c r="U87" s="17"/>
      <c r="V87" s="17"/>
      <c r="AE87" s="2"/>
      <c r="AQ87" s="2"/>
      <c r="AR87" s="2"/>
      <c r="AS87" s="2"/>
      <c r="AT87" s="2"/>
      <c r="AU87" s="2"/>
      <c r="AV87" s="2"/>
      <c r="AW87" s="2"/>
      <c r="AX87" s="2"/>
      <c r="AY87" s="2"/>
    </row>
    <row r="88" spans="1:51" x14ac:dyDescent="0.25">
      <c r="A88" s="24">
        <v>45649</v>
      </c>
      <c r="B88" s="1">
        <v>45649</v>
      </c>
      <c r="C88">
        <v>4.43</v>
      </c>
      <c r="D88">
        <v>4.5999999999999996</v>
      </c>
      <c r="E88">
        <v>5.0199999999999996</v>
      </c>
      <c r="F88">
        <v>5.17</v>
      </c>
      <c r="G88">
        <v>5.35</v>
      </c>
      <c r="H88">
        <v>5.4</v>
      </c>
      <c r="I88">
        <v>5.45</v>
      </c>
      <c r="J88">
        <v>5.4</v>
      </c>
      <c r="K88">
        <v>5.4</v>
      </c>
      <c r="M88" s="3"/>
      <c r="N88" s="17"/>
      <c r="O88" s="17"/>
      <c r="P88" s="17"/>
      <c r="Q88" s="17"/>
      <c r="R88" s="17"/>
      <c r="S88" s="17"/>
      <c r="T88" s="17"/>
      <c r="U88" s="17"/>
      <c r="V88" s="17"/>
      <c r="AE88" s="2"/>
      <c r="AQ88" s="2"/>
      <c r="AR88" s="2"/>
      <c r="AS88" s="2"/>
      <c r="AT88" s="2"/>
      <c r="AU88" s="2"/>
      <c r="AV88" s="2"/>
      <c r="AW88" s="2"/>
      <c r="AX88" s="2"/>
      <c r="AY88" s="2"/>
    </row>
    <row r="89" spans="1:51" x14ac:dyDescent="0.25">
      <c r="A89" s="24">
        <v>45646</v>
      </c>
      <c r="B89" s="1">
        <v>45646</v>
      </c>
      <c r="C89">
        <v>4.09</v>
      </c>
      <c r="D89">
        <v>4.5</v>
      </c>
      <c r="E89">
        <v>4.97</v>
      </c>
      <c r="F89">
        <v>5.13</v>
      </c>
      <c r="G89">
        <v>5.29</v>
      </c>
      <c r="H89">
        <v>5.33</v>
      </c>
      <c r="I89">
        <v>5.41</v>
      </c>
      <c r="J89">
        <v>5.4</v>
      </c>
      <c r="K89">
        <v>5.4</v>
      </c>
      <c r="M89" s="3"/>
      <c r="N89" s="17"/>
      <c r="O89" s="17"/>
      <c r="P89" s="17"/>
      <c r="Q89" s="17"/>
      <c r="R89" s="17"/>
      <c r="S89" s="17"/>
      <c r="T89" s="17"/>
      <c r="U89" s="17"/>
      <c r="V89" s="17"/>
      <c r="AE89" s="2"/>
      <c r="AQ89" s="2"/>
      <c r="AR89" s="2"/>
      <c r="AS89" s="2"/>
      <c r="AT89" s="2"/>
      <c r="AU89" s="2"/>
      <c r="AV89" s="2"/>
      <c r="AW89" s="2"/>
      <c r="AX89" s="2"/>
      <c r="AY89" s="2"/>
    </row>
    <row r="90" spans="1:51" x14ac:dyDescent="0.25">
      <c r="A90" s="24">
        <v>45645</v>
      </c>
      <c r="B90" s="1">
        <v>45645</v>
      </c>
      <c r="C90">
        <v>2.7</v>
      </c>
      <c r="D90">
        <v>3.67</v>
      </c>
      <c r="E90">
        <v>4.76</v>
      </c>
      <c r="F90">
        <v>4.96</v>
      </c>
      <c r="G90">
        <v>5.24</v>
      </c>
      <c r="H90">
        <v>5.3</v>
      </c>
      <c r="I90">
        <v>5.41</v>
      </c>
      <c r="J90">
        <v>5.4</v>
      </c>
      <c r="K90">
        <v>5.4</v>
      </c>
      <c r="M90" s="3"/>
      <c r="N90" s="17"/>
      <c r="O90" s="17"/>
      <c r="P90" s="17"/>
      <c r="Q90" s="17"/>
      <c r="R90" s="17"/>
      <c r="S90" s="17"/>
      <c r="T90" s="17"/>
      <c r="U90" s="17"/>
      <c r="V90" s="17"/>
      <c r="AE90" s="2"/>
      <c r="AQ90" s="2"/>
      <c r="AR90" s="2"/>
      <c r="AS90" s="2"/>
      <c r="AT90" s="2"/>
      <c r="AU90" s="2"/>
      <c r="AV90" s="2"/>
      <c r="AW90" s="2"/>
      <c r="AX90" s="2"/>
      <c r="AY90" s="2"/>
    </row>
    <row r="91" spans="1:51" x14ac:dyDescent="0.25">
      <c r="A91" s="24">
        <v>45644</v>
      </c>
      <c r="B91" s="1">
        <v>45644</v>
      </c>
      <c r="C91">
        <v>2.8</v>
      </c>
      <c r="D91">
        <v>3.68</v>
      </c>
      <c r="E91">
        <v>4.75</v>
      </c>
      <c r="F91">
        <v>5.0199999999999996</v>
      </c>
      <c r="G91">
        <v>5.27</v>
      </c>
      <c r="H91">
        <v>5.32</v>
      </c>
      <c r="I91">
        <v>5.38</v>
      </c>
      <c r="J91">
        <v>5.42</v>
      </c>
      <c r="K91">
        <v>5.42</v>
      </c>
      <c r="M91" s="3"/>
      <c r="N91" s="17"/>
      <c r="O91" s="17"/>
      <c r="P91" s="17"/>
      <c r="Q91" s="17"/>
      <c r="R91" s="17"/>
      <c r="S91" s="17"/>
      <c r="T91" s="17"/>
      <c r="U91" s="17"/>
      <c r="V91" s="17"/>
      <c r="AE91" s="2"/>
      <c r="AQ91" s="2"/>
      <c r="AR91" s="2"/>
      <c r="AS91" s="2"/>
      <c r="AT91" s="2"/>
      <c r="AU91" s="2"/>
      <c r="AV91" s="2"/>
      <c r="AW91" s="2"/>
      <c r="AX91" s="2"/>
      <c r="AY91" s="2"/>
    </row>
    <row r="92" spans="1:51" x14ac:dyDescent="0.25">
      <c r="A92" s="24">
        <v>45643</v>
      </c>
      <c r="B92" s="1">
        <v>45643</v>
      </c>
      <c r="C92">
        <v>3.33</v>
      </c>
      <c r="D92">
        <v>3.9</v>
      </c>
      <c r="E92">
        <v>4.3</v>
      </c>
      <c r="F92">
        <v>5.07</v>
      </c>
      <c r="G92">
        <v>5.38</v>
      </c>
      <c r="H92">
        <v>5.38</v>
      </c>
      <c r="I92">
        <v>5.45</v>
      </c>
      <c r="J92">
        <v>5.42</v>
      </c>
      <c r="K92">
        <v>5.42</v>
      </c>
      <c r="M92" s="3"/>
      <c r="N92" s="17"/>
      <c r="O92" s="17"/>
      <c r="P92" s="17"/>
      <c r="Q92" s="17"/>
      <c r="R92" s="17"/>
      <c r="S92" s="17"/>
      <c r="T92" s="17"/>
      <c r="U92" s="17"/>
      <c r="V92" s="17"/>
      <c r="AE92" s="2"/>
      <c r="AQ92" s="2"/>
      <c r="AR92" s="2"/>
      <c r="AS92" s="2"/>
      <c r="AT92" s="2"/>
      <c r="AU92" s="2"/>
      <c r="AV92" s="2"/>
      <c r="AW92" s="2"/>
      <c r="AX92" s="2"/>
      <c r="AY92" s="2"/>
    </row>
    <row r="93" spans="1:51" x14ac:dyDescent="0.25">
      <c r="A93" s="24">
        <v>45642</v>
      </c>
      <c r="B93" s="1">
        <v>45642</v>
      </c>
      <c r="C93">
        <v>3.89</v>
      </c>
      <c r="D93">
        <v>4.26</v>
      </c>
      <c r="E93">
        <v>4.47</v>
      </c>
      <c r="F93">
        <v>5.0599999999999996</v>
      </c>
      <c r="G93">
        <v>5.34</v>
      </c>
      <c r="H93">
        <v>5.36</v>
      </c>
      <c r="I93">
        <v>5.44</v>
      </c>
      <c r="J93">
        <v>5.42</v>
      </c>
      <c r="K93">
        <v>5.42</v>
      </c>
      <c r="M93" s="3"/>
      <c r="N93" s="17"/>
      <c r="O93" s="17"/>
      <c r="P93" s="17"/>
      <c r="Q93" s="17"/>
      <c r="R93" s="17"/>
      <c r="S93" s="17"/>
      <c r="T93" s="17"/>
      <c r="U93" s="17"/>
      <c r="V93" s="17"/>
      <c r="AE93" s="2"/>
      <c r="AQ93" s="2"/>
      <c r="AR93" s="2"/>
      <c r="AS93" s="2"/>
      <c r="AT93" s="2"/>
      <c r="AU93" s="2"/>
      <c r="AV93" s="2"/>
      <c r="AW93" s="2"/>
      <c r="AX93" s="2"/>
      <c r="AY93" s="2"/>
    </row>
    <row r="94" spans="1:51" x14ac:dyDescent="0.25">
      <c r="A94" s="24">
        <v>45639</v>
      </c>
      <c r="B94" s="1">
        <v>45639</v>
      </c>
      <c r="C94">
        <v>4.08</v>
      </c>
      <c r="D94">
        <v>4.43</v>
      </c>
      <c r="E94">
        <v>4.58</v>
      </c>
      <c r="F94">
        <v>5.12</v>
      </c>
      <c r="G94">
        <v>5.4</v>
      </c>
      <c r="H94">
        <v>5.43</v>
      </c>
      <c r="I94">
        <v>5.5</v>
      </c>
      <c r="J94">
        <v>5.48</v>
      </c>
      <c r="K94">
        <v>5.48</v>
      </c>
      <c r="M94" s="3"/>
      <c r="N94" s="17"/>
      <c r="O94" s="17"/>
      <c r="P94" s="17"/>
      <c r="Q94" s="17"/>
      <c r="R94" s="17"/>
      <c r="S94" s="17"/>
      <c r="T94" s="17"/>
      <c r="U94" s="17"/>
      <c r="V94" s="17"/>
      <c r="AE94" s="2"/>
      <c r="AQ94" s="2"/>
      <c r="AR94" s="2"/>
      <c r="AS94" s="2"/>
      <c r="AT94" s="2"/>
      <c r="AU94" s="2"/>
      <c r="AV94" s="2"/>
      <c r="AW94" s="2"/>
      <c r="AX94" s="2"/>
      <c r="AY94" s="2"/>
    </row>
    <row r="95" spans="1:51" x14ac:dyDescent="0.25">
      <c r="A95" s="24">
        <v>45638</v>
      </c>
      <c r="B95" s="1">
        <v>45638</v>
      </c>
      <c r="C95">
        <v>4.5199999999999996</v>
      </c>
      <c r="D95">
        <v>4.7</v>
      </c>
      <c r="E95">
        <v>4.8</v>
      </c>
      <c r="F95">
        <v>5.0599999999999996</v>
      </c>
      <c r="G95">
        <v>5.26</v>
      </c>
      <c r="H95">
        <v>5.3</v>
      </c>
      <c r="I95">
        <v>5.42</v>
      </c>
      <c r="J95">
        <v>5.43</v>
      </c>
      <c r="K95">
        <v>5.43</v>
      </c>
      <c r="M95" s="3"/>
      <c r="N95" s="17"/>
      <c r="O95" s="17"/>
      <c r="P95" s="17"/>
      <c r="Q95" s="17"/>
      <c r="R95" s="17"/>
      <c r="S95" s="17"/>
      <c r="T95" s="17"/>
      <c r="U95" s="17"/>
      <c r="V95" s="17"/>
      <c r="AE95" s="2"/>
      <c r="AQ95" s="2"/>
      <c r="AR95" s="2"/>
      <c r="AS95" s="2"/>
      <c r="AT95" s="2"/>
      <c r="AU95" s="2"/>
      <c r="AV95" s="2"/>
      <c r="AW95" s="2"/>
      <c r="AX95" s="2"/>
      <c r="AY95" s="2"/>
    </row>
    <row r="96" spans="1:51" x14ac:dyDescent="0.25">
      <c r="A96" s="24">
        <v>45637</v>
      </c>
      <c r="B96" s="1">
        <v>45637</v>
      </c>
      <c r="C96">
        <v>4.5199999999999996</v>
      </c>
      <c r="D96">
        <v>4.6500000000000004</v>
      </c>
      <c r="E96">
        <v>4.78</v>
      </c>
      <c r="F96">
        <v>5.07</v>
      </c>
      <c r="G96">
        <v>5.27</v>
      </c>
      <c r="H96">
        <v>5.3</v>
      </c>
      <c r="I96">
        <v>5.38</v>
      </c>
      <c r="J96">
        <v>5.34</v>
      </c>
      <c r="K96">
        <v>5.34</v>
      </c>
      <c r="M96" s="3"/>
      <c r="N96" s="17"/>
      <c r="O96" s="17"/>
      <c r="P96" s="17"/>
      <c r="Q96" s="17"/>
      <c r="R96" s="17"/>
      <c r="S96" s="17"/>
      <c r="T96" s="17"/>
      <c r="U96" s="17"/>
      <c r="V96" s="17"/>
      <c r="AE96" s="2"/>
      <c r="AQ96" s="2"/>
      <c r="AR96" s="2"/>
      <c r="AS96" s="2"/>
      <c r="AT96" s="2"/>
      <c r="AU96" s="2"/>
      <c r="AV96" s="2"/>
      <c r="AW96" s="2"/>
      <c r="AX96" s="2"/>
      <c r="AY96" s="2"/>
    </row>
    <row r="97" spans="1:51" x14ac:dyDescent="0.25">
      <c r="A97" s="24">
        <v>45636</v>
      </c>
      <c r="B97" s="1">
        <v>45636</v>
      </c>
      <c r="C97">
        <v>4.22</v>
      </c>
      <c r="D97">
        <v>4.34</v>
      </c>
      <c r="E97">
        <v>4.4800000000000004</v>
      </c>
      <c r="F97">
        <v>4.8</v>
      </c>
      <c r="G97">
        <v>5.14</v>
      </c>
      <c r="H97">
        <v>5.2</v>
      </c>
      <c r="I97">
        <v>5.34</v>
      </c>
      <c r="J97">
        <v>5.3</v>
      </c>
      <c r="K97">
        <v>5.3</v>
      </c>
      <c r="M97" s="3"/>
      <c r="N97" s="17"/>
      <c r="O97" s="17"/>
      <c r="P97" s="17"/>
      <c r="Q97" s="17"/>
      <c r="R97" s="17"/>
      <c r="S97" s="17"/>
      <c r="T97" s="17"/>
      <c r="U97" s="17"/>
      <c r="V97" s="17"/>
      <c r="AE97" s="2"/>
      <c r="AQ97" s="2"/>
      <c r="AR97" s="2"/>
      <c r="AS97" s="2"/>
      <c r="AT97" s="2"/>
      <c r="AU97" s="2"/>
      <c r="AV97" s="2"/>
      <c r="AW97" s="2"/>
      <c r="AX97" s="2"/>
      <c r="AY97" s="2"/>
    </row>
    <row r="98" spans="1:51" x14ac:dyDescent="0.25">
      <c r="A98" s="24">
        <v>45635</v>
      </c>
      <c r="B98" s="1">
        <v>45635</v>
      </c>
      <c r="C98">
        <v>4.05</v>
      </c>
      <c r="D98">
        <v>4.2699999999999996</v>
      </c>
      <c r="E98">
        <v>4.4800000000000004</v>
      </c>
      <c r="F98">
        <v>4.78</v>
      </c>
      <c r="G98">
        <v>5.17</v>
      </c>
      <c r="H98">
        <v>5.2</v>
      </c>
      <c r="I98">
        <v>5.32</v>
      </c>
      <c r="J98">
        <v>5.28</v>
      </c>
      <c r="K98">
        <v>5.28</v>
      </c>
      <c r="M98" s="3"/>
      <c r="N98" s="17"/>
      <c r="O98" s="17"/>
      <c r="P98" s="17"/>
      <c r="Q98" s="17"/>
      <c r="R98" s="17"/>
      <c r="S98" s="17"/>
      <c r="T98" s="17"/>
      <c r="U98" s="17"/>
      <c r="V98" s="17"/>
      <c r="AE98" s="2"/>
      <c r="AQ98" s="2"/>
      <c r="AR98" s="2"/>
      <c r="AS98" s="2"/>
      <c r="AT98" s="2"/>
      <c r="AU98" s="2"/>
      <c r="AV98" s="2"/>
      <c r="AW98" s="2"/>
      <c r="AX98" s="2"/>
      <c r="AY98" s="2"/>
    </row>
    <row r="99" spans="1:51" x14ac:dyDescent="0.25">
      <c r="A99" s="24">
        <v>45632</v>
      </c>
      <c r="B99" s="1">
        <v>45632</v>
      </c>
      <c r="C99">
        <v>4</v>
      </c>
      <c r="D99">
        <v>4.2699999999999996</v>
      </c>
      <c r="E99">
        <v>4.47</v>
      </c>
      <c r="F99">
        <v>4.7699999999999996</v>
      </c>
      <c r="G99">
        <v>5.17</v>
      </c>
      <c r="H99">
        <v>5.2</v>
      </c>
      <c r="I99">
        <v>5.32</v>
      </c>
      <c r="J99">
        <v>5.28</v>
      </c>
      <c r="K99">
        <v>5.28</v>
      </c>
      <c r="M99" s="3"/>
      <c r="N99" s="17"/>
      <c r="O99" s="17"/>
      <c r="P99" s="17"/>
      <c r="Q99" s="17"/>
      <c r="R99" s="17"/>
      <c r="S99" s="17"/>
      <c r="T99" s="17"/>
      <c r="U99" s="17"/>
      <c r="V99" s="17"/>
      <c r="AE99" s="2"/>
      <c r="AQ99" s="2"/>
      <c r="AR99" s="2"/>
      <c r="AS99" s="2"/>
      <c r="AT99" s="2"/>
      <c r="AU99" s="2"/>
      <c r="AV99" s="2"/>
      <c r="AW99" s="2"/>
      <c r="AX99" s="2"/>
      <c r="AY99" s="2"/>
    </row>
    <row r="100" spans="1:51" x14ac:dyDescent="0.25">
      <c r="A100" s="24">
        <v>45631</v>
      </c>
      <c r="B100" s="1">
        <v>45631</v>
      </c>
      <c r="C100">
        <v>4.03</v>
      </c>
      <c r="D100">
        <v>4.2699999999999996</v>
      </c>
      <c r="E100">
        <v>4.4800000000000004</v>
      </c>
      <c r="F100">
        <v>4.8</v>
      </c>
      <c r="G100">
        <v>5.17</v>
      </c>
      <c r="H100">
        <v>5.2</v>
      </c>
      <c r="I100">
        <v>5.3</v>
      </c>
      <c r="J100">
        <v>5.26</v>
      </c>
      <c r="K100">
        <v>5.26</v>
      </c>
      <c r="M100" s="3"/>
      <c r="N100" s="17"/>
      <c r="O100" s="17"/>
      <c r="P100" s="17"/>
      <c r="Q100" s="17"/>
      <c r="R100" s="17"/>
      <c r="S100" s="17"/>
      <c r="T100" s="17"/>
      <c r="U100" s="17"/>
      <c r="V100" s="17"/>
      <c r="AE100" s="2"/>
      <c r="AQ100" s="2"/>
      <c r="AR100" s="2"/>
      <c r="AS100" s="2"/>
      <c r="AT100" s="2"/>
      <c r="AU100" s="2"/>
      <c r="AV100" s="2"/>
      <c r="AW100" s="2"/>
      <c r="AX100" s="2"/>
      <c r="AY100" s="2"/>
    </row>
    <row r="101" spans="1:51" x14ac:dyDescent="0.25">
      <c r="A101" s="24">
        <v>45630</v>
      </c>
      <c r="B101" s="1">
        <v>45630</v>
      </c>
      <c r="C101">
        <v>4.1399999999999997</v>
      </c>
      <c r="D101">
        <v>4.42</v>
      </c>
      <c r="E101">
        <v>4.5999999999999996</v>
      </c>
      <c r="F101">
        <v>4.82</v>
      </c>
      <c r="G101">
        <v>5.18</v>
      </c>
      <c r="H101">
        <v>5.18</v>
      </c>
      <c r="I101">
        <v>5.28</v>
      </c>
      <c r="J101">
        <v>5.28</v>
      </c>
      <c r="K101">
        <v>5.28</v>
      </c>
      <c r="M101" s="3"/>
      <c r="N101" s="17"/>
      <c r="O101" s="17"/>
      <c r="P101" s="17"/>
      <c r="Q101" s="17"/>
      <c r="R101" s="17"/>
      <c r="S101" s="17"/>
      <c r="T101" s="17"/>
      <c r="U101" s="17"/>
      <c r="V101" s="17"/>
      <c r="AE101" s="2"/>
      <c r="AQ101" s="2"/>
      <c r="AR101" s="2"/>
      <c r="AS101" s="2"/>
      <c r="AT101" s="2"/>
      <c r="AU101" s="2"/>
      <c r="AV101" s="2"/>
      <c r="AW101" s="2"/>
      <c r="AX101" s="2"/>
      <c r="AY101" s="2"/>
    </row>
    <row r="102" spans="1:51" x14ac:dyDescent="0.25">
      <c r="A102" s="24">
        <v>45629</v>
      </c>
      <c r="B102" s="1">
        <v>45629</v>
      </c>
      <c r="C102">
        <v>4.2</v>
      </c>
      <c r="D102">
        <v>4.5</v>
      </c>
      <c r="E102">
        <v>4.6500000000000004</v>
      </c>
      <c r="F102">
        <v>4.9000000000000004</v>
      </c>
      <c r="G102">
        <v>5.18</v>
      </c>
      <c r="H102">
        <v>5.2</v>
      </c>
      <c r="I102">
        <v>5.27</v>
      </c>
      <c r="J102">
        <v>5.28</v>
      </c>
      <c r="K102">
        <v>5.28</v>
      </c>
      <c r="M102" s="3"/>
      <c r="N102" s="17"/>
      <c r="O102" s="17"/>
      <c r="P102" s="17"/>
      <c r="Q102" s="17"/>
      <c r="R102" s="17"/>
      <c r="S102" s="17"/>
      <c r="T102" s="17"/>
      <c r="U102" s="17"/>
      <c r="V102" s="17"/>
      <c r="AE102" s="2"/>
      <c r="AQ102" s="2"/>
      <c r="AR102" s="2"/>
      <c r="AS102" s="2"/>
      <c r="AT102" s="2"/>
      <c r="AU102" s="2"/>
      <c r="AV102" s="2"/>
      <c r="AW102" s="2"/>
      <c r="AX102" s="2"/>
      <c r="AY102" s="2"/>
    </row>
    <row r="103" spans="1:51" x14ac:dyDescent="0.25">
      <c r="A103" s="24">
        <v>45628</v>
      </c>
      <c r="B103" s="1">
        <v>45628</v>
      </c>
      <c r="C103">
        <v>4.22</v>
      </c>
      <c r="D103">
        <v>4.4800000000000004</v>
      </c>
      <c r="E103">
        <v>4.66</v>
      </c>
      <c r="F103">
        <v>4.88</v>
      </c>
      <c r="G103">
        <v>5.2</v>
      </c>
      <c r="H103">
        <v>5.24</v>
      </c>
      <c r="I103">
        <v>5.32</v>
      </c>
      <c r="J103">
        <v>5.3</v>
      </c>
      <c r="K103">
        <v>5.3</v>
      </c>
      <c r="M103" s="3"/>
      <c r="N103" s="17"/>
      <c r="O103" s="17"/>
      <c r="P103" s="17"/>
      <c r="Q103" s="17"/>
      <c r="R103" s="17"/>
      <c r="S103" s="17"/>
      <c r="T103" s="17"/>
      <c r="U103" s="17"/>
      <c r="V103" s="17"/>
      <c r="AE103" s="2"/>
      <c r="AQ103" s="2"/>
      <c r="AR103" s="2"/>
      <c r="AS103" s="2"/>
      <c r="AT103" s="2"/>
      <c r="AU103" s="2"/>
      <c r="AV103" s="2"/>
      <c r="AW103" s="2"/>
      <c r="AX103" s="2"/>
      <c r="AY103" s="2"/>
    </row>
    <row r="104" spans="1:51" x14ac:dyDescent="0.25">
      <c r="A104" s="24">
        <v>45625</v>
      </c>
      <c r="B104" s="1">
        <v>45625</v>
      </c>
      <c r="C104">
        <v>3.13</v>
      </c>
      <c r="D104">
        <v>3.9</v>
      </c>
      <c r="E104">
        <v>4.49</v>
      </c>
      <c r="F104">
        <v>4.79</v>
      </c>
      <c r="G104">
        <v>5.13</v>
      </c>
      <c r="H104">
        <v>5.16</v>
      </c>
      <c r="I104">
        <v>5.3</v>
      </c>
      <c r="J104">
        <v>5.27</v>
      </c>
      <c r="K104">
        <v>5.27</v>
      </c>
      <c r="M104" s="3"/>
      <c r="N104" s="17"/>
      <c r="O104" s="17"/>
      <c r="P104" s="17"/>
      <c r="Q104" s="17"/>
      <c r="R104" s="17"/>
      <c r="S104" s="17"/>
      <c r="T104" s="17"/>
      <c r="U104" s="17"/>
      <c r="V104" s="17"/>
      <c r="AE104" s="2"/>
      <c r="AQ104" s="2"/>
      <c r="AR104" s="2"/>
      <c r="AS104" s="2"/>
      <c r="AT104" s="2"/>
      <c r="AU104" s="2"/>
      <c r="AV104" s="2"/>
      <c r="AW104" s="2"/>
      <c r="AX104" s="2"/>
      <c r="AY104" s="2"/>
    </row>
    <row r="105" spans="1:51" x14ac:dyDescent="0.25">
      <c r="A105" s="24">
        <v>45624</v>
      </c>
      <c r="B105" s="1">
        <v>45624</v>
      </c>
      <c r="C105">
        <v>3.34</v>
      </c>
      <c r="D105">
        <v>4.04</v>
      </c>
      <c r="E105">
        <v>4.59</v>
      </c>
      <c r="F105">
        <v>4.9000000000000004</v>
      </c>
      <c r="G105">
        <v>5.19</v>
      </c>
      <c r="H105">
        <v>5.23</v>
      </c>
      <c r="I105">
        <v>5.31</v>
      </c>
      <c r="J105">
        <v>5.28</v>
      </c>
      <c r="K105">
        <v>5.28</v>
      </c>
      <c r="M105" s="3"/>
      <c r="N105" s="17"/>
      <c r="O105" s="17"/>
      <c r="P105" s="17"/>
      <c r="Q105" s="17"/>
      <c r="R105" s="17"/>
      <c r="S105" s="17"/>
      <c r="T105" s="17"/>
      <c r="U105" s="17"/>
      <c r="V105" s="17"/>
      <c r="AE105" s="2"/>
      <c r="AQ105" s="2"/>
      <c r="AR105" s="2"/>
      <c r="AS105" s="2"/>
      <c r="AT105" s="2"/>
      <c r="AU105" s="2"/>
      <c r="AV105" s="2"/>
      <c r="AW105" s="2"/>
      <c r="AX105" s="2"/>
      <c r="AY105" s="2"/>
    </row>
    <row r="106" spans="1:51" x14ac:dyDescent="0.25">
      <c r="A106" s="24">
        <v>45623</v>
      </c>
      <c r="B106" s="1">
        <v>45623</v>
      </c>
      <c r="C106">
        <v>4.4000000000000004</v>
      </c>
      <c r="D106">
        <v>4.58</v>
      </c>
      <c r="E106">
        <v>4.83</v>
      </c>
      <c r="F106">
        <v>5.18</v>
      </c>
      <c r="G106">
        <v>5.25</v>
      </c>
      <c r="H106">
        <v>5.25</v>
      </c>
      <c r="I106">
        <v>5.33</v>
      </c>
      <c r="J106">
        <v>5.34</v>
      </c>
      <c r="K106">
        <v>5.34</v>
      </c>
      <c r="M106" s="3"/>
      <c r="N106" s="17"/>
      <c r="O106" s="17"/>
      <c r="P106" s="17"/>
      <c r="Q106" s="17"/>
      <c r="R106" s="17"/>
      <c r="S106" s="17"/>
      <c r="T106" s="17"/>
      <c r="U106" s="17"/>
      <c r="V106" s="17"/>
      <c r="AE106" s="2"/>
      <c r="AQ106" s="2"/>
      <c r="AR106" s="2"/>
      <c r="AS106" s="2"/>
      <c r="AT106" s="2"/>
      <c r="AU106" s="2"/>
      <c r="AV106" s="2"/>
      <c r="AW106" s="2"/>
      <c r="AX106" s="2"/>
      <c r="AY106" s="2"/>
    </row>
    <row r="107" spans="1:51" x14ac:dyDescent="0.25">
      <c r="A107" s="24">
        <v>45622</v>
      </c>
      <c r="B107" s="1">
        <v>45622</v>
      </c>
      <c r="C107">
        <v>5.45</v>
      </c>
      <c r="D107">
        <v>5.45</v>
      </c>
      <c r="E107">
        <v>5.48</v>
      </c>
      <c r="F107">
        <v>5.43</v>
      </c>
      <c r="G107">
        <v>5.43</v>
      </c>
      <c r="H107">
        <v>5.43</v>
      </c>
      <c r="I107">
        <v>5.42</v>
      </c>
      <c r="J107">
        <v>5.36</v>
      </c>
      <c r="K107">
        <v>5.36</v>
      </c>
      <c r="M107" s="3"/>
      <c r="N107" s="17"/>
      <c r="O107" s="17"/>
      <c r="P107" s="17"/>
      <c r="Q107" s="17"/>
      <c r="R107" s="17"/>
      <c r="S107" s="17"/>
      <c r="T107" s="17"/>
      <c r="U107" s="17"/>
      <c r="V107" s="17"/>
      <c r="AE107" s="2"/>
      <c r="AQ107" s="2"/>
      <c r="AR107" s="2"/>
      <c r="AS107" s="2"/>
      <c r="AT107" s="2"/>
      <c r="AU107" s="2"/>
      <c r="AV107" s="2"/>
      <c r="AW107" s="2"/>
      <c r="AX107" s="2"/>
      <c r="AY107" s="2"/>
    </row>
    <row r="108" spans="1:51" x14ac:dyDescent="0.25">
      <c r="A108" s="24">
        <v>45621</v>
      </c>
      <c r="B108" s="1">
        <v>45621</v>
      </c>
      <c r="C108">
        <v>5.48</v>
      </c>
      <c r="D108">
        <v>5.53</v>
      </c>
      <c r="E108">
        <v>5.58</v>
      </c>
      <c r="F108">
        <v>5.58</v>
      </c>
      <c r="G108">
        <v>5.48</v>
      </c>
      <c r="H108">
        <v>5.5</v>
      </c>
      <c r="I108">
        <v>5.4</v>
      </c>
      <c r="J108">
        <v>5.36</v>
      </c>
      <c r="K108">
        <v>5.36</v>
      </c>
      <c r="M108" s="3"/>
      <c r="N108" s="17"/>
      <c r="O108" s="17"/>
      <c r="P108" s="17"/>
      <c r="Q108" s="17"/>
      <c r="R108" s="17"/>
      <c r="S108" s="17"/>
      <c r="T108" s="17"/>
      <c r="U108" s="17"/>
      <c r="V108" s="17"/>
      <c r="AE108" s="2"/>
      <c r="AQ108" s="2"/>
      <c r="AR108" s="2"/>
      <c r="AS108" s="2"/>
      <c r="AT108" s="2"/>
      <c r="AU108" s="2"/>
      <c r="AV108" s="2"/>
      <c r="AW108" s="2"/>
      <c r="AX108" s="2"/>
      <c r="AY108" s="2"/>
    </row>
    <row r="109" spans="1:51" x14ac:dyDescent="0.25">
      <c r="A109" s="24">
        <v>45618</v>
      </c>
      <c r="B109" s="1">
        <v>45618</v>
      </c>
      <c r="C109">
        <v>4.5999999999999996</v>
      </c>
      <c r="D109">
        <v>4.76</v>
      </c>
      <c r="E109">
        <v>4.8600000000000003</v>
      </c>
      <c r="F109">
        <v>4.9800000000000004</v>
      </c>
      <c r="G109">
        <v>5.2</v>
      </c>
      <c r="H109">
        <v>5.28</v>
      </c>
      <c r="I109">
        <v>5.28</v>
      </c>
      <c r="J109">
        <v>5.28</v>
      </c>
      <c r="K109">
        <v>5.28</v>
      </c>
      <c r="M109" s="3"/>
      <c r="N109" s="17"/>
      <c r="O109" s="17"/>
      <c r="P109" s="17"/>
      <c r="Q109" s="17"/>
      <c r="R109" s="17"/>
      <c r="S109" s="17"/>
      <c r="T109" s="17"/>
      <c r="U109" s="17"/>
      <c r="V109" s="17"/>
      <c r="AE109" s="2"/>
      <c r="AQ109" s="2"/>
      <c r="AR109" s="2"/>
      <c r="AS109" s="2"/>
      <c r="AT109" s="2"/>
      <c r="AU109" s="2"/>
      <c r="AV109" s="2"/>
      <c r="AW109" s="2"/>
      <c r="AX109" s="2"/>
      <c r="AY109" s="2"/>
    </row>
    <row r="110" spans="1:51" x14ac:dyDescent="0.25">
      <c r="A110" s="24">
        <v>45617</v>
      </c>
      <c r="B110" s="1">
        <v>45617</v>
      </c>
      <c r="C110">
        <v>4.18</v>
      </c>
      <c r="D110">
        <v>4.4000000000000004</v>
      </c>
      <c r="E110">
        <v>4.67</v>
      </c>
      <c r="F110">
        <v>4.82</v>
      </c>
      <c r="G110">
        <v>5.08</v>
      </c>
      <c r="H110">
        <v>5.17</v>
      </c>
      <c r="I110">
        <v>5.23</v>
      </c>
      <c r="J110">
        <v>5.26</v>
      </c>
      <c r="K110">
        <v>5.28</v>
      </c>
      <c r="M110" s="3"/>
      <c r="N110" s="17"/>
      <c r="O110" s="17"/>
      <c r="P110" s="17"/>
      <c r="Q110" s="17"/>
      <c r="R110" s="17"/>
      <c r="S110" s="17"/>
      <c r="T110" s="17"/>
      <c r="U110" s="17"/>
      <c r="V110" s="17"/>
      <c r="AE110" s="2"/>
      <c r="AQ110" s="2"/>
      <c r="AR110" s="2"/>
      <c r="AS110" s="2"/>
      <c r="AT110" s="2"/>
      <c r="AU110" s="2"/>
      <c r="AV110" s="2"/>
      <c r="AW110" s="2"/>
      <c r="AX110" s="2"/>
      <c r="AY110" s="2"/>
    </row>
    <row r="111" spans="1:51" x14ac:dyDescent="0.25">
      <c r="A111" s="24">
        <v>45616</v>
      </c>
      <c r="B111" s="1">
        <v>45616</v>
      </c>
      <c r="C111">
        <v>4.18</v>
      </c>
      <c r="D111">
        <v>4.4000000000000004</v>
      </c>
      <c r="E111">
        <v>4.63</v>
      </c>
      <c r="F111">
        <v>4.8</v>
      </c>
      <c r="G111">
        <v>5.08</v>
      </c>
      <c r="H111">
        <v>5.17</v>
      </c>
      <c r="I111">
        <v>5.2</v>
      </c>
      <c r="J111">
        <v>5.18</v>
      </c>
      <c r="K111">
        <v>5.24</v>
      </c>
      <c r="M111" s="3"/>
      <c r="N111" s="17"/>
      <c r="O111" s="17"/>
      <c r="P111" s="17"/>
      <c r="Q111" s="17"/>
      <c r="R111" s="17"/>
      <c r="S111" s="17"/>
      <c r="T111" s="17"/>
      <c r="U111" s="17"/>
      <c r="V111" s="17"/>
      <c r="AE111" s="2"/>
      <c r="AQ111" s="2"/>
      <c r="AR111" s="2"/>
      <c r="AS111" s="2"/>
      <c r="AT111" s="2"/>
      <c r="AU111" s="2"/>
      <c r="AV111" s="2"/>
      <c r="AW111" s="2"/>
      <c r="AX111" s="2"/>
      <c r="AY111" s="2"/>
    </row>
    <row r="112" spans="1:51" x14ac:dyDescent="0.25">
      <c r="A112" s="24">
        <v>45615</v>
      </c>
      <c r="B112" s="1">
        <v>45615</v>
      </c>
      <c r="C112">
        <v>5.16</v>
      </c>
      <c r="D112">
        <v>5.3</v>
      </c>
      <c r="E112">
        <v>5.41</v>
      </c>
      <c r="F112">
        <v>5.44</v>
      </c>
      <c r="G112">
        <v>5.39</v>
      </c>
      <c r="H112">
        <v>5.37</v>
      </c>
      <c r="I112">
        <v>5.23</v>
      </c>
      <c r="J112">
        <v>5.25</v>
      </c>
      <c r="K112">
        <v>5.3</v>
      </c>
      <c r="M112" s="3"/>
      <c r="N112" s="17"/>
      <c r="O112" s="17"/>
      <c r="P112" s="17"/>
      <c r="Q112" s="17"/>
      <c r="R112" s="17"/>
      <c r="S112" s="17"/>
      <c r="T112" s="17"/>
      <c r="U112" s="17"/>
      <c r="V112" s="17"/>
      <c r="AE112" s="2"/>
      <c r="AQ112" s="2"/>
      <c r="AR112" s="2"/>
      <c r="AS112" s="2"/>
      <c r="AT112" s="2"/>
      <c r="AU112" s="2"/>
      <c r="AV112" s="2"/>
      <c r="AW112" s="2"/>
      <c r="AX112" s="2"/>
      <c r="AY112" s="2"/>
    </row>
    <row r="113" spans="1:51" x14ac:dyDescent="0.25">
      <c r="A113" s="24">
        <v>45614</v>
      </c>
      <c r="B113" s="1">
        <v>45614</v>
      </c>
      <c r="C113">
        <v>5.78</v>
      </c>
      <c r="D113">
        <v>5.77</v>
      </c>
      <c r="E113">
        <v>5.7</v>
      </c>
      <c r="F113">
        <v>5.57</v>
      </c>
      <c r="G113">
        <v>5.4</v>
      </c>
      <c r="H113">
        <v>5.42</v>
      </c>
      <c r="I113">
        <v>5.23</v>
      </c>
      <c r="J113">
        <v>5.24</v>
      </c>
      <c r="K113">
        <v>5.3</v>
      </c>
      <c r="M113" s="3"/>
      <c r="N113" s="17"/>
      <c r="O113" s="17"/>
      <c r="P113" s="17"/>
      <c r="Q113" s="17"/>
      <c r="R113" s="17"/>
      <c r="S113" s="17"/>
      <c r="T113" s="17"/>
      <c r="U113" s="17"/>
      <c r="V113" s="17"/>
      <c r="AE113" s="2"/>
      <c r="AQ113" s="2"/>
      <c r="AR113" s="2"/>
      <c r="AS113" s="2"/>
      <c r="AT113" s="2"/>
      <c r="AU113" s="2"/>
      <c r="AV113" s="2"/>
      <c r="AW113" s="2"/>
      <c r="AX113" s="2"/>
      <c r="AY113" s="2"/>
    </row>
    <row r="114" spans="1:51" x14ac:dyDescent="0.25">
      <c r="A114" s="24">
        <v>45611</v>
      </c>
      <c r="B114" s="1">
        <v>45611</v>
      </c>
      <c r="C114">
        <v>5.78</v>
      </c>
      <c r="D114">
        <v>5.8</v>
      </c>
      <c r="E114">
        <v>5.74</v>
      </c>
      <c r="F114">
        <v>5.5</v>
      </c>
      <c r="G114">
        <v>5.32</v>
      </c>
      <c r="H114">
        <v>5.36</v>
      </c>
      <c r="I114">
        <v>5.26</v>
      </c>
      <c r="J114">
        <v>5.2</v>
      </c>
      <c r="K114">
        <v>5.25</v>
      </c>
      <c r="M114" s="3"/>
      <c r="N114" s="17"/>
      <c r="O114" s="17"/>
      <c r="P114" s="17"/>
      <c r="Q114" s="17"/>
      <c r="R114" s="17"/>
      <c r="S114" s="17"/>
      <c r="T114" s="17"/>
      <c r="U114" s="17"/>
      <c r="V114" s="17"/>
      <c r="AE114" s="2"/>
      <c r="AQ114" s="2"/>
      <c r="AR114" s="2"/>
      <c r="AS114" s="2"/>
      <c r="AT114" s="2"/>
      <c r="AU114" s="2"/>
      <c r="AV114" s="2"/>
      <c r="AW114" s="2"/>
      <c r="AX114" s="2"/>
      <c r="AY114" s="2"/>
    </row>
    <row r="115" spans="1:51" x14ac:dyDescent="0.25">
      <c r="A115" s="24">
        <v>45610</v>
      </c>
      <c r="B115" s="1">
        <v>45610</v>
      </c>
      <c r="C115">
        <v>5.6</v>
      </c>
      <c r="D115">
        <v>5.59</v>
      </c>
      <c r="E115">
        <v>5.53</v>
      </c>
      <c r="F115">
        <v>5.36</v>
      </c>
      <c r="G115">
        <v>5.31</v>
      </c>
      <c r="H115">
        <v>5.37</v>
      </c>
      <c r="I115">
        <v>5.3</v>
      </c>
      <c r="J115">
        <v>5.25</v>
      </c>
      <c r="K115">
        <v>5.3</v>
      </c>
      <c r="M115" s="3"/>
      <c r="N115" s="17"/>
      <c r="O115" s="17"/>
      <c r="P115" s="17"/>
      <c r="Q115" s="17"/>
      <c r="R115" s="17"/>
      <c r="S115" s="17"/>
      <c r="T115" s="17"/>
      <c r="U115" s="17"/>
      <c r="V115" s="17"/>
      <c r="AE115" s="2"/>
      <c r="AQ115" s="2"/>
      <c r="AR115" s="2"/>
      <c r="AS115" s="2"/>
      <c r="AT115" s="2"/>
      <c r="AU115" s="2"/>
      <c r="AV115" s="2"/>
      <c r="AW115" s="2"/>
      <c r="AX115" s="2"/>
      <c r="AY115" s="2"/>
    </row>
    <row r="116" spans="1:51" x14ac:dyDescent="0.25">
      <c r="A116" s="24">
        <v>45609</v>
      </c>
      <c r="B116" s="1">
        <v>45609</v>
      </c>
      <c r="C116">
        <v>5.34</v>
      </c>
      <c r="D116">
        <v>5.36</v>
      </c>
      <c r="E116">
        <v>5.3</v>
      </c>
      <c r="F116">
        <v>5.26</v>
      </c>
      <c r="G116">
        <v>5.27</v>
      </c>
      <c r="H116">
        <v>5.29</v>
      </c>
      <c r="I116">
        <v>5.23</v>
      </c>
      <c r="J116">
        <v>5.17</v>
      </c>
      <c r="K116">
        <v>5.25</v>
      </c>
      <c r="M116" s="3"/>
      <c r="N116" s="17"/>
      <c r="O116" s="17"/>
      <c r="P116" s="17"/>
      <c r="Q116" s="17"/>
      <c r="R116" s="17"/>
      <c r="S116" s="17"/>
      <c r="T116" s="17"/>
      <c r="U116" s="17"/>
      <c r="V116" s="17"/>
      <c r="AE116" s="2"/>
      <c r="AQ116" s="2"/>
      <c r="AR116" s="2"/>
      <c r="AS116" s="2"/>
      <c r="AT116" s="2"/>
      <c r="AU116" s="2"/>
      <c r="AV116" s="2"/>
      <c r="AW116" s="2"/>
      <c r="AX116" s="2"/>
      <c r="AY116" s="2"/>
    </row>
    <row r="117" spans="1:51" x14ac:dyDescent="0.25">
      <c r="A117" s="24">
        <v>45608</v>
      </c>
      <c r="B117" s="1">
        <v>45608</v>
      </c>
      <c r="C117">
        <v>4.76</v>
      </c>
      <c r="D117">
        <v>4.84</v>
      </c>
      <c r="E117">
        <v>4.88</v>
      </c>
      <c r="F117">
        <v>4.88</v>
      </c>
      <c r="G117">
        <v>4.9800000000000004</v>
      </c>
      <c r="H117">
        <v>5</v>
      </c>
      <c r="I117">
        <v>5.0599999999999996</v>
      </c>
      <c r="J117">
        <v>5.03</v>
      </c>
      <c r="K117">
        <v>5.0999999999999996</v>
      </c>
      <c r="M117" s="3"/>
      <c r="N117" s="17"/>
      <c r="O117" s="17"/>
      <c r="P117" s="17"/>
      <c r="Q117" s="17"/>
      <c r="R117" s="17"/>
      <c r="S117" s="17"/>
      <c r="T117" s="17"/>
      <c r="U117" s="17"/>
      <c r="V117" s="17"/>
      <c r="AE117" s="2"/>
      <c r="AQ117" s="2"/>
      <c r="AR117" s="2"/>
      <c r="AS117" s="2"/>
      <c r="AT117" s="2"/>
      <c r="AU117" s="2"/>
      <c r="AV117" s="2"/>
      <c r="AW117" s="2"/>
      <c r="AX117" s="2"/>
      <c r="AY117" s="2"/>
    </row>
    <row r="118" spans="1:51" x14ac:dyDescent="0.25">
      <c r="A118" s="24">
        <v>45607</v>
      </c>
      <c r="B118" s="1">
        <v>45607</v>
      </c>
      <c r="C118">
        <v>4.5999999999999996</v>
      </c>
      <c r="D118">
        <v>4.6900000000000004</v>
      </c>
      <c r="E118">
        <v>4.78</v>
      </c>
      <c r="F118">
        <v>4.88</v>
      </c>
      <c r="G118">
        <v>4.96</v>
      </c>
      <c r="H118">
        <v>4.9800000000000004</v>
      </c>
      <c r="I118">
        <v>5.0199999999999996</v>
      </c>
      <c r="J118">
        <v>5</v>
      </c>
      <c r="K118">
        <v>5.0999999999999996</v>
      </c>
      <c r="M118" s="3"/>
      <c r="N118" s="17"/>
      <c r="O118" s="17"/>
      <c r="P118" s="17"/>
      <c r="Q118" s="17"/>
      <c r="R118" s="17"/>
      <c r="S118" s="17"/>
      <c r="T118" s="17"/>
      <c r="U118" s="17"/>
      <c r="V118" s="17"/>
      <c r="AE118" s="2"/>
      <c r="AQ118" s="2"/>
      <c r="AR118" s="2"/>
      <c r="AS118" s="2"/>
      <c r="AT118" s="2"/>
      <c r="AU118" s="2"/>
      <c r="AV118" s="2"/>
      <c r="AW118" s="2"/>
      <c r="AX118" s="2"/>
      <c r="AY118" s="2"/>
    </row>
    <row r="119" spans="1:51" x14ac:dyDescent="0.25">
      <c r="A119" s="24">
        <v>45604</v>
      </c>
      <c r="B119" s="1">
        <v>45604</v>
      </c>
      <c r="C119">
        <v>4.57</v>
      </c>
      <c r="D119">
        <v>4.67</v>
      </c>
      <c r="E119">
        <v>4.7699999999999996</v>
      </c>
      <c r="F119">
        <v>4.88</v>
      </c>
      <c r="G119">
        <v>4.97</v>
      </c>
      <c r="H119">
        <v>4.9800000000000004</v>
      </c>
      <c r="I119">
        <v>5.0199999999999996</v>
      </c>
      <c r="J119">
        <v>5</v>
      </c>
      <c r="K119">
        <v>5.16</v>
      </c>
      <c r="M119" s="3"/>
      <c r="N119" s="17"/>
      <c r="O119" s="17"/>
      <c r="P119" s="17"/>
      <c r="Q119" s="17"/>
      <c r="R119" s="17"/>
      <c r="S119" s="17"/>
      <c r="T119" s="17"/>
      <c r="U119" s="17"/>
      <c r="V119" s="17"/>
      <c r="AE119" s="2"/>
      <c r="AQ119" s="2"/>
      <c r="AR119" s="2"/>
      <c r="AS119" s="2"/>
      <c r="AT119" s="2"/>
      <c r="AU119" s="2"/>
      <c r="AV119" s="2"/>
      <c r="AW119" s="2"/>
      <c r="AX119" s="2"/>
      <c r="AY119" s="2"/>
    </row>
    <row r="120" spans="1:51" x14ac:dyDescent="0.25">
      <c r="A120" s="24">
        <v>45603</v>
      </c>
      <c r="B120" s="1">
        <v>45603</v>
      </c>
      <c r="C120">
        <v>4.7699999999999996</v>
      </c>
      <c r="D120">
        <v>4.88</v>
      </c>
      <c r="E120">
        <v>5.0199999999999996</v>
      </c>
      <c r="F120">
        <v>5.08</v>
      </c>
      <c r="G120">
        <v>5.0999999999999996</v>
      </c>
      <c r="H120">
        <v>5.13</v>
      </c>
      <c r="I120">
        <v>5.12</v>
      </c>
      <c r="J120">
        <v>5</v>
      </c>
      <c r="K120">
        <v>5.12</v>
      </c>
      <c r="M120" s="3"/>
      <c r="N120" s="17"/>
      <c r="O120" s="17"/>
      <c r="P120" s="17"/>
      <c r="Q120" s="17"/>
      <c r="R120" s="17"/>
      <c r="S120" s="17"/>
      <c r="T120" s="17"/>
      <c r="U120" s="17"/>
      <c r="V120" s="17"/>
      <c r="AE120" s="2"/>
      <c r="AQ120" s="2"/>
      <c r="AR120" s="2"/>
      <c r="AS120" s="2"/>
      <c r="AT120" s="2"/>
      <c r="AU120" s="2"/>
      <c r="AV120" s="2"/>
      <c r="AW120" s="2"/>
      <c r="AX120" s="2"/>
      <c r="AY120" s="2"/>
    </row>
    <row r="121" spans="1:51" x14ac:dyDescent="0.25">
      <c r="A121" s="24">
        <v>45602</v>
      </c>
      <c r="B121" s="1">
        <v>45602</v>
      </c>
      <c r="C121">
        <v>4.7699999999999996</v>
      </c>
      <c r="D121">
        <v>4.84</v>
      </c>
      <c r="E121">
        <v>4.93</v>
      </c>
      <c r="F121">
        <v>4.97</v>
      </c>
      <c r="G121">
        <v>5.0599999999999996</v>
      </c>
      <c r="H121">
        <v>5.09</v>
      </c>
      <c r="I121">
        <v>5.01</v>
      </c>
      <c r="J121">
        <v>5</v>
      </c>
      <c r="K121">
        <v>5.0999999999999996</v>
      </c>
      <c r="M121" s="3"/>
      <c r="N121" s="17"/>
      <c r="O121" s="17"/>
      <c r="P121" s="17"/>
      <c r="Q121" s="17"/>
      <c r="R121" s="17"/>
      <c r="S121" s="17"/>
      <c r="T121" s="17"/>
      <c r="U121" s="17"/>
      <c r="V121" s="17"/>
      <c r="AE121" s="2"/>
      <c r="AQ121" s="2"/>
      <c r="AR121" s="2"/>
      <c r="AS121" s="2"/>
      <c r="AT121" s="2"/>
      <c r="AU121" s="2"/>
      <c r="AV121" s="2"/>
      <c r="AW121" s="2"/>
      <c r="AX121" s="2"/>
      <c r="AY121" s="2"/>
    </row>
    <row r="122" spans="1:51" x14ac:dyDescent="0.25">
      <c r="A122" s="24">
        <v>45601</v>
      </c>
      <c r="B122" s="1">
        <v>45601</v>
      </c>
      <c r="C122">
        <v>5.65</v>
      </c>
      <c r="D122">
        <v>5.6</v>
      </c>
      <c r="E122">
        <v>5.6</v>
      </c>
      <c r="F122">
        <v>5.5</v>
      </c>
      <c r="G122">
        <v>5.33</v>
      </c>
      <c r="H122">
        <v>5.28</v>
      </c>
      <c r="I122">
        <v>5.05</v>
      </c>
      <c r="J122">
        <v>5</v>
      </c>
      <c r="K122">
        <v>5.08</v>
      </c>
      <c r="M122" s="3"/>
      <c r="N122" s="17"/>
      <c r="O122" s="17"/>
      <c r="P122" s="17"/>
      <c r="Q122" s="17"/>
      <c r="R122" s="17"/>
      <c r="S122" s="17"/>
      <c r="T122" s="17"/>
      <c r="U122" s="17"/>
      <c r="V122" s="17"/>
      <c r="AE122" s="2"/>
      <c r="AQ122" s="2"/>
      <c r="AR122" s="2"/>
      <c r="AS122" s="2"/>
      <c r="AT122" s="2"/>
      <c r="AU122" s="2"/>
      <c r="AV122" s="2"/>
      <c r="AW122" s="2"/>
      <c r="AX122" s="2"/>
      <c r="AY122" s="2"/>
    </row>
    <row r="123" spans="1:51" x14ac:dyDescent="0.25">
      <c r="A123" s="24">
        <v>45600</v>
      </c>
      <c r="B123" s="1">
        <v>45600</v>
      </c>
      <c r="C123">
        <v>6.2</v>
      </c>
      <c r="D123">
        <v>6.18</v>
      </c>
      <c r="E123">
        <v>5.95</v>
      </c>
      <c r="F123">
        <v>5.75</v>
      </c>
      <c r="G123">
        <v>5.25</v>
      </c>
      <c r="H123">
        <v>5.2</v>
      </c>
      <c r="I123">
        <v>5</v>
      </c>
      <c r="J123">
        <v>5</v>
      </c>
      <c r="K123">
        <v>5.12</v>
      </c>
      <c r="M123" s="3"/>
      <c r="N123" s="17"/>
      <c r="O123" s="17"/>
      <c r="P123" s="17"/>
      <c r="Q123" s="17"/>
      <c r="R123" s="17"/>
      <c r="S123" s="17"/>
      <c r="T123" s="17"/>
      <c r="U123" s="17"/>
      <c r="V123" s="17"/>
      <c r="AE123" s="2"/>
      <c r="AQ123" s="2"/>
      <c r="AR123" s="2"/>
      <c r="AS123" s="2"/>
      <c r="AT123" s="2"/>
      <c r="AU123" s="2"/>
      <c r="AV123" s="2"/>
      <c r="AW123" s="2"/>
      <c r="AX123" s="2"/>
      <c r="AY123" s="2"/>
    </row>
    <row r="124" spans="1:51" x14ac:dyDescent="0.25">
      <c r="A124" s="24">
        <v>45597</v>
      </c>
      <c r="B124" s="1">
        <v>45597</v>
      </c>
      <c r="C124">
        <v>3.97</v>
      </c>
      <c r="D124">
        <v>4.2</v>
      </c>
      <c r="E124">
        <v>4.3</v>
      </c>
      <c r="F124">
        <v>4.37</v>
      </c>
      <c r="G124">
        <v>4.47</v>
      </c>
      <c r="H124">
        <v>4.53</v>
      </c>
      <c r="I124">
        <v>4.8</v>
      </c>
      <c r="J124">
        <v>5</v>
      </c>
      <c r="K124">
        <v>5.08</v>
      </c>
      <c r="M124" s="3"/>
      <c r="N124" s="17"/>
      <c r="O124" s="17"/>
      <c r="P124" s="17"/>
      <c r="Q124" s="17"/>
      <c r="R124" s="17"/>
      <c r="S124" s="17"/>
      <c r="T124" s="17"/>
      <c r="U124" s="17"/>
      <c r="V124" s="17"/>
      <c r="AE124" s="2"/>
      <c r="AQ124" s="2"/>
      <c r="AR124" s="2"/>
      <c r="AS124" s="2"/>
      <c r="AT124" s="2"/>
      <c r="AU124" s="2"/>
      <c r="AV124" s="2"/>
      <c r="AW124" s="2"/>
      <c r="AX124" s="2"/>
      <c r="AY124" s="2"/>
    </row>
    <row r="125" spans="1:51" x14ac:dyDescent="0.25">
      <c r="A125" s="24">
        <v>45596</v>
      </c>
      <c r="B125" s="1">
        <v>45596</v>
      </c>
      <c r="C125">
        <v>3.57</v>
      </c>
      <c r="D125">
        <v>3.97</v>
      </c>
      <c r="E125">
        <v>4.18</v>
      </c>
      <c r="F125">
        <v>4.3</v>
      </c>
      <c r="G125">
        <v>4.43</v>
      </c>
      <c r="H125">
        <v>4.53</v>
      </c>
      <c r="I125">
        <v>4.8</v>
      </c>
      <c r="J125">
        <v>4.99</v>
      </c>
      <c r="K125">
        <v>5.09</v>
      </c>
      <c r="M125" s="3"/>
      <c r="N125" s="17"/>
      <c r="O125" s="17"/>
      <c r="P125" s="17"/>
      <c r="Q125" s="17"/>
      <c r="R125" s="17"/>
      <c r="S125" s="17"/>
      <c r="T125" s="17"/>
      <c r="U125" s="17"/>
      <c r="V125" s="17"/>
      <c r="AE125" s="2"/>
      <c r="AQ125" s="2"/>
      <c r="AR125" s="2"/>
      <c r="AS125" s="2"/>
      <c r="AT125" s="2"/>
      <c r="AU125" s="2"/>
      <c r="AV125" s="2"/>
      <c r="AW125" s="2"/>
      <c r="AX125" s="2"/>
      <c r="AY125" s="2"/>
    </row>
    <row r="126" spans="1:51" x14ac:dyDescent="0.25">
      <c r="A126" s="24">
        <v>45595</v>
      </c>
      <c r="B126" s="1">
        <v>45595</v>
      </c>
      <c r="C126">
        <v>3.74</v>
      </c>
      <c r="D126">
        <v>4.17</v>
      </c>
      <c r="E126">
        <v>4.34</v>
      </c>
      <c r="F126">
        <v>4.46</v>
      </c>
      <c r="G126">
        <v>4.59</v>
      </c>
      <c r="H126">
        <v>4.6399999999999997</v>
      </c>
      <c r="I126">
        <v>4.8</v>
      </c>
      <c r="J126">
        <v>4.9800000000000004</v>
      </c>
      <c r="K126">
        <v>5.07</v>
      </c>
      <c r="M126" s="3"/>
      <c r="N126" s="17"/>
      <c r="O126" s="17"/>
      <c r="P126" s="17"/>
      <c r="Q126" s="17"/>
      <c r="R126" s="17"/>
      <c r="S126" s="17"/>
      <c r="T126" s="17"/>
      <c r="U126" s="17"/>
      <c r="V126" s="17"/>
      <c r="AE126" s="2"/>
      <c r="AQ126" s="2"/>
      <c r="AR126" s="2"/>
      <c r="AS126" s="2"/>
      <c r="AT126" s="2"/>
      <c r="AU126" s="2"/>
      <c r="AV126" s="2"/>
      <c r="AW126" s="2"/>
      <c r="AX126" s="2"/>
      <c r="AY126" s="2"/>
    </row>
    <row r="127" spans="1:51" x14ac:dyDescent="0.25">
      <c r="A127" s="24">
        <v>45594</v>
      </c>
      <c r="B127" s="1">
        <v>45594</v>
      </c>
      <c r="C127">
        <v>4.6399999999999997</v>
      </c>
      <c r="D127">
        <v>4.71</v>
      </c>
      <c r="E127">
        <v>4.71</v>
      </c>
      <c r="F127">
        <v>4.7</v>
      </c>
      <c r="G127">
        <v>4.7300000000000004</v>
      </c>
      <c r="H127">
        <v>4.7300000000000004</v>
      </c>
      <c r="I127">
        <v>4.8099999999999996</v>
      </c>
      <c r="J127">
        <v>4.9800000000000004</v>
      </c>
      <c r="K127">
        <v>5.07</v>
      </c>
      <c r="M127" s="3"/>
      <c r="N127" s="17"/>
      <c r="O127" s="17"/>
      <c r="P127" s="17"/>
      <c r="Q127" s="17"/>
      <c r="R127" s="17"/>
      <c r="S127" s="17"/>
      <c r="T127" s="17"/>
      <c r="U127" s="17"/>
      <c r="V127" s="17"/>
      <c r="AE127" s="2"/>
      <c r="AQ127" s="2"/>
      <c r="AR127" s="2"/>
      <c r="AS127" s="2"/>
      <c r="AT127" s="2"/>
      <c r="AU127" s="2"/>
      <c r="AV127" s="2"/>
      <c r="AW127" s="2"/>
      <c r="AX127" s="2"/>
      <c r="AY127" s="2"/>
    </row>
    <row r="128" spans="1:51" x14ac:dyDescent="0.25">
      <c r="A128" s="24">
        <v>45593</v>
      </c>
      <c r="B128" s="1">
        <v>45593</v>
      </c>
      <c r="C128">
        <v>4.67</v>
      </c>
      <c r="D128">
        <v>4.72</v>
      </c>
      <c r="E128">
        <v>4.7</v>
      </c>
      <c r="F128">
        <v>4.7</v>
      </c>
      <c r="G128">
        <v>4.7</v>
      </c>
      <c r="H128">
        <v>4.72</v>
      </c>
      <c r="I128">
        <v>4.82</v>
      </c>
      <c r="J128">
        <v>4.9800000000000004</v>
      </c>
      <c r="K128">
        <v>5.08</v>
      </c>
      <c r="M128" s="3"/>
      <c r="N128" s="17"/>
      <c r="O128" s="17"/>
      <c r="P128" s="17"/>
      <c r="Q128" s="17"/>
      <c r="R128" s="17"/>
      <c r="S128" s="17"/>
      <c r="T128" s="17"/>
      <c r="U128" s="17"/>
      <c r="V128" s="17"/>
      <c r="AE128" s="2"/>
      <c r="AQ128" s="2"/>
      <c r="AR128" s="2"/>
      <c r="AS128" s="2"/>
      <c r="AT128" s="2"/>
      <c r="AU128" s="2"/>
      <c r="AV128" s="2"/>
      <c r="AW128" s="2"/>
      <c r="AX128" s="2"/>
      <c r="AY128" s="2"/>
    </row>
    <row r="129" spans="1:51" x14ac:dyDescent="0.25">
      <c r="A129" s="24">
        <v>45590</v>
      </c>
      <c r="B129" s="1">
        <v>45590</v>
      </c>
      <c r="C129">
        <v>3.92</v>
      </c>
      <c r="D129">
        <v>4.03</v>
      </c>
      <c r="E129">
        <v>4.22</v>
      </c>
      <c r="F129">
        <v>4.3</v>
      </c>
      <c r="G129">
        <v>4.37</v>
      </c>
      <c r="H129">
        <v>4.42</v>
      </c>
      <c r="I129">
        <v>4.7699999999999996</v>
      </c>
      <c r="J129">
        <v>4.9400000000000004</v>
      </c>
      <c r="K129">
        <v>5.04</v>
      </c>
      <c r="M129" s="3"/>
      <c r="N129" s="17"/>
      <c r="O129" s="17"/>
      <c r="P129" s="17"/>
      <c r="Q129" s="17"/>
      <c r="R129" s="17"/>
      <c r="S129" s="17"/>
      <c r="T129" s="17"/>
      <c r="U129" s="17"/>
      <c r="V129" s="17"/>
      <c r="AE129" s="2"/>
      <c r="AQ129" s="2"/>
      <c r="AR129" s="2"/>
      <c r="AS129" s="2"/>
      <c r="AT129" s="2"/>
      <c r="AU129" s="2"/>
      <c r="AV129" s="2"/>
      <c r="AW129" s="2"/>
      <c r="AX129" s="2"/>
      <c r="AY129" s="2"/>
    </row>
    <row r="130" spans="1:51" x14ac:dyDescent="0.25">
      <c r="A130" s="24">
        <v>45589</v>
      </c>
      <c r="B130" s="1">
        <v>45589</v>
      </c>
      <c r="C130">
        <v>3.78</v>
      </c>
      <c r="D130">
        <v>4.0199999999999996</v>
      </c>
      <c r="E130">
        <v>4.1900000000000004</v>
      </c>
      <c r="F130">
        <v>4.3</v>
      </c>
      <c r="G130">
        <v>4.32</v>
      </c>
      <c r="H130">
        <v>4.3600000000000003</v>
      </c>
      <c r="I130">
        <v>4.82</v>
      </c>
      <c r="J130">
        <v>5</v>
      </c>
      <c r="K130">
        <v>5.0999999999999996</v>
      </c>
      <c r="M130" s="3"/>
      <c r="N130" s="17"/>
      <c r="O130" s="17"/>
      <c r="P130" s="17"/>
      <c r="Q130" s="17"/>
      <c r="R130" s="17"/>
      <c r="S130" s="17"/>
      <c r="T130" s="17"/>
      <c r="U130" s="17"/>
      <c r="V130" s="17"/>
      <c r="AE130" s="2"/>
      <c r="AQ130" s="2"/>
      <c r="AR130" s="2"/>
      <c r="AS130" s="2"/>
      <c r="AT130" s="2"/>
      <c r="AU130" s="2"/>
      <c r="AV130" s="2"/>
      <c r="AW130" s="2"/>
      <c r="AX130" s="2"/>
      <c r="AY130" s="2"/>
    </row>
    <row r="131" spans="1:51" x14ac:dyDescent="0.25">
      <c r="A131" s="24">
        <v>45588</v>
      </c>
      <c r="B131" s="1">
        <v>45588</v>
      </c>
      <c r="C131">
        <v>3.83</v>
      </c>
      <c r="D131">
        <v>3.99</v>
      </c>
      <c r="E131">
        <v>4.1399999999999997</v>
      </c>
      <c r="F131">
        <v>4.26</v>
      </c>
      <c r="G131">
        <v>4.33</v>
      </c>
      <c r="H131">
        <v>4.37</v>
      </c>
      <c r="I131">
        <v>4.79</v>
      </c>
      <c r="J131">
        <v>4.95</v>
      </c>
      <c r="K131">
        <v>5.07</v>
      </c>
      <c r="M131" s="3"/>
      <c r="N131" s="17"/>
      <c r="O131" s="17"/>
      <c r="P131" s="17"/>
      <c r="Q131" s="17"/>
      <c r="R131" s="17"/>
      <c r="S131" s="17"/>
      <c r="T131" s="17"/>
      <c r="U131" s="17"/>
      <c r="V131" s="17"/>
      <c r="AE131" s="2"/>
      <c r="AQ131" s="2"/>
      <c r="AR131" s="2"/>
      <c r="AS131" s="2"/>
      <c r="AT131" s="2"/>
      <c r="AU131" s="2"/>
      <c r="AV131" s="2"/>
      <c r="AW131" s="2"/>
      <c r="AX131" s="2"/>
      <c r="AY131" s="2"/>
    </row>
    <row r="132" spans="1:51" x14ac:dyDescent="0.25">
      <c r="A132" s="24">
        <v>45587</v>
      </c>
      <c r="B132" s="1">
        <v>45587</v>
      </c>
      <c r="C132">
        <v>4</v>
      </c>
      <c r="D132">
        <v>4.08</v>
      </c>
      <c r="E132">
        <v>4.1500000000000004</v>
      </c>
      <c r="F132">
        <v>4.2300000000000004</v>
      </c>
      <c r="G132">
        <v>4.3</v>
      </c>
      <c r="H132">
        <v>4.37</v>
      </c>
      <c r="I132">
        <v>4.82</v>
      </c>
      <c r="J132">
        <v>4.97</v>
      </c>
      <c r="K132">
        <v>5.09</v>
      </c>
      <c r="M132" s="3"/>
      <c r="N132" s="17"/>
      <c r="O132" s="17"/>
      <c r="P132" s="17"/>
      <c r="Q132" s="17"/>
      <c r="R132" s="17"/>
      <c r="S132" s="17"/>
      <c r="T132" s="17"/>
      <c r="U132" s="17"/>
      <c r="V132" s="17"/>
      <c r="AE132" s="2"/>
      <c r="AQ132" s="2"/>
      <c r="AR132" s="2"/>
      <c r="AS132" s="2"/>
      <c r="AT132" s="2"/>
      <c r="AU132" s="2"/>
      <c r="AV132" s="2"/>
      <c r="AW132" s="2"/>
      <c r="AX132" s="2"/>
      <c r="AY132" s="2"/>
    </row>
    <row r="133" spans="1:51" x14ac:dyDescent="0.25">
      <c r="A133" s="24">
        <v>45586</v>
      </c>
      <c r="B133" s="1">
        <v>45586</v>
      </c>
      <c r="C133">
        <v>3.9</v>
      </c>
      <c r="D133">
        <v>4.01</v>
      </c>
      <c r="E133">
        <v>4.07</v>
      </c>
      <c r="F133">
        <v>4.0999999999999996</v>
      </c>
      <c r="G133">
        <v>4.17</v>
      </c>
      <c r="H133">
        <v>4.2699999999999996</v>
      </c>
      <c r="I133">
        <v>4.79</v>
      </c>
      <c r="J133">
        <v>4.97</v>
      </c>
      <c r="K133">
        <v>5.0999999999999996</v>
      </c>
      <c r="M133" s="3"/>
      <c r="N133" s="17"/>
      <c r="O133" s="17"/>
      <c r="P133" s="17"/>
      <c r="Q133" s="17"/>
      <c r="R133" s="17"/>
      <c r="S133" s="17"/>
      <c r="T133" s="17"/>
      <c r="U133" s="17"/>
      <c r="V133" s="17"/>
      <c r="AE133" s="2"/>
      <c r="AQ133" s="2"/>
      <c r="AR133" s="2"/>
      <c r="AS133" s="2"/>
      <c r="AT133" s="2"/>
      <c r="AU133" s="2"/>
      <c r="AV133" s="2"/>
      <c r="AW133" s="2"/>
      <c r="AX133" s="2"/>
      <c r="AY133" s="2"/>
    </row>
    <row r="134" spans="1:51" x14ac:dyDescent="0.25">
      <c r="A134" s="24">
        <v>45583</v>
      </c>
      <c r="B134" s="1">
        <v>45583</v>
      </c>
      <c r="C134">
        <v>2.73</v>
      </c>
      <c r="D134">
        <v>2.96</v>
      </c>
      <c r="E134">
        <v>3.24</v>
      </c>
      <c r="F134">
        <v>3.67</v>
      </c>
      <c r="G134">
        <v>3.9</v>
      </c>
      <c r="H134">
        <v>4.07</v>
      </c>
      <c r="I134">
        <v>4.71</v>
      </c>
      <c r="J134">
        <v>4.92</v>
      </c>
      <c r="K134">
        <v>5.03</v>
      </c>
      <c r="M134" s="3"/>
      <c r="N134" s="17"/>
      <c r="O134" s="17"/>
      <c r="P134" s="17"/>
      <c r="Q134" s="17"/>
      <c r="R134" s="17"/>
      <c r="S134" s="17"/>
      <c r="T134" s="17"/>
      <c r="U134" s="17"/>
      <c r="V134" s="17"/>
      <c r="AE134" s="2"/>
      <c r="AQ134" s="2"/>
      <c r="AR134" s="2"/>
      <c r="AS134" s="2"/>
      <c r="AT134" s="2"/>
      <c r="AU134" s="2"/>
      <c r="AV134" s="2"/>
      <c r="AW134" s="2"/>
      <c r="AX134" s="2"/>
      <c r="AY134" s="2"/>
    </row>
    <row r="135" spans="1:51" x14ac:dyDescent="0.25">
      <c r="A135" s="24">
        <v>45582</v>
      </c>
      <c r="B135" s="1">
        <v>45582</v>
      </c>
      <c r="C135">
        <v>2.74</v>
      </c>
      <c r="D135">
        <v>2.98</v>
      </c>
      <c r="E135">
        <v>3.2</v>
      </c>
      <c r="F135">
        <v>3.62</v>
      </c>
      <c r="G135">
        <v>3.86</v>
      </c>
      <c r="H135">
        <v>4.12</v>
      </c>
      <c r="I135">
        <v>4.74</v>
      </c>
      <c r="J135">
        <v>4.95</v>
      </c>
      <c r="K135">
        <v>5.05</v>
      </c>
      <c r="M135" s="3"/>
      <c r="N135" s="17"/>
      <c r="O135" s="17"/>
      <c r="P135" s="17"/>
      <c r="Q135" s="17"/>
      <c r="R135" s="17"/>
      <c r="S135" s="17"/>
      <c r="T135" s="17"/>
      <c r="U135" s="17"/>
      <c r="V135" s="17"/>
      <c r="AE135" s="2"/>
      <c r="AQ135" s="2"/>
      <c r="AR135" s="2"/>
      <c r="AS135" s="2"/>
      <c r="AT135" s="2"/>
      <c r="AU135" s="2"/>
      <c r="AV135" s="2"/>
      <c r="AW135" s="2"/>
      <c r="AX135" s="2"/>
      <c r="AY135" s="2"/>
    </row>
    <row r="136" spans="1:51" x14ac:dyDescent="0.25">
      <c r="A136" s="24">
        <v>45581</v>
      </c>
      <c r="B136" s="1">
        <v>45581</v>
      </c>
      <c r="C136">
        <v>2.8</v>
      </c>
      <c r="D136">
        <v>3.03</v>
      </c>
      <c r="E136">
        <v>3.24</v>
      </c>
      <c r="F136">
        <v>3.67</v>
      </c>
      <c r="G136">
        <v>3.89</v>
      </c>
      <c r="H136">
        <v>4.1100000000000003</v>
      </c>
      <c r="I136">
        <v>4.7300000000000004</v>
      </c>
      <c r="J136">
        <v>4.93</v>
      </c>
      <c r="K136">
        <v>5.05</v>
      </c>
      <c r="M136" s="3"/>
      <c r="N136" s="17"/>
      <c r="O136" s="17"/>
      <c r="P136" s="17"/>
      <c r="Q136" s="17"/>
      <c r="R136" s="17"/>
      <c r="S136" s="17"/>
      <c r="T136" s="17"/>
      <c r="U136" s="17"/>
      <c r="V136" s="17"/>
      <c r="AE136" s="2"/>
      <c r="AQ136" s="2"/>
      <c r="AR136" s="2"/>
      <c r="AS136" s="2"/>
      <c r="AT136" s="2"/>
      <c r="AU136" s="2"/>
      <c r="AV136" s="2"/>
      <c r="AW136" s="2"/>
      <c r="AX136" s="2"/>
      <c r="AY136" s="2"/>
    </row>
    <row r="137" spans="1:51" x14ac:dyDescent="0.25">
      <c r="A137" s="24">
        <v>45580</v>
      </c>
      <c r="B137" s="1">
        <v>45580</v>
      </c>
      <c r="C137">
        <v>2.95</v>
      </c>
      <c r="D137">
        <v>3.18</v>
      </c>
      <c r="E137">
        <v>3.43</v>
      </c>
      <c r="F137">
        <v>3.77</v>
      </c>
      <c r="G137">
        <v>3.95</v>
      </c>
      <c r="H137">
        <v>4.13</v>
      </c>
      <c r="I137">
        <v>4.7699999999999996</v>
      </c>
      <c r="J137">
        <v>4.9400000000000004</v>
      </c>
      <c r="K137">
        <v>5.07</v>
      </c>
      <c r="M137" s="3"/>
      <c r="N137" s="17"/>
      <c r="O137" s="17"/>
      <c r="P137" s="17"/>
      <c r="Q137" s="17"/>
      <c r="R137" s="17"/>
      <c r="S137" s="17"/>
      <c r="T137" s="17"/>
      <c r="U137" s="17"/>
      <c r="V137" s="17"/>
      <c r="AE137" s="2"/>
      <c r="AQ137" s="2"/>
      <c r="AR137" s="2"/>
      <c r="AS137" s="2"/>
      <c r="AT137" s="2"/>
      <c r="AU137" s="2"/>
      <c r="AV137" s="2"/>
      <c r="AW137" s="2"/>
      <c r="AX137" s="2"/>
      <c r="AY137" s="2"/>
    </row>
    <row r="138" spans="1:51" x14ac:dyDescent="0.25">
      <c r="A138" s="24">
        <v>45579</v>
      </c>
      <c r="B138" s="1">
        <v>45579</v>
      </c>
      <c r="C138">
        <v>3.12</v>
      </c>
      <c r="D138">
        <v>3.3</v>
      </c>
      <c r="E138">
        <v>3.53</v>
      </c>
      <c r="F138">
        <v>3.83</v>
      </c>
      <c r="G138">
        <v>4.05</v>
      </c>
      <c r="H138">
        <v>4.17</v>
      </c>
      <c r="I138">
        <v>4.78</v>
      </c>
      <c r="J138">
        <v>4.9400000000000004</v>
      </c>
      <c r="K138">
        <v>5.09</v>
      </c>
      <c r="M138" s="3"/>
      <c r="N138" s="17"/>
      <c r="O138" s="17"/>
      <c r="P138" s="17"/>
      <c r="Q138" s="17"/>
      <c r="R138" s="17"/>
      <c r="S138" s="17"/>
      <c r="T138" s="17"/>
      <c r="U138" s="17"/>
      <c r="V138" s="17"/>
      <c r="AE138" s="2"/>
      <c r="AQ138" s="2"/>
      <c r="AR138" s="2"/>
      <c r="AS138" s="2"/>
      <c r="AT138" s="2"/>
      <c r="AU138" s="2"/>
      <c r="AV138" s="2"/>
      <c r="AW138" s="2"/>
      <c r="AX138" s="2"/>
      <c r="AY138" s="2"/>
    </row>
    <row r="139" spans="1:51" x14ac:dyDescent="0.25">
      <c r="A139" s="24">
        <v>45576</v>
      </c>
      <c r="B139" s="1">
        <v>45576</v>
      </c>
      <c r="C139">
        <v>3.22</v>
      </c>
      <c r="D139">
        <v>3.45</v>
      </c>
      <c r="E139">
        <v>3.62</v>
      </c>
      <c r="F139">
        <v>3.9</v>
      </c>
      <c r="G139">
        <v>4.08</v>
      </c>
      <c r="H139">
        <v>4.2</v>
      </c>
      <c r="I139">
        <v>4.78</v>
      </c>
      <c r="J139">
        <v>4.9800000000000004</v>
      </c>
      <c r="K139">
        <v>5.12</v>
      </c>
      <c r="M139" s="3"/>
      <c r="N139" s="17"/>
      <c r="O139" s="17"/>
      <c r="P139" s="17"/>
      <c r="Q139" s="17"/>
      <c r="R139" s="17"/>
      <c r="S139" s="17"/>
      <c r="T139" s="17"/>
      <c r="U139" s="17"/>
      <c r="V139" s="17"/>
      <c r="AE139" s="2"/>
      <c r="AQ139" s="2"/>
      <c r="AR139" s="2"/>
      <c r="AS139" s="2"/>
      <c r="AT139" s="2"/>
      <c r="AU139" s="2"/>
      <c r="AV139" s="2"/>
      <c r="AW139" s="2"/>
      <c r="AX139" s="2"/>
      <c r="AY139" s="2"/>
    </row>
    <row r="140" spans="1:51" x14ac:dyDescent="0.25">
      <c r="A140" s="24">
        <v>45575</v>
      </c>
      <c r="B140" s="1">
        <v>45575</v>
      </c>
      <c r="C140">
        <v>3.31</v>
      </c>
      <c r="D140">
        <v>3.5</v>
      </c>
      <c r="E140">
        <v>3.7</v>
      </c>
      <c r="F140">
        <v>3.97</v>
      </c>
      <c r="G140">
        <v>4.13</v>
      </c>
      <c r="H140">
        <v>4.2699999999999996</v>
      </c>
      <c r="I140">
        <v>4.76</v>
      </c>
      <c r="J140">
        <v>4.95</v>
      </c>
      <c r="K140">
        <v>5.0999999999999996</v>
      </c>
      <c r="M140" s="3"/>
      <c r="N140" s="17"/>
      <c r="O140" s="17"/>
      <c r="P140" s="17"/>
      <c r="Q140" s="17"/>
      <c r="R140" s="17"/>
      <c r="S140" s="17"/>
      <c r="T140" s="17"/>
      <c r="U140" s="17"/>
      <c r="V140" s="17"/>
      <c r="AE140" s="2"/>
      <c r="AQ140" s="2"/>
      <c r="AR140" s="2"/>
      <c r="AS140" s="2"/>
      <c r="AT140" s="2"/>
      <c r="AU140" s="2"/>
      <c r="AV140" s="2"/>
      <c r="AW140" s="2"/>
      <c r="AX140" s="2"/>
      <c r="AY140" s="2"/>
    </row>
    <row r="141" spans="1:51" x14ac:dyDescent="0.25">
      <c r="A141" s="24">
        <v>45574</v>
      </c>
      <c r="B141" s="1">
        <v>45574</v>
      </c>
      <c r="C141">
        <v>3.37</v>
      </c>
      <c r="D141">
        <v>3.54</v>
      </c>
      <c r="E141">
        <v>3.76</v>
      </c>
      <c r="F141">
        <v>4</v>
      </c>
      <c r="G141">
        <v>4.13</v>
      </c>
      <c r="H141">
        <v>4.29</v>
      </c>
      <c r="I141">
        <v>4.7699999999999996</v>
      </c>
      <c r="J141">
        <v>4.95</v>
      </c>
      <c r="K141">
        <v>5.0999999999999996</v>
      </c>
      <c r="M141" s="3"/>
      <c r="N141" s="17"/>
      <c r="O141" s="17"/>
      <c r="P141" s="17"/>
      <c r="Q141" s="17"/>
      <c r="R141" s="17"/>
      <c r="S141" s="17"/>
      <c r="T141" s="17"/>
      <c r="U141" s="17"/>
      <c r="V141" s="17"/>
      <c r="AE141" s="2"/>
      <c r="AQ141" s="2"/>
      <c r="AR141" s="2"/>
      <c r="AS141" s="2"/>
      <c r="AT141" s="2"/>
      <c r="AU141" s="2"/>
      <c r="AV141" s="2"/>
      <c r="AW141" s="2"/>
      <c r="AX141" s="2"/>
      <c r="AY141" s="2"/>
    </row>
    <row r="142" spans="1:51" x14ac:dyDescent="0.25">
      <c r="A142" s="24">
        <v>45573</v>
      </c>
      <c r="B142" s="1">
        <v>45573</v>
      </c>
      <c r="C142">
        <v>3.48</v>
      </c>
      <c r="D142">
        <v>3.66</v>
      </c>
      <c r="E142">
        <v>3.83</v>
      </c>
      <c r="F142">
        <v>4.04</v>
      </c>
      <c r="G142">
        <v>4.2</v>
      </c>
      <c r="H142">
        <v>4.3099999999999996</v>
      </c>
      <c r="I142">
        <v>4.7699999999999996</v>
      </c>
      <c r="J142">
        <v>4.97</v>
      </c>
      <c r="K142">
        <v>5.17</v>
      </c>
      <c r="M142" s="3"/>
      <c r="N142" s="17"/>
      <c r="O142" s="17"/>
      <c r="P142" s="17"/>
      <c r="Q142" s="17"/>
      <c r="R142" s="17"/>
      <c r="S142" s="17"/>
      <c r="T142" s="17"/>
      <c r="U142" s="17"/>
      <c r="V142" s="17"/>
      <c r="AE142" s="2"/>
      <c r="AQ142" s="2"/>
      <c r="AR142" s="2"/>
      <c r="AS142" s="2"/>
      <c r="AT142" s="2"/>
      <c r="AU142" s="2"/>
      <c r="AV142" s="2"/>
      <c r="AW142" s="2"/>
      <c r="AX142" s="2"/>
      <c r="AY142" s="2"/>
    </row>
    <row r="143" spans="1:51" x14ac:dyDescent="0.25">
      <c r="A143" s="24">
        <v>45572</v>
      </c>
      <c r="B143" s="1">
        <v>45572</v>
      </c>
      <c r="C143">
        <v>3.56</v>
      </c>
      <c r="D143">
        <v>3.7</v>
      </c>
      <c r="E143">
        <v>3.84</v>
      </c>
      <c r="F143">
        <v>4.04</v>
      </c>
      <c r="G143">
        <v>4.2</v>
      </c>
      <c r="H143">
        <v>4.32</v>
      </c>
      <c r="I143">
        <v>4.8600000000000003</v>
      </c>
      <c r="J143">
        <v>5.05</v>
      </c>
      <c r="K143">
        <v>5.23</v>
      </c>
      <c r="M143" s="3"/>
      <c r="N143" s="17"/>
      <c r="O143" s="17"/>
      <c r="P143" s="17"/>
      <c r="Q143" s="17"/>
      <c r="R143" s="17"/>
      <c r="S143" s="17"/>
      <c r="T143" s="17"/>
      <c r="U143" s="17"/>
      <c r="V143" s="17"/>
      <c r="AE143" s="2"/>
      <c r="AQ143" s="2"/>
      <c r="AR143" s="2"/>
      <c r="AS143" s="2"/>
      <c r="AT143" s="2"/>
      <c r="AU143" s="2"/>
      <c r="AV143" s="2"/>
      <c r="AW143" s="2"/>
      <c r="AX143" s="2"/>
      <c r="AY143" s="2"/>
    </row>
    <row r="144" spans="1:51" x14ac:dyDescent="0.25">
      <c r="A144" s="24">
        <v>45569</v>
      </c>
      <c r="B144" s="1">
        <v>45569</v>
      </c>
      <c r="C144">
        <v>3.72</v>
      </c>
      <c r="D144">
        <v>3.9</v>
      </c>
      <c r="E144">
        <v>4.0199999999999996</v>
      </c>
      <c r="F144">
        <v>4.17</v>
      </c>
      <c r="G144">
        <v>4.32</v>
      </c>
      <c r="H144">
        <v>4.37</v>
      </c>
      <c r="I144">
        <v>4.82</v>
      </c>
      <c r="J144">
        <v>5.0199999999999996</v>
      </c>
      <c r="K144">
        <v>5.16</v>
      </c>
      <c r="M144" s="3"/>
      <c r="N144" s="17"/>
      <c r="O144" s="17"/>
      <c r="P144" s="17"/>
      <c r="Q144" s="17"/>
      <c r="R144" s="17"/>
      <c r="S144" s="17"/>
      <c r="T144" s="17"/>
      <c r="U144" s="17"/>
      <c r="V144" s="17"/>
      <c r="AE144" s="2"/>
      <c r="AQ144" s="2"/>
      <c r="AR144" s="2"/>
      <c r="AS144" s="2"/>
      <c r="AT144" s="2"/>
      <c r="AU144" s="2"/>
      <c r="AV144" s="2"/>
      <c r="AW144" s="2"/>
      <c r="AX144" s="2"/>
      <c r="AY144" s="2"/>
    </row>
    <row r="145" spans="1:51" x14ac:dyDescent="0.25">
      <c r="A145" s="24">
        <v>45568</v>
      </c>
      <c r="B145" s="1">
        <v>45568</v>
      </c>
      <c r="C145">
        <v>4</v>
      </c>
      <c r="D145">
        <v>4.0999999999999996</v>
      </c>
      <c r="E145">
        <v>4.2</v>
      </c>
      <c r="F145">
        <v>4.25</v>
      </c>
      <c r="G145">
        <v>4.3499999999999996</v>
      </c>
      <c r="H145">
        <v>4.38</v>
      </c>
      <c r="I145">
        <v>4.83</v>
      </c>
      <c r="J145">
        <v>5.0199999999999996</v>
      </c>
      <c r="K145">
        <v>5.16</v>
      </c>
      <c r="M145" s="3"/>
      <c r="N145" s="17"/>
      <c r="O145" s="17"/>
      <c r="P145" s="17"/>
      <c r="Q145" s="17"/>
      <c r="R145" s="17"/>
      <c r="S145" s="17"/>
      <c r="T145" s="17"/>
      <c r="U145" s="17"/>
      <c r="V145" s="17"/>
      <c r="AE145" s="2"/>
      <c r="AQ145" s="2"/>
      <c r="AR145" s="2"/>
      <c r="AS145" s="2"/>
      <c r="AT145" s="2"/>
      <c r="AU145" s="2"/>
      <c r="AV145" s="2"/>
      <c r="AW145" s="2"/>
      <c r="AX145" s="2"/>
      <c r="AY145" s="2"/>
    </row>
    <row r="146" spans="1:51" x14ac:dyDescent="0.25">
      <c r="A146" s="24">
        <v>45567</v>
      </c>
      <c r="B146" s="1">
        <v>45567</v>
      </c>
      <c r="C146">
        <v>4.1399999999999997</v>
      </c>
      <c r="D146">
        <v>4.29</v>
      </c>
      <c r="E146">
        <v>4.3099999999999996</v>
      </c>
      <c r="F146">
        <v>4.3</v>
      </c>
      <c r="G146">
        <v>4.34</v>
      </c>
      <c r="H146">
        <v>4.37</v>
      </c>
      <c r="I146">
        <v>4.84</v>
      </c>
      <c r="J146">
        <v>5.08</v>
      </c>
      <c r="K146">
        <v>5.22</v>
      </c>
      <c r="M146" s="3"/>
      <c r="N146" s="17"/>
      <c r="O146" s="17"/>
      <c r="P146" s="17"/>
      <c r="Q146" s="17"/>
      <c r="R146" s="17"/>
      <c r="S146" s="17"/>
      <c r="T146" s="17"/>
      <c r="U146" s="17"/>
      <c r="V146" s="17"/>
      <c r="AE146" s="2"/>
      <c r="AQ146" s="2"/>
      <c r="AR146" s="2"/>
      <c r="AS146" s="2"/>
      <c r="AT146" s="2"/>
      <c r="AU146" s="2"/>
      <c r="AV146" s="2"/>
      <c r="AW146" s="2"/>
      <c r="AX146" s="2"/>
      <c r="AY146" s="2"/>
    </row>
    <row r="147" spans="1:51" x14ac:dyDescent="0.25">
      <c r="A147" s="24">
        <v>45566</v>
      </c>
      <c r="B147" s="1">
        <v>45566</v>
      </c>
      <c r="C147">
        <v>4.3</v>
      </c>
      <c r="D147">
        <v>4.3600000000000003</v>
      </c>
      <c r="E147">
        <v>4.3600000000000003</v>
      </c>
      <c r="F147">
        <v>4.33</v>
      </c>
      <c r="G147">
        <v>4.37</v>
      </c>
      <c r="H147">
        <v>4.3899999999999997</v>
      </c>
      <c r="I147">
        <v>4.83</v>
      </c>
      <c r="J147">
        <v>5.0999999999999996</v>
      </c>
      <c r="K147">
        <v>5.23</v>
      </c>
      <c r="M147" s="3"/>
      <c r="N147" s="17"/>
      <c r="O147" s="17"/>
      <c r="P147" s="17"/>
      <c r="Q147" s="17"/>
      <c r="R147" s="17"/>
      <c r="S147" s="17"/>
      <c r="T147" s="17"/>
      <c r="U147" s="17"/>
      <c r="V147" s="17"/>
      <c r="AE147" s="2"/>
      <c r="AQ147" s="2"/>
      <c r="AR147" s="2"/>
      <c r="AS147" s="2"/>
      <c r="AT147" s="2"/>
      <c r="AU147" s="2"/>
      <c r="AV147" s="2"/>
      <c r="AW147" s="2"/>
      <c r="AX147" s="2"/>
      <c r="AY147" s="2"/>
    </row>
    <row r="148" spans="1:51" x14ac:dyDescent="0.25">
      <c r="A148" s="24">
        <v>45565</v>
      </c>
      <c r="B148" s="1">
        <v>45565</v>
      </c>
      <c r="C148">
        <v>4.47</v>
      </c>
      <c r="D148">
        <v>4.4800000000000004</v>
      </c>
      <c r="E148">
        <v>4.45</v>
      </c>
      <c r="F148">
        <v>4.37</v>
      </c>
      <c r="G148">
        <v>4.4000000000000004</v>
      </c>
      <c r="H148">
        <v>4.43</v>
      </c>
      <c r="I148">
        <v>4.8499999999999996</v>
      </c>
      <c r="J148">
        <v>5.16</v>
      </c>
      <c r="K148">
        <v>5.34</v>
      </c>
      <c r="M148" s="3"/>
      <c r="N148" s="17"/>
      <c r="O148" s="17"/>
      <c r="P148" s="17"/>
      <c r="Q148" s="17"/>
      <c r="R148" s="17"/>
      <c r="S148" s="17"/>
      <c r="T148" s="17"/>
      <c r="U148" s="17"/>
      <c r="V148" s="17"/>
      <c r="AE148" s="2"/>
      <c r="AQ148" s="2"/>
      <c r="AR148" s="2"/>
      <c r="AS148" s="2"/>
      <c r="AT148" s="2"/>
      <c r="AU148" s="2"/>
      <c r="AV148" s="2"/>
      <c r="AW148" s="2"/>
      <c r="AX148" s="2"/>
      <c r="AY148" s="2"/>
    </row>
    <row r="149" spans="1:51" x14ac:dyDescent="0.25">
      <c r="A149" s="24">
        <v>45562</v>
      </c>
      <c r="B149" s="1">
        <v>45562</v>
      </c>
      <c r="C149">
        <v>4.24</v>
      </c>
      <c r="D149">
        <v>4.38</v>
      </c>
      <c r="E149">
        <v>4.38</v>
      </c>
      <c r="F149">
        <v>4.3600000000000003</v>
      </c>
      <c r="G149">
        <v>4.34</v>
      </c>
      <c r="H149">
        <v>4.3600000000000003</v>
      </c>
      <c r="I149">
        <v>4.84</v>
      </c>
      <c r="J149">
        <v>5.13</v>
      </c>
      <c r="K149">
        <v>5.3</v>
      </c>
      <c r="M149" s="3"/>
      <c r="N149" s="17"/>
      <c r="O149" s="17"/>
      <c r="P149" s="17"/>
      <c r="Q149" s="17"/>
      <c r="R149" s="17"/>
      <c r="S149" s="17"/>
      <c r="T149" s="17"/>
      <c r="U149" s="17"/>
      <c r="V149" s="17"/>
      <c r="AE149" s="2"/>
      <c r="AQ149" s="2"/>
      <c r="AR149" s="2"/>
      <c r="AS149" s="2"/>
      <c r="AT149" s="2"/>
      <c r="AU149" s="2"/>
      <c r="AV149" s="2"/>
      <c r="AW149" s="2"/>
      <c r="AX149" s="2"/>
      <c r="AY149" s="2"/>
    </row>
    <row r="150" spans="1:51" x14ac:dyDescent="0.25">
      <c r="A150" s="24">
        <v>45561</v>
      </c>
      <c r="B150" s="1">
        <v>45561</v>
      </c>
      <c r="C150">
        <v>4.2300000000000004</v>
      </c>
      <c r="D150">
        <v>4.3600000000000003</v>
      </c>
      <c r="E150">
        <v>4.37</v>
      </c>
      <c r="F150">
        <v>4.3600000000000003</v>
      </c>
      <c r="G150">
        <v>4.3600000000000003</v>
      </c>
      <c r="H150">
        <v>4.37</v>
      </c>
      <c r="I150">
        <v>4.84</v>
      </c>
      <c r="J150">
        <v>5.13</v>
      </c>
      <c r="K150">
        <v>5.28</v>
      </c>
      <c r="M150" s="3"/>
      <c r="N150" s="17"/>
      <c r="O150" s="17"/>
      <c r="P150" s="17"/>
      <c r="Q150" s="17"/>
      <c r="R150" s="17"/>
      <c r="S150" s="17"/>
      <c r="T150" s="17"/>
      <c r="U150" s="17"/>
      <c r="V150" s="17"/>
      <c r="AE150" s="2"/>
      <c r="AQ150" s="2"/>
      <c r="AR150" s="2"/>
      <c r="AS150" s="2"/>
      <c r="AT150" s="2"/>
      <c r="AU150" s="2"/>
      <c r="AV150" s="2"/>
      <c r="AW150" s="2"/>
      <c r="AX150" s="2"/>
      <c r="AY150" s="2"/>
    </row>
    <row r="151" spans="1:51" x14ac:dyDescent="0.25">
      <c r="A151" s="24">
        <v>45560</v>
      </c>
      <c r="B151" s="1">
        <v>45560</v>
      </c>
      <c r="C151">
        <v>4.2</v>
      </c>
      <c r="D151">
        <v>4.3499999999999996</v>
      </c>
      <c r="E151">
        <v>4.38</v>
      </c>
      <c r="F151">
        <v>4.32</v>
      </c>
      <c r="G151">
        <v>4.33</v>
      </c>
      <c r="H151">
        <v>4.4000000000000004</v>
      </c>
      <c r="I151">
        <v>4.9000000000000004</v>
      </c>
      <c r="J151">
        <v>5.21</v>
      </c>
      <c r="K151">
        <v>5.31</v>
      </c>
      <c r="M151" s="3"/>
      <c r="N151" s="17"/>
      <c r="O151" s="17"/>
      <c r="P151" s="17"/>
      <c r="Q151" s="17"/>
      <c r="R151" s="17"/>
      <c r="S151" s="17"/>
      <c r="T151" s="17"/>
      <c r="U151" s="17"/>
      <c r="V151" s="17"/>
      <c r="AE151" s="2"/>
      <c r="AQ151" s="2"/>
      <c r="AR151" s="2"/>
      <c r="AS151" s="2"/>
      <c r="AT151" s="2"/>
      <c r="AU151" s="2"/>
      <c r="AV151" s="2"/>
      <c r="AW151" s="2"/>
      <c r="AX151" s="2"/>
      <c r="AY151" s="2"/>
    </row>
    <row r="152" spans="1:51" x14ac:dyDescent="0.25">
      <c r="A152" s="24">
        <v>45559</v>
      </c>
      <c r="B152" s="1">
        <v>45559</v>
      </c>
      <c r="C152">
        <v>4.2699999999999996</v>
      </c>
      <c r="D152">
        <v>4.42</v>
      </c>
      <c r="E152">
        <v>4.4000000000000004</v>
      </c>
      <c r="F152">
        <v>4.37</v>
      </c>
      <c r="G152">
        <v>4.33</v>
      </c>
      <c r="H152">
        <v>4.42</v>
      </c>
      <c r="I152">
        <v>4.93</v>
      </c>
      <c r="J152">
        <v>5.23</v>
      </c>
      <c r="K152">
        <v>5.33</v>
      </c>
      <c r="M152" s="3"/>
      <c r="N152" s="17"/>
      <c r="O152" s="17"/>
      <c r="P152" s="17"/>
      <c r="Q152" s="17"/>
      <c r="R152" s="17"/>
      <c r="S152" s="17"/>
      <c r="T152" s="17"/>
      <c r="U152" s="17"/>
      <c r="V152" s="17"/>
      <c r="AE152" s="2"/>
      <c r="AQ152" s="2"/>
      <c r="AR152" s="2"/>
      <c r="AS152" s="2"/>
      <c r="AT152" s="2"/>
      <c r="AU152" s="2"/>
      <c r="AV152" s="2"/>
      <c r="AW152" s="2"/>
      <c r="AX152" s="2"/>
      <c r="AY152" s="2"/>
    </row>
    <row r="153" spans="1:51" x14ac:dyDescent="0.25">
      <c r="A153" s="24">
        <v>45558</v>
      </c>
      <c r="B153" s="1">
        <v>45558</v>
      </c>
      <c r="C153">
        <v>3.96</v>
      </c>
      <c r="D153">
        <v>4</v>
      </c>
      <c r="E153">
        <v>4.03</v>
      </c>
      <c r="F153">
        <v>4.1100000000000003</v>
      </c>
      <c r="G153">
        <v>4.2699999999999996</v>
      </c>
      <c r="H153">
        <v>4.34</v>
      </c>
      <c r="I153">
        <v>4.9000000000000004</v>
      </c>
      <c r="J153">
        <v>5.22</v>
      </c>
      <c r="K153">
        <v>5.32</v>
      </c>
      <c r="M153" s="3"/>
      <c r="N153" s="17"/>
      <c r="O153" s="17"/>
      <c r="P153" s="17"/>
      <c r="Q153" s="17"/>
      <c r="R153" s="17"/>
      <c r="S153" s="17"/>
      <c r="T153" s="17"/>
      <c r="U153" s="17"/>
      <c r="V153" s="17"/>
      <c r="AE153" s="2"/>
      <c r="AQ153" s="2"/>
      <c r="AR153" s="2"/>
      <c r="AS153" s="2"/>
      <c r="AT153" s="2"/>
      <c r="AU153" s="2"/>
      <c r="AV153" s="2"/>
      <c r="AW153" s="2"/>
      <c r="AX153" s="2"/>
      <c r="AY153" s="2"/>
    </row>
    <row r="154" spans="1:51" x14ac:dyDescent="0.25">
      <c r="A154" s="24">
        <v>45555</v>
      </c>
      <c r="B154" s="1">
        <v>45555</v>
      </c>
      <c r="C154">
        <v>3.54</v>
      </c>
      <c r="D154">
        <v>3.73</v>
      </c>
      <c r="E154">
        <v>3.83</v>
      </c>
      <c r="F154">
        <v>4.03</v>
      </c>
      <c r="G154">
        <v>4.26</v>
      </c>
      <c r="H154">
        <v>4.37</v>
      </c>
      <c r="I154">
        <v>4.91</v>
      </c>
      <c r="J154">
        <v>5.22</v>
      </c>
      <c r="K154">
        <v>5.32</v>
      </c>
      <c r="M154" s="3"/>
      <c r="N154" s="17"/>
      <c r="O154" s="17"/>
      <c r="P154" s="17"/>
      <c r="Q154" s="17"/>
      <c r="R154" s="17"/>
      <c r="S154" s="17"/>
      <c r="T154" s="17"/>
      <c r="U154" s="17"/>
      <c r="V154" s="17"/>
      <c r="AE154" s="2"/>
      <c r="AQ154" s="2"/>
      <c r="AR154" s="2"/>
      <c r="AS154" s="2"/>
      <c r="AT154" s="2"/>
      <c r="AU154" s="2"/>
      <c r="AV154" s="2"/>
      <c r="AW154" s="2"/>
      <c r="AX154" s="2"/>
      <c r="AY154" s="2"/>
    </row>
    <row r="155" spans="1:51" x14ac:dyDescent="0.25">
      <c r="A155" s="24">
        <v>45554</v>
      </c>
      <c r="B155" s="1">
        <v>45554</v>
      </c>
      <c r="C155">
        <v>3.28</v>
      </c>
      <c r="D155">
        <v>3.52</v>
      </c>
      <c r="E155">
        <v>3.72</v>
      </c>
      <c r="F155">
        <v>4.0199999999999996</v>
      </c>
      <c r="G155">
        <v>4.24</v>
      </c>
      <c r="H155">
        <v>4.3600000000000003</v>
      </c>
      <c r="I155">
        <v>4.9000000000000004</v>
      </c>
      <c r="J155">
        <v>5.23</v>
      </c>
      <c r="K155">
        <v>5.35</v>
      </c>
      <c r="M155" s="3"/>
      <c r="N155" s="17"/>
      <c r="O155" s="17"/>
      <c r="P155" s="17"/>
      <c r="Q155" s="17"/>
      <c r="R155" s="17"/>
      <c r="S155" s="17"/>
      <c r="T155" s="17"/>
      <c r="U155" s="17"/>
      <c r="V155" s="17"/>
      <c r="AE155" s="2"/>
      <c r="AQ155" s="2"/>
      <c r="AR155" s="2"/>
      <c r="AS155" s="2"/>
      <c r="AT155" s="2"/>
      <c r="AU155" s="2"/>
      <c r="AV155" s="2"/>
      <c r="AW155" s="2"/>
      <c r="AX155" s="2"/>
      <c r="AY155" s="2"/>
    </row>
    <row r="156" spans="1:51" x14ac:dyDescent="0.25">
      <c r="A156" s="24">
        <v>45553</v>
      </c>
      <c r="B156" s="1">
        <v>45553</v>
      </c>
      <c r="C156">
        <v>3.22</v>
      </c>
      <c r="D156">
        <v>3.43</v>
      </c>
      <c r="E156">
        <v>3.67</v>
      </c>
      <c r="F156">
        <v>4.03</v>
      </c>
      <c r="G156">
        <v>4.28</v>
      </c>
      <c r="H156">
        <v>4.4000000000000004</v>
      </c>
      <c r="I156">
        <v>4.93</v>
      </c>
      <c r="J156">
        <v>5.26</v>
      </c>
      <c r="K156">
        <v>5.36</v>
      </c>
      <c r="M156" s="3"/>
      <c r="N156" s="17"/>
      <c r="O156" s="17"/>
      <c r="P156" s="17"/>
      <c r="Q156" s="17"/>
      <c r="R156" s="17"/>
      <c r="S156" s="17"/>
      <c r="T156" s="17"/>
      <c r="U156" s="17"/>
      <c r="V156" s="17"/>
      <c r="AE156" s="2"/>
      <c r="AQ156" s="2"/>
      <c r="AR156" s="2"/>
      <c r="AS156" s="2"/>
      <c r="AT156" s="2"/>
      <c r="AU156" s="2"/>
      <c r="AV156" s="2"/>
      <c r="AW156" s="2"/>
      <c r="AX156" s="2"/>
      <c r="AY156" s="2"/>
    </row>
    <row r="157" spans="1:51" x14ac:dyDescent="0.25">
      <c r="A157" s="24">
        <v>45552</v>
      </c>
      <c r="B157" s="1">
        <v>45552</v>
      </c>
      <c r="C157">
        <v>3.23</v>
      </c>
      <c r="D157">
        <v>3.43</v>
      </c>
      <c r="E157">
        <v>3.65</v>
      </c>
      <c r="F157">
        <v>4.0199999999999996</v>
      </c>
      <c r="G157">
        <v>4.28</v>
      </c>
      <c r="H157">
        <v>4.43</v>
      </c>
      <c r="I157">
        <v>4.97</v>
      </c>
      <c r="J157">
        <v>5.27</v>
      </c>
      <c r="K157">
        <v>5.39</v>
      </c>
      <c r="M157" s="3"/>
      <c r="N157" s="17"/>
      <c r="O157" s="17"/>
      <c r="P157" s="17"/>
      <c r="Q157" s="17"/>
      <c r="R157" s="17"/>
      <c r="S157" s="17"/>
      <c r="T157" s="17"/>
      <c r="U157" s="17"/>
      <c r="V157" s="17"/>
      <c r="AE157" s="2"/>
      <c r="AQ157" s="2"/>
      <c r="AR157" s="2"/>
      <c r="AS157" s="2"/>
      <c r="AT157" s="2"/>
      <c r="AU157" s="2"/>
      <c r="AV157" s="2"/>
      <c r="AW157" s="2"/>
      <c r="AX157" s="2"/>
      <c r="AY157" s="2"/>
    </row>
    <row r="158" spans="1:51" x14ac:dyDescent="0.25">
      <c r="A158" s="24">
        <v>45551</v>
      </c>
      <c r="B158" s="1">
        <v>45551</v>
      </c>
      <c r="C158">
        <v>3.25</v>
      </c>
      <c r="D158">
        <v>3.5</v>
      </c>
      <c r="E158">
        <v>3.75</v>
      </c>
      <c r="F158">
        <v>4.18</v>
      </c>
      <c r="G158">
        <v>4.33</v>
      </c>
      <c r="H158">
        <v>4.45</v>
      </c>
      <c r="I158">
        <v>5</v>
      </c>
      <c r="J158">
        <v>5.3</v>
      </c>
      <c r="K158">
        <v>5.44</v>
      </c>
      <c r="M158" s="3"/>
      <c r="N158" s="17"/>
      <c r="O158" s="17"/>
      <c r="P158" s="17"/>
      <c r="Q158" s="17"/>
      <c r="R158" s="17"/>
      <c r="S158" s="17"/>
      <c r="T158" s="17"/>
      <c r="U158" s="17"/>
      <c r="V158" s="17"/>
      <c r="AE158" s="2"/>
      <c r="AQ158" s="2"/>
      <c r="AR158" s="2"/>
      <c r="AS158" s="2"/>
      <c r="AT158" s="2"/>
      <c r="AU158" s="2"/>
      <c r="AV158" s="2"/>
      <c r="AW158" s="2"/>
      <c r="AX158" s="2"/>
      <c r="AY158" s="2"/>
    </row>
    <row r="159" spans="1:51" x14ac:dyDescent="0.25">
      <c r="A159" s="24">
        <v>45548</v>
      </c>
      <c r="B159" s="1">
        <v>45548</v>
      </c>
      <c r="C159">
        <v>3.44</v>
      </c>
      <c r="D159">
        <v>3.76</v>
      </c>
      <c r="E159">
        <v>3.97</v>
      </c>
      <c r="F159">
        <v>4.3899999999999997</v>
      </c>
      <c r="G159">
        <v>4.5999999999999996</v>
      </c>
      <c r="H159">
        <v>4.7300000000000004</v>
      </c>
      <c r="I159">
        <v>5.07</v>
      </c>
      <c r="J159">
        <v>5.35</v>
      </c>
      <c r="K159">
        <v>5.47</v>
      </c>
      <c r="M159" s="3"/>
      <c r="N159" s="17"/>
      <c r="O159" s="17"/>
      <c r="P159" s="17"/>
      <c r="Q159" s="17"/>
      <c r="R159" s="17"/>
      <c r="S159" s="17"/>
      <c r="T159" s="17"/>
      <c r="U159" s="17"/>
      <c r="V159" s="17"/>
      <c r="AE159" s="2"/>
      <c r="AQ159" s="2"/>
      <c r="AR159" s="2"/>
      <c r="AS159" s="2"/>
      <c r="AT159" s="2"/>
      <c r="AU159" s="2"/>
      <c r="AV159" s="2"/>
      <c r="AW159" s="2"/>
      <c r="AX159" s="2"/>
      <c r="AY159" s="2"/>
    </row>
    <row r="160" spans="1:51" x14ac:dyDescent="0.25">
      <c r="A160" s="24">
        <v>45547</v>
      </c>
      <c r="B160" s="1">
        <v>45547</v>
      </c>
      <c r="C160">
        <v>3.82</v>
      </c>
      <c r="D160">
        <v>4.03</v>
      </c>
      <c r="E160">
        <v>4.22</v>
      </c>
      <c r="F160">
        <v>4.47</v>
      </c>
      <c r="G160">
        <v>4.63</v>
      </c>
      <c r="H160">
        <v>4.7699999999999996</v>
      </c>
      <c r="I160">
        <v>5.17</v>
      </c>
      <c r="J160">
        <v>5.36</v>
      </c>
      <c r="K160">
        <v>5.46</v>
      </c>
      <c r="M160" s="3"/>
      <c r="N160" s="17"/>
      <c r="O160" s="17"/>
      <c r="P160" s="17"/>
      <c r="Q160" s="17"/>
      <c r="R160" s="17"/>
      <c r="S160" s="17"/>
      <c r="T160" s="17"/>
      <c r="U160" s="17"/>
      <c r="V160" s="17"/>
      <c r="AE160" s="2"/>
      <c r="AQ160" s="2"/>
      <c r="AR160" s="2"/>
      <c r="AS160" s="2"/>
      <c r="AT160" s="2"/>
      <c r="AU160" s="2"/>
      <c r="AV160" s="2"/>
      <c r="AW160" s="2"/>
      <c r="AX160" s="2"/>
      <c r="AY160" s="2"/>
    </row>
    <row r="161" spans="1:51" x14ac:dyDescent="0.25">
      <c r="A161" s="24">
        <v>45546</v>
      </c>
      <c r="B161" s="1">
        <v>45546</v>
      </c>
      <c r="C161">
        <v>4.1500000000000004</v>
      </c>
      <c r="D161">
        <v>4.32</v>
      </c>
      <c r="E161">
        <v>4.45</v>
      </c>
      <c r="F161">
        <v>4.5999999999999996</v>
      </c>
      <c r="G161">
        <v>4.75</v>
      </c>
      <c r="H161">
        <v>4.83</v>
      </c>
      <c r="I161">
        <v>5.15</v>
      </c>
      <c r="J161">
        <v>5.36</v>
      </c>
      <c r="K161">
        <v>5.48</v>
      </c>
      <c r="M161" s="3"/>
      <c r="N161" s="17"/>
      <c r="O161" s="17"/>
      <c r="P161" s="17"/>
      <c r="Q161" s="17"/>
      <c r="R161" s="17"/>
      <c r="S161" s="17"/>
      <c r="T161" s="17"/>
      <c r="U161" s="17"/>
      <c r="V161" s="17"/>
      <c r="AE161" s="2"/>
      <c r="AQ161" s="2"/>
      <c r="AR161" s="2"/>
      <c r="AS161" s="2"/>
      <c r="AT161" s="2"/>
      <c r="AU161" s="2"/>
      <c r="AV161" s="2"/>
      <c r="AW161" s="2"/>
      <c r="AX161" s="2"/>
      <c r="AY161" s="2"/>
    </row>
    <row r="162" spans="1:51" x14ac:dyDescent="0.25">
      <c r="A162" s="24">
        <v>45545</v>
      </c>
      <c r="B162" s="1">
        <v>45545</v>
      </c>
      <c r="C162">
        <v>4.37</v>
      </c>
      <c r="D162">
        <v>4.5</v>
      </c>
      <c r="E162">
        <v>4.5999999999999996</v>
      </c>
      <c r="F162">
        <v>4.68</v>
      </c>
      <c r="G162">
        <v>4.78</v>
      </c>
      <c r="H162">
        <v>4.88</v>
      </c>
      <c r="I162">
        <v>5.22</v>
      </c>
      <c r="J162">
        <v>5.38</v>
      </c>
      <c r="K162">
        <v>5.46</v>
      </c>
      <c r="M162" s="3"/>
      <c r="N162" s="17"/>
      <c r="O162" s="17"/>
      <c r="P162" s="17"/>
      <c r="Q162" s="17"/>
      <c r="R162" s="17"/>
      <c r="S162" s="17"/>
      <c r="T162" s="17"/>
      <c r="U162" s="17"/>
      <c r="V162" s="17"/>
      <c r="AE162" s="2"/>
      <c r="AQ162" s="2"/>
      <c r="AR162" s="2"/>
      <c r="AS162" s="2"/>
      <c r="AT162" s="2"/>
      <c r="AU162" s="2"/>
      <c r="AV162" s="2"/>
      <c r="AW162" s="2"/>
      <c r="AX162" s="2"/>
      <c r="AY162" s="2"/>
    </row>
    <row r="163" spans="1:51" x14ac:dyDescent="0.25">
      <c r="A163" s="24">
        <v>45544</v>
      </c>
      <c r="B163" s="1">
        <v>45544</v>
      </c>
      <c r="C163">
        <v>4.5599999999999996</v>
      </c>
      <c r="D163">
        <v>4.5999999999999996</v>
      </c>
      <c r="E163">
        <v>4.66</v>
      </c>
      <c r="F163">
        <v>4.71</v>
      </c>
      <c r="G163">
        <v>4.8</v>
      </c>
      <c r="H163">
        <v>4.8899999999999997</v>
      </c>
      <c r="I163">
        <v>5.19</v>
      </c>
      <c r="J163">
        <v>5.37</v>
      </c>
      <c r="K163">
        <v>5.47</v>
      </c>
      <c r="M163" s="3"/>
      <c r="N163" s="17"/>
      <c r="O163" s="17"/>
      <c r="P163" s="17"/>
      <c r="Q163" s="17"/>
      <c r="R163" s="17"/>
      <c r="S163" s="17"/>
      <c r="T163" s="17"/>
      <c r="U163" s="17"/>
      <c r="V163" s="17"/>
      <c r="AE163" s="2"/>
      <c r="AQ163" s="2"/>
      <c r="AR163" s="2"/>
      <c r="AS163" s="2"/>
      <c r="AT163" s="2"/>
      <c r="AU163" s="2"/>
      <c r="AV163" s="2"/>
      <c r="AW163" s="2"/>
      <c r="AX163" s="2"/>
      <c r="AY163" s="2"/>
    </row>
    <row r="164" spans="1:51" x14ac:dyDescent="0.25">
      <c r="A164" s="24">
        <v>45541</v>
      </c>
      <c r="B164" s="1">
        <v>45541</v>
      </c>
      <c r="C164">
        <v>4.59</v>
      </c>
      <c r="D164">
        <v>4.6100000000000003</v>
      </c>
      <c r="E164">
        <v>4.7</v>
      </c>
      <c r="F164">
        <v>4.71</v>
      </c>
      <c r="G164">
        <v>4.8</v>
      </c>
      <c r="H164">
        <v>4.8899999999999997</v>
      </c>
      <c r="I164">
        <v>5.23</v>
      </c>
      <c r="J164">
        <v>5.38</v>
      </c>
      <c r="K164">
        <v>5.48</v>
      </c>
      <c r="M164" s="3"/>
      <c r="N164" s="17"/>
      <c r="O164" s="17"/>
      <c r="P164" s="17"/>
      <c r="Q164" s="17"/>
      <c r="R164" s="17"/>
      <c r="S164" s="17"/>
      <c r="T164" s="17"/>
      <c r="U164" s="17"/>
      <c r="V164" s="17"/>
      <c r="AE164" s="2"/>
      <c r="AQ164" s="2"/>
      <c r="AR164" s="2"/>
      <c r="AS164" s="2"/>
      <c r="AT164" s="2"/>
      <c r="AU164" s="2"/>
      <c r="AV164" s="2"/>
      <c r="AW164" s="2"/>
      <c r="AX164" s="2"/>
      <c r="AY164" s="2"/>
    </row>
    <row r="165" spans="1:51" x14ac:dyDescent="0.25">
      <c r="A165" s="24">
        <v>45540</v>
      </c>
      <c r="B165" s="1">
        <v>45540</v>
      </c>
      <c r="C165">
        <v>4.55</v>
      </c>
      <c r="D165">
        <v>4.5999999999999996</v>
      </c>
      <c r="E165">
        <v>4.72</v>
      </c>
      <c r="F165">
        <v>4.7300000000000004</v>
      </c>
      <c r="G165">
        <v>4.78</v>
      </c>
      <c r="H165">
        <v>4.88</v>
      </c>
      <c r="I165">
        <v>5.22</v>
      </c>
      <c r="J165">
        <v>5.38</v>
      </c>
      <c r="K165">
        <v>5.46</v>
      </c>
      <c r="M165" s="3"/>
      <c r="N165" s="17"/>
      <c r="O165" s="17"/>
      <c r="P165" s="17"/>
      <c r="Q165" s="17"/>
      <c r="R165" s="17"/>
      <c r="S165" s="17"/>
      <c r="T165" s="17"/>
      <c r="U165" s="17"/>
      <c r="V165" s="17"/>
      <c r="AE165" s="2"/>
      <c r="AQ165" s="2"/>
      <c r="AR165" s="2"/>
      <c r="AS165" s="2"/>
      <c r="AT165" s="2"/>
      <c r="AU165" s="2"/>
      <c r="AV165" s="2"/>
      <c r="AW165" s="2"/>
      <c r="AX165" s="2"/>
      <c r="AY165" s="2"/>
    </row>
    <row r="166" spans="1:51" x14ac:dyDescent="0.25">
      <c r="A166" s="24">
        <v>45539</v>
      </c>
      <c r="B166" s="1">
        <v>45539</v>
      </c>
      <c r="C166">
        <v>4.5599999999999996</v>
      </c>
      <c r="D166">
        <v>4.6100000000000003</v>
      </c>
      <c r="E166">
        <v>4.7</v>
      </c>
      <c r="F166">
        <v>4.74</v>
      </c>
      <c r="G166">
        <v>4.79</v>
      </c>
      <c r="H166">
        <v>4.9000000000000004</v>
      </c>
      <c r="I166">
        <v>5.23</v>
      </c>
      <c r="J166">
        <v>5.38</v>
      </c>
      <c r="K166">
        <v>5.47</v>
      </c>
      <c r="M166" s="3"/>
      <c r="N166" s="17"/>
      <c r="O166" s="17"/>
      <c r="P166" s="17"/>
      <c r="Q166" s="17"/>
      <c r="R166" s="17"/>
      <c r="S166" s="17"/>
      <c r="T166" s="17"/>
      <c r="U166" s="17"/>
      <c r="V166" s="17"/>
      <c r="AE166" s="2"/>
      <c r="AQ166" s="2"/>
      <c r="AR166" s="2"/>
      <c r="AS166" s="2"/>
      <c r="AT166" s="2"/>
      <c r="AU166" s="2"/>
      <c r="AV166" s="2"/>
      <c r="AW166" s="2"/>
      <c r="AX166" s="2"/>
      <c r="AY166" s="2"/>
    </row>
    <row r="167" spans="1:51" x14ac:dyDescent="0.25">
      <c r="A167" s="24">
        <v>45534</v>
      </c>
      <c r="B167" s="1">
        <v>45534</v>
      </c>
      <c r="C167">
        <v>4.47</v>
      </c>
      <c r="D167">
        <v>4.53</v>
      </c>
      <c r="E167">
        <v>4.5999999999999996</v>
      </c>
      <c r="F167">
        <v>4.72</v>
      </c>
      <c r="G167">
        <v>4.82</v>
      </c>
      <c r="H167">
        <v>4.93</v>
      </c>
      <c r="I167">
        <v>5.23</v>
      </c>
      <c r="J167">
        <v>5.4</v>
      </c>
      <c r="K167">
        <v>5.49</v>
      </c>
      <c r="M167" s="3"/>
      <c r="N167" s="17"/>
      <c r="O167" s="17"/>
      <c r="P167" s="17"/>
      <c r="Q167" s="17"/>
      <c r="R167" s="17"/>
      <c r="S167" s="17"/>
      <c r="T167" s="17"/>
      <c r="U167" s="17"/>
      <c r="V167" s="17"/>
      <c r="AE167" s="2"/>
      <c r="AQ167" s="2"/>
      <c r="AR167" s="2"/>
      <c r="AS167" s="2"/>
      <c r="AT167" s="2"/>
      <c r="AU167" s="2"/>
      <c r="AV167" s="2"/>
      <c r="AW167" s="2"/>
      <c r="AX167" s="2"/>
      <c r="AY167" s="2"/>
    </row>
    <row r="168" spans="1:51" x14ac:dyDescent="0.25">
      <c r="A168" s="24">
        <v>45533</v>
      </c>
      <c r="B168" s="1">
        <v>45533</v>
      </c>
      <c r="C168">
        <v>4.0999999999999996</v>
      </c>
      <c r="D168">
        <v>4.4000000000000004</v>
      </c>
      <c r="E168">
        <v>4.53</v>
      </c>
      <c r="F168">
        <v>4.6500000000000004</v>
      </c>
      <c r="G168">
        <v>4.7699999999999996</v>
      </c>
      <c r="H168">
        <v>4.87</v>
      </c>
      <c r="I168">
        <v>5.18</v>
      </c>
      <c r="J168">
        <v>5.38</v>
      </c>
      <c r="K168">
        <v>5.47</v>
      </c>
      <c r="M168" s="3"/>
      <c r="N168" s="17"/>
      <c r="O168" s="17"/>
      <c r="P168" s="17"/>
      <c r="Q168" s="17"/>
      <c r="R168" s="17"/>
      <c r="S168" s="17"/>
      <c r="T168" s="17"/>
      <c r="U168" s="17"/>
      <c r="V168" s="17"/>
      <c r="AE168" s="2"/>
      <c r="AQ168" s="2"/>
      <c r="AR168" s="2"/>
      <c r="AS168" s="2"/>
      <c r="AT168" s="2"/>
      <c r="AU168" s="2"/>
      <c r="AV168" s="2"/>
      <c r="AW168" s="2"/>
      <c r="AX168" s="2"/>
      <c r="AY168" s="2"/>
    </row>
    <row r="169" spans="1:51" x14ac:dyDescent="0.25">
      <c r="A169" s="24">
        <v>45532</v>
      </c>
      <c r="B169" s="1">
        <v>45532</v>
      </c>
      <c r="C169">
        <v>4.43</v>
      </c>
      <c r="D169">
        <v>4.5999999999999996</v>
      </c>
      <c r="E169">
        <v>4.67</v>
      </c>
      <c r="F169">
        <v>4.75</v>
      </c>
      <c r="G169">
        <v>4.8499999999999996</v>
      </c>
      <c r="H169">
        <v>4.92</v>
      </c>
      <c r="I169">
        <v>5.27</v>
      </c>
      <c r="J169">
        <v>5.39</v>
      </c>
      <c r="K169">
        <v>5.48</v>
      </c>
      <c r="M169" s="3"/>
      <c r="N169" s="17"/>
      <c r="O169" s="17"/>
      <c r="P169" s="17"/>
      <c r="Q169" s="17"/>
      <c r="R169" s="17"/>
      <c r="S169" s="17"/>
      <c r="T169" s="17"/>
      <c r="U169" s="17"/>
      <c r="V169" s="17"/>
      <c r="AE169" s="2"/>
      <c r="AQ169" s="2"/>
      <c r="AR169" s="2"/>
      <c r="AS169" s="2"/>
      <c r="AT169" s="2"/>
      <c r="AU169" s="2"/>
      <c r="AV169" s="2"/>
      <c r="AW169" s="2"/>
      <c r="AX169" s="2"/>
      <c r="AY169" s="2"/>
    </row>
    <row r="170" spans="1:51" x14ac:dyDescent="0.25">
      <c r="A170" s="24">
        <v>45531</v>
      </c>
      <c r="B170" s="1">
        <v>45531</v>
      </c>
      <c r="C170">
        <v>4.67</v>
      </c>
      <c r="D170">
        <v>4.7699999999999996</v>
      </c>
      <c r="E170">
        <v>4.8</v>
      </c>
      <c r="F170">
        <v>4.83</v>
      </c>
      <c r="G170">
        <v>4.9000000000000004</v>
      </c>
      <c r="H170">
        <v>4.95</v>
      </c>
      <c r="I170">
        <v>5.28</v>
      </c>
      <c r="J170">
        <v>5.41</v>
      </c>
      <c r="K170">
        <v>5.49</v>
      </c>
      <c r="M170" s="3"/>
      <c r="N170" s="17"/>
      <c r="O170" s="17"/>
      <c r="P170" s="17"/>
      <c r="Q170" s="17"/>
      <c r="R170" s="17"/>
      <c r="S170" s="17"/>
      <c r="T170" s="17"/>
      <c r="U170" s="17"/>
      <c r="V170" s="17"/>
      <c r="AE170" s="2"/>
      <c r="AQ170" s="2"/>
      <c r="AR170" s="2"/>
      <c r="AS170" s="2"/>
      <c r="AT170" s="2"/>
      <c r="AU170" s="2"/>
      <c r="AV170" s="2"/>
      <c r="AW170" s="2"/>
      <c r="AX170" s="2"/>
      <c r="AY170" s="2"/>
    </row>
    <row r="171" spans="1:51" x14ac:dyDescent="0.25">
      <c r="A171" s="24">
        <v>45530</v>
      </c>
      <c r="B171" s="1">
        <v>45530</v>
      </c>
      <c r="C171">
        <v>4.53</v>
      </c>
      <c r="D171">
        <v>4.62</v>
      </c>
      <c r="E171">
        <v>4.68</v>
      </c>
      <c r="F171">
        <v>4.7699999999999996</v>
      </c>
      <c r="G171">
        <v>4.88</v>
      </c>
      <c r="H171">
        <v>4.95</v>
      </c>
      <c r="I171">
        <v>5.32</v>
      </c>
      <c r="J171">
        <v>5.42</v>
      </c>
      <c r="K171">
        <v>5.5</v>
      </c>
      <c r="M171" s="3"/>
      <c r="N171" s="17"/>
      <c r="O171" s="17"/>
      <c r="P171" s="17"/>
      <c r="Q171" s="17"/>
      <c r="R171" s="17"/>
      <c r="S171" s="17"/>
      <c r="T171" s="17"/>
      <c r="U171" s="17"/>
      <c r="V171" s="17"/>
      <c r="AE171" s="2"/>
      <c r="AQ171" s="2"/>
      <c r="AR171" s="2"/>
      <c r="AS171" s="2"/>
      <c r="AT171" s="2"/>
      <c r="AU171" s="2"/>
      <c r="AV171" s="2"/>
      <c r="AW171" s="2"/>
      <c r="AX171" s="2"/>
      <c r="AY171" s="2"/>
    </row>
    <row r="172" spans="1:51" x14ac:dyDescent="0.25">
      <c r="A172" s="24">
        <v>45527</v>
      </c>
      <c r="B172" s="1">
        <v>45527</v>
      </c>
      <c r="C172">
        <v>4.46</v>
      </c>
      <c r="D172">
        <v>4.5599999999999996</v>
      </c>
      <c r="E172">
        <v>4.66</v>
      </c>
      <c r="F172">
        <v>4.72</v>
      </c>
      <c r="G172">
        <v>4.84</v>
      </c>
      <c r="H172">
        <v>4.92</v>
      </c>
      <c r="I172">
        <v>5.28</v>
      </c>
      <c r="J172">
        <v>5.4</v>
      </c>
      <c r="K172">
        <v>5.5</v>
      </c>
      <c r="M172" s="3"/>
      <c r="N172" s="17"/>
      <c r="O172" s="17"/>
      <c r="P172" s="17"/>
      <c r="Q172" s="17"/>
      <c r="R172" s="17"/>
      <c r="S172" s="17"/>
      <c r="T172" s="17"/>
      <c r="U172" s="17"/>
      <c r="V172" s="17"/>
      <c r="AE172" s="2"/>
      <c r="AQ172" s="2"/>
      <c r="AR172" s="2"/>
      <c r="AS172" s="2"/>
      <c r="AT172" s="2"/>
      <c r="AU172" s="2"/>
      <c r="AV172" s="2"/>
      <c r="AW172" s="2"/>
      <c r="AX172" s="2"/>
      <c r="AY172" s="2"/>
    </row>
    <row r="173" spans="1:51" x14ac:dyDescent="0.25">
      <c r="A173" s="24">
        <v>45526</v>
      </c>
      <c r="B173" s="1">
        <v>45526</v>
      </c>
      <c r="C173">
        <v>4.37</v>
      </c>
      <c r="D173">
        <v>4.5199999999999996</v>
      </c>
      <c r="E173">
        <v>4.63</v>
      </c>
      <c r="F173">
        <v>4.72</v>
      </c>
      <c r="G173">
        <v>4.83</v>
      </c>
      <c r="H173">
        <v>4.93</v>
      </c>
      <c r="I173">
        <v>5.27</v>
      </c>
      <c r="J173">
        <v>5.4</v>
      </c>
      <c r="K173">
        <v>5.5</v>
      </c>
      <c r="M173" s="3"/>
      <c r="N173" s="17"/>
      <c r="O173" s="17"/>
      <c r="P173" s="17"/>
      <c r="Q173" s="17"/>
      <c r="R173" s="17"/>
      <c r="S173" s="17"/>
      <c r="T173" s="17"/>
      <c r="U173" s="17"/>
      <c r="V173" s="17"/>
      <c r="AE173" s="2"/>
      <c r="AQ173" s="2"/>
      <c r="AR173" s="2"/>
      <c r="AS173" s="2"/>
      <c r="AT173" s="2"/>
      <c r="AU173" s="2"/>
      <c r="AV173" s="2"/>
      <c r="AW173" s="2"/>
      <c r="AX173" s="2"/>
      <c r="AY173" s="2"/>
    </row>
    <row r="174" spans="1:51" x14ac:dyDescent="0.25">
      <c r="A174" s="24">
        <v>45525</v>
      </c>
      <c r="B174" s="1">
        <v>45525</v>
      </c>
      <c r="C174">
        <v>4.42</v>
      </c>
      <c r="D174">
        <v>4.58</v>
      </c>
      <c r="E174">
        <v>4.66</v>
      </c>
      <c r="F174">
        <v>4.72</v>
      </c>
      <c r="G174">
        <v>4.84</v>
      </c>
      <c r="H174">
        <v>4.9400000000000004</v>
      </c>
      <c r="I174">
        <v>5.32</v>
      </c>
      <c r="J174">
        <v>5.4</v>
      </c>
      <c r="K174">
        <v>5.5</v>
      </c>
      <c r="M174" s="3"/>
      <c r="N174" s="17"/>
      <c r="O174" s="17"/>
      <c r="P174" s="17"/>
      <c r="Q174" s="17"/>
      <c r="R174" s="17"/>
      <c r="S174" s="17"/>
      <c r="T174" s="17"/>
      <c r="U174" s="17"/>
      <c r="V174" s="17"/>
      <c r="AE174" s="2"/>
      <c r="AQ174" s="2"/>
      <c r="AR174" s="2"/>
      <c r="AS174" s="2"/>
      <c r="AT174" s="2"/>
      <c r="AU174" s="2"/>
      <c r="AV174" s="2"/>
      <c r="AW174" s="2"/>
      <c r="AX174" s="2"/>
      <c r="AY174" s="2"/>
    </row>
    <row r="175" spans="1:51" x14ac:dyDescent="0.25">
      <c r="A175" s="24">
        <v>45524</v>
      </c>
      <c r="B175" s="1">
        <v>45524</v>
      </c>
      <c r="C175">
        <v>4.5</v>
      </c>
      <c r="D175">
        <v>4.5999999999999996</v>
      </c>
      <c r="E175">
        <v>4.7</v>
      </c>
      <c r="F175">
        <v>4.76</v>
      </c>
      <c r="G175">
        <v>4.9000000000000004</v>
      </c>
      <c r="H175">
        <v>5</v>
      </c>
      <c r="I175">
        <v>5.28</v>
      </c>
      <c r="J175">
        <v>5.4</v>
      </c>
      <c r="K175">
        <v>5.5</v>
      </c>
      <c r="M175" s="3"/>
      <c r="N175" s="17"/>
      <c r="O175" s="17"/>
      <c r="P175" s="17"/>
      <c r="Q175" s="17"/>
      <c r="R175" s="17"/>
      <c r="S175" s="17"/>
      <c r="T175" s="17"/>
      <c r="U175" s="17"/>
      <c r="V175" s="17"/>
      <c r="AE175" s="2"/>
      <c r="AQ175" s="2"/>
      <c r="AR175" s="2"/>
      <c r="AS175" s="2"/>
      <c r="AT175" s="2"/>
      <c r="AU175" s="2"/>
      <c r="AV175" s="2"/>
      <c r="AW175" s="2"/>
      <c r="AX175" s="2"/>
      <c r="AY175" s="2"/>
    </row>
    <row r="176" spans="1:51" x14ac:dyDescent="0.25">
      <c r="A176" s="24">
        <v>45523</v>
      </c>
      <c r="B176" s="1">
        <v>45523</v>
      </c>
      <c r="C176">
        <v>4.59</v>
      </c>
      <c r="D176">
        <v>4.66</v>
      </c>
      <c r="E176">
        <v>4.7300000000000004</v>
      </c>
      <c r="F176">
        <v>4.7699999999999996</v>
      </c>
      <c r="G176">
        <v>4.91</v>
      </c>
      <c r="H176">
        <v>5.01</v>
      </c>
      <c r="I176">
        <v>5.3</v>
      </c>
      <c r="J176">
        <v>5.4</v>
      </c>
      <c r="K176">
        <v>5.5</v>
      </c>
      <c r="M176" s="3"/>
      <c r="N176" s="17"/>
      <c r="O176" s="17"/>
      <c r="P176" s="17"/>
      <c r="Q176" s="17"/>
      <c r="R176" s="17"/>
      <c r="S176" s="17"/>
      <c r="T176" s="17"/>
      <c r="U176" s="17"/>
      <c r="V176" s="17"/>
      <c r="AE176" s="2"/>
      <c r="AQ176" s="2"/>
      <c r="AR176" s="2"/>
      <c r="AS176" s="2"/>
      <c r="AT176" s="2"/>
      <c r="AU176" s="2"/>
      <c r="AV176" s="2"/>
      <c r="AW176" s="2"/>
      <c r="AX176" s="2"/>
      <c r="AY176" s="2"/>
    </row>
    <row r="177" spans="1:51" x14ac:dyDescent="0.25">
      <c r="A177" s="24">
        <v>45520</v>
      </c>
      <c r="B177" s="1">
        <v>45520</v>
      </c>
      <c r="C177">
        <v>4.57</v>
      </c>
      <c r="D177">
        <v>4.6399999999999997</v>
      </c>
      <c r="E177">
        <v>4.6900000000000004</v>
      </c>
      <c r="F177">
        <v>4.76</v>
      </c>
      <c r="G177">
        <v>4.91</v>
      </c>
      <c r="H177">
        <v>5.01</v>
      </c>
      <c r="I177">
        <v>5.3</v>
      </c>
      <c r="J177">
        <v>5.4</v>
      </c>
      <c r="K177">
        <v>5.5</v>
      </c>
      <c r="M177" s="3"/>
      <c r="N177" s="17"/>
      <c r="O177" s="17"/>
      <c r="P177" s="17"/>
      <c r="Q177" s="17"/>
      <c r="R177" s="17"/>
      <c r="S177" s="17"/>
      <c r="T177" s="17"/>
      <c r="U177" s="17"/>
      <c r="V177" s="17"/>
      <c r="AE177" s="2"/>
      <c r="AQ177" s="2"/>
      <c r="AR177" s="2"/>
      <c r="AS177" s="2"/>
      <c r="AT177" s="2"/>
      <c r="AU177" s="2"/>
      <c r="AV177" s="2"/>
      <c r="AW177" s="2"/>
      <c r="AX177" s="2"/>
      <c r="AY177" s="2"/>
    </row>
    <row r="178" spans="1:51" x14ac:dyDescent="0.25">
      <c r="A178" s="24">
        <v>45519</v>
      </c>
      <c r="B178" s="1">
        <v>45519</v>
      </c>
      <c r="C178">
        <v>4.5599999999999996</v>
      </c>
      <c r="D178">
        <v>4.63</v>
      </c>
      <c r="E178">
        <v>4.6900000000000004</v>
      </c>
      <c r="F178">
        <v>4.76</v>
      </c>
      <c r="G178">
        <v>4.9000000000000004</v>
      </c>
      <c r="H178">
        <v>4.99</v>
      </c>
      <c r="I178">
        <v>5.29</v>
      </c>
      <c r="J178">
        <v>5.4</v>
      </c>
      <c r="K178">
        <v>5.5</v>
      </c>
      <c r="M178" s="3"/>
      <c r="N178" s="17"/>
      <c r="O178" s="17"/>
      <c r="P178" s="17"/>
      <c r="Q178" s="17"/>
      <c r="R178" s="17"/>
      <c r="S178" s="17"/>
      <c r="T178" s="17"/>
      <c r="U178" s="17"/>
      <c r="V178" s="17"/>
      <c r="AE178" s="2"/>
      <c r="AQ178" s="2"/>
      <c r="AR178" s="2"/>
      <c r="AS178" s="2"/>
      <c r="AT178" s="2"/>
      <c r="AU178" s="2"/>
      <c r="AV178" s="2"/>
      <c r="AW178" s="2"/>
      <c r="AX178" s="2"/>
      <c r="AY178" s="2"/>
    </row>
    <row r="179" spans="1:51" x14ac:dyDescent="0.25">
      <c r="A179" s="24">
        <v>45518</v>
      </c>
      <c r="B179" s="1">
        <v>45518</v>
      </c>
      <c r="C179">
        <v>4.5</v>
      </c>
      <c r="D179">
        <v>4.5999999999999996</v>
      </c>
      <c r="E179">
        <v>4.68</v>
      </c>
      <c r="F179">
        <v>4.75</v>
      </c>
      <c r="G179">
        <v>4.9000000000000004</v>
      </c>
      <c r="H179">
        <v>5</v>
      </c>
      <c r="I179">
        <v>5.33</v>
      </c>
      <c r="J179">
        <v>5.42</v>
      </c>
      <c r="K179">
        <v>5.5</v>
      </c>
      <c r="M179" s="3"/>
      <c r="N179" s="17"/>
      <c r="O179" s="17"/>
      <c r="P179" s="17"/>
      <c r="Q179" s="17"/>
      <c r="R179" s="17"/>
      <c r="S179" s="17"/>
      <c r="T179" s="17"/>
      <c r="U179" s="17"/>
      <c r="V179" s="17"/>
      <c r="AE179" s="2"/>
      <c r="AQ179" s="2"/>
      <c r="AR179" s="2"/>
      <c r="AS179" s="2"/>
      <c r="AT179" s="2"/>
      <c r="AU179" s="2"/>
      <c r="AV179" s="2"/>
      <c r="AW179" s="2"/>
      <c r="AX179" s="2"/>
      <c r="AY179" s="2"/>
    </row>
    <row r="180" spans="1:51" x14ac:dyDescent="0.25">
      <c r="A180" s="24">
        <v>45517</v>
      </c>
      <c r="B180" s="1">
        <v>45517</v>
      </c>
      <c r="C180">
        <v>4.41</v>
      </c>
      <c r="D180">
        <v>4.5599999999999996</v>
      </c>
      <c r="E180">
        <v>4.67</v>
      </c>
      <c r="F180">
        <v>4.8</v>
      </c>
      <c r="G180">
        <v>4.93</v>
      </c>
      <c r="H180">
        <v>5.01</v>
      </c>
      <c r="I180">
        <v>5.29</v>
      </c>
      <c r="J180">
        <v>5.42</v>
      </c>
      <c r="K180">
        <v>5.49</v>
      </c>
      <c r="M180" s="3"/>
      <c r="N180" s="17"/>
      <c r="O180" s="17"/>
      <c r="P180" s="17"/>
      <c r="Q180" s="17"/>
      <c r="R180" s="17"/>
      <c r="S180" s="17"/>
      <c r="T180" s="17"/>
      <c r="U180" s="17"/>
      <c r="V180" s="17"/>
      <c r="AE180" s="2"/>
      <c r="AQ180" s="2"/>
      <c r="AR180" s="2"/>
      <c r="AS180" s="2"/>
      <c r="AT180" s="2"/>
      <c r="AU180" s="2"/>
      <c r="AV180" s="2"/>
      <c r="AW180" s="2"/>
      <c r="AX180" s="2"/>
      <c r="AY180" s="2"/>
    </row>
    <row r="181" spans="1:51" x14ac:dyDescent="0.25">
      <c r="A181" s="24">
        <v>45516</v>
      </c>
      <c r="B181" s="1">
        <v>45516</v>
      </c>
      <c r="C181">
        <v>4.4000000000000004</v>
      </c>
      <c r="D181">
        <v>4.5</v>
      </c>
      <c r="E181">
        <v>4.62</v>
      </c>
      <c r="F181">
        <v>4.74</v>
      </c>
      <c r="G181">
        <v>4.8600000000000003</v>
      </c>
      <c r="H181">
        <v>4.9400000000000004</v>
      </c>
      <c r="I181">
        <v>5.28</v>
      </c>
      <c r="J181">
        <v>5.4</v>
      </c>
      <c r="K181">
        <v>5.5</v>
      </c>
      <c r="M181" s="3"/>
      <c r="N181" s="17"/>
      <c r="O181" s="17"/>
      <c r="P181" s="17"/>
      <c r="Q181" s="17"/>
      <c r="R181" s="17"/>
      <c r="S181" s="17"/>
      <c r="T181" s="17"/>
      <c r="U181" s="17"/>
      <c r="V181" s="17"/>
      <c r="AE181" s="2"/>
      <c r="AQ181" s="2"/>
      <c r="AR181" s="2"/>
      <c r="AS181" s="2"/>
      <c r="AT181" s="2"/>
      <c r="AU181" s="2"/>
      <c r="AV181" s="2"/>
      <c r="AW181" s="2"/>
      <c r="AX181" s="2"/>
      <c r="AY181" s="2"/>
    </row>
    <row r="182" spans="1:51" x14ac:dyDescent="0.25">
      <c r="A182" s="24">
        <v>45513</v>
      </c>
      <c r="B182" s="1">
        <v>45513</v>
      </c>
      <c r="C182">
        <v>4.4000000000000004</v>
      </c>
      <c r="D182">
        <v>4.53</v>
      </c>
      <c r="E182">
        <v>4.6500000000000004</v>
      </c>
      <c r="F182">
        <v>4.8</v>
      </c>
      <c r="G182">
        <v>4.95</v>
      </c>
      <c r="H182">
        <v>4.9800000000000004</v>
      </c>
      <c r="I182">
        <v>5.3</v>
      </c>
      <c r="J182">
        <v>5.42</v>
      </c>
      <c r="K182">
        <v>5.5</v>
      </c>
      <c r="M182" s="3"/>
      <c r="N182" s="17"/>
      <c r="O182" s="17"/>
      <c r="P182" s="17"/>
      <c r="Q182" s="17"/>
      <c r="R182" s="17"/>
      <c r="S182" s="17"/>
      <c r="T182" s="17"/>
      <c r="U182" s="17"/>
      <c r="V182" s="17"/>
      <c r="AE182" s="2"/>
      <c r="AQ182" s="2"/>
      <c r="AR182" s="2"/>
      <c r="AS182" s="2"/>
      <c r="AT182" s="2"/>
      <c r="AU182" s="2"/>
      <c r="AV182" s="2"/>
      <c r="AW182" s="2"/>
      <c r="AX182" s="2"/>
      <c r="AY182" s="2"/>
    </row>
    <row r="183" spans="1:51" x14ac:dyDescent="0.25">
      <c r="A183" s="24">
        <v>45512</v>
      </c>
      <c r="B183" s="1">
        <v>45512</v>
      </c>
      <c r="C183">
        <v>4.45</v>
      </c>
      <c r="D183">
        <v>4.5999999999999996</v>
      </c>
      <c r="E183">
        <v>4.7</v>
      </c>
      <c r="F183">
        <v>4.83</v>
      </c>
      <c r="G183">
        <v>4.97</v>
      </c>
      <c r="H183">
        <v>5.03</v>
      </c>
      <c r="I183">
        <v>5.33</v>
      </c>
      <c r="J183">
        <v>5.4</v>
      </c>
      <c r="K183">
        <v>5.5</v>
      </c>
      <c r="M183" s="3"/>
      <c r="N183" s="17"/>
      <c r="O183" s="17"/>
      <c r="P183" s="17"/>
      <c r="Q183" s="17"/>
      <c r="R183" s="17"/>
      <c r="S183" s="17"/>
      <c r="T183" s="17"/>
      <c r="U183" s="17"/>
      <c r="V183" s="17"/>
      <c r="AE183" s="2"/>
      <c r="AQ183" s="2"/>
      <c r="AR183" s="2"/>
      <c r="AS183" s="2"/>
      <c r="AT183" s="2"/>
      <c r="AU183" s="2"/>
      <c r="AV183" s="2"/>
      <c r="AW183" s="2"/>
      <c r="AX183" s="2"/>
      <c r="AY183" s="2"/>
    </row>
    <row r="184" spans="1:51" x14ac:dyDescent="0.25">
      <c r="A184" s="24">
        <v>45511</v>
      </c>
      <c r="B184" s="1">
        <v>45511</v>
      </c>
      <c r="C184">
        <v>4.7</v>
      </c>
      <c r="D184">
        <v>4.78</v>
      </c>
      <c r="E184">
        <v>4.8600000000000003</v>
      </c>
      <c r="F184">
        <v>4.96</v>
      </c>
      <c r="G184">
        <v>5.04</v>
      </c>
      <c r="H184">
        <v>5.12</v>
      </c>
      <c r="I184">
        <v>5.36</v>
      </c>
      <c r="J184">
        <v>5.43</v>
      </c>
      <c r="K184">
        <v>5.5</v>
      </c>
      <c r="M184" s="3"/>
      <c r="N184" s="17"/>
      <c r="O184" s="17"/>
      <c r="P184" s="17"/>
      <c r="Q184" s="17"/>
      <c r="R184" s="17"/>
      <c r="S184" s="17"/>
      <c r="T184" s="17"/>
      <c r="U184" s="17"/>
      <c r="V184" s="17"/>
      <c r="AE184" s="2"/>
      <c r="AQ184" s="2"/>
      <c r="AR184" s="2"/>
      <c r="AS184" s="2"/>
      <c r="AT184" s="2"/>
      <c r="AU184" s="2"/>
      <c r="AV184" s="2"/>
      <c r="AW184" s="2"/>
      <c r="AX184" s="2"/>
      <c r="AY184" s="2"/>
    </row>
    <row r="185" spans="1:51" x14ac:dyDescent="0.25">
      <c r="A185" s="24">
        <v>45510</v>
      </c>
      <c r="B185" s="1">
        <v>45510</v>
      </c>
      <c r="C185">
        <v>4.88</v>
      </c>
      <c r="D185">
        <v>4.9000000000000004</v>
      </c>
      <c r="E185">
        <v>4.95</v>
      </c>
      <c r="F185">
        <v>4.97</v>
      </c>
      <c r="G185">
        <v>5.07</v>
      </c>
      <c r="H185">
        <v>5.15</v>
      </c>
      <c r="I185">
        <v>5.38</v>
      </c>
      <c r="J185">
        <v>5.44</v>
      </c>
      <c r="K185">
        <v>5.5</v>
      </c>
      <c r="M185" s="3"/>
      <c r="N185" s="17"/>
      <c r="O185" s="17"/>
      <c r="P185" s="17"/>
      <c r="Q185" s="17"/>
      <c r="R185" s="17"/>
      <c r="S185" s="17"/>
      <c r="T185" s="17"/>
      <c r="U185" s="17"/>
      <c r="V185" s="17"/>
      <c r="AE185" s="2"/>
      <c r="AQ185" s="2"/>
      <c r="AR185" s="2"/>
      <c r="AS185" s="2"/>
      <c r="AT185" s="2"/>
      <c r="AU185" s="2"/>
      <c r="AV185" s="2"/>
      <c r="AW185" s="2"/>
      <c r="AX185" s="2"/>
      <c r="AY185" s="2"/>
    </row>
    <row r="186" spans="1:51" x14ac:dyDescent="0.25">
      <c r="A186" s="24">
        <v>45509</v>
      </c>
      <c r="B186" s="1">
        <v>45509</v>
      </c>
      <c r="C186">
        <v>4.93</v>
      </c>
      <c r="D186">
        <v>4.9000000000000004</v>
      </c>
      <c r="E186">
        <v>4.96</v>
      </c>
      <c r="F186">
        <v>5.03</v>
      </c>
      <c r="G186">
        <v>5.09</v>
      </c>
      <c r="H186">
        <v>5.14</v>
      </c>
      <c r="I186">
        <v>5.36</v>
      </c>
      <c r="J186">
        <v>5.43</v>
      </c>
      <c r="K186">
        <v>5.5</v>
      </c>
      <c r="M186" s="3"/>
      <c r="N186" s="17"/>
      <c r="O186" s="17"/>
      <c r="P186" s="17"/>
      <c r="Q186" s="17"/>
      <c r="R186" s="17"/>
      <c r="S186" s="17"/>
      <c r="T186" s="17"/>
      <c r="U186" s="17"/>
      <c r="V186" s="17"/>
      <c r="AE186" s="2"/>
      <c r="AQ186" s="2"/>
      <c r="AR186" s="2"/>
      <c r="AS186" s="2"/>
      <c r="AT186" s="2"/>
      <c r="AU186" s="2"/>
      <c r="AV186" s="2"/>
      <c r="AW186" s="2"/>
      <c r="AX186" s="2"/>
      <c r="AY186" s="2"/>
    </row>
    <row r="187" spans="1:51" x14ac:dyDescent="0.25">
      <c r="A187" s="24">
        <v>45506</v>
      </c>
      <c r="B187" s="1">
        <v>45506</v>
      </c>
      <c r="C187">
        <v>4.7699999999999996</v>
      </c>
      <c r="D187">
        <v>4.83</v>
      </c>
      <c r="E187">
        <v>4.88</v>
      </c>
      <c r="F187">
        <v>5</v>
      </c>
      <c r="G187">
        <v>5.08</v>
      </c>
      <c r="H187">
        <v>5.13</v>
      </c>
      <c r="I187">
        <v>5.38</v>
      </c>
      <c r="J187">
        <v>5.44</v>
      </c>
      <c r="K187">
        <v>5.5</v>
      </c>
      <c r="M187" s="3"/>
      <c r="N187" s="17"/>
      <c r="O187" s="17"/>
      <c r="P187" s="17"/>
      <c r="Q187" s="17"/>
      <c r="R187" s="17"/>
      <c r="S187" s="17"/>
      <c r="T187" s="17"/>
      <c r="U187" s="17"/>
      <c r="V187" s="17"/>
      <c r="AE187" s="2"/>
      <c r="AQ187" s="2"/>
      <c r="AR187" s="2"/>
      <c r="AS187" s="2"/>
      <c r="AT187" s="2"/>
      <c r="AU187" s="2"/>
      <c r="AV187" s="2"/>
      <c r="AW187" s="2"/>
      <c r="AX187" s="2"/>
      <c r="AY187" s="2"/>
    </row>
    <row r="188" spans="1:51" x14ac:dyDescent="0.25">
      <c r="A188" s="24">
        <v>45505</v>
      </c>
      <c r="B188" s="1">
        <v>45505</v>
      </c>
      <c r="C188">
        <v>4.62</v>
      </c>
      <c r="D188">
        <v>4.75</v>
      </c>
      <c r="E188">
        <v>4.83</v>
      </c>
      <c r="F188">
        <v>4.9800000000000004</v>
      </c>
      <c r="G188">
        <v>5.08</v>
      </c>
      <c r="H188">
        <v>5.18</v>
      </c>
      <c r="I188">
        <v>5.36</v>
      </c>
      <c r="J188">
        <v>5.44</v>
      </c>
      <c r="K188">
        <v>5.49</v>
      </c>
      <c r="M188" s="3"/>
      <c r="N188" s="17"/>
      <c r="O188" s="17"/>
      <c r="P188" s="17"/>
      <c r="Q188" s="17"/>
      <c r="R188" s="17"/>
      <c r="S188" s="17"/>
      <c r="T188" s="17"/>
      <c r="U188" s="17"/>
      <c r="V188" s="17"/>
      <c r="AE188" s="2"/>
      <c r="AQ188" s="2"/>
      <c r="AR188" s="2"/>
      <c r="AS188" s="2"/>
      <c r="AT188" s="2"/>
      <c r="AU188" s="2"/>
      <c r="AV188" s="2"/>
      <c r="AW188" s="2"/>
      <c r="AX188" s="2"/>
      <c r="AY188" s="2"/>
    </row>
    <row r="189" spans="1:51" x14ac:dyDescent="0.25">
      <c r="A189" s="24">
        <v>45504</v>
      </c>
      <c r="B189" s="1">
        <v>45504</v>
      </c>
      <c r="C189">
        <v>4.47</v>
      </c>
      <c r="D189">
        <v>4.68</v>
      </c>
      <c r="E189">
        <v>4.82</v>
      </c>
      <c r="F189">
        <v>4.95</v>
      </c>
      <c r="G189">
        <v>5.05</v>
      </c>
      <c r="H189">
        <v>5.13</v>
      </c>
      <c r="I189">
        <v>5.36</v>
      </c>
      <c r="J189">
        <v>5.42</v>
      </c>
      <c r="K189">
        <v>5.49</v>
      </c>
      <c r="M189" s="3"/>
      <c r="N189" s="17"/>
      <c r="O189" s="17"/>
      <c r="P189" s="17"/>
      <c r="Q189" s="17"/>
      <c r="R189" s="17"/>
      <c r="S189" s="17"/>
      <c r="T189" s="17"/>
      <c r="U189" s="17"/>
      <c r="V189" s="17"/>
      <c r="AE189" s="2"/>
      <c r="AQ189" s="2"/>
      <c r="AR189" s="2"/>
      <c r="AS189" s="2"/>
      <c r="AT189" s="2"/>
      <c r="AU189" s="2"/>
      <c r="AV189" s="2"/>
      <c r="AW189" s="2"/>
      <c r="AX189" s="2"/>
      <c r="AY189" s="2"/>
    </row>
    <row r="190" spans="1:51" x14ac:dyDescent="0.25">
      <c r="A190" s="24">
        <v>45503</v>
      </c>
      <c r="B190" s="1">
        <v>45503</v>
      </c>
      <c r="C190">
        <v>4.68</v>
      </c>
      <c r="D190">
        <v>4.87</v>
      </c>
      <c r="E190">
        <v>4.95</v>
      </c>
      <c r="F190">
        <v>5</v>
      </c>
      <c r="G190">
        <v>5.0999999999999996</v>
      </c>
      <c r="H190">
        <v>5.18</v>
      </c>
      <c r="I190">
        <v>5.38</v>
      </c>
      <c r="J190">
        <v>5.44</v>
      </c>
      <c r="K190">
        <v>5.49</v>
      </c>
      <c r="M190" s="3"/>
      <c r="N190" s="17"/>
      <c r="O190" s="17"/>
      <c r="P190" s="17"/>
      <c r="Q190" s="17"/>
      <c r="R190" s="17"/>
      <c r="S190" s="17"/>
      <c r="T190" s="17"/>
      <c r="U190" s="17"/>
      <c r="V190" s="17"/>
      <c r="AE190" s="2"/>
      <c r="AQ190" s="2"/>
      <c r="AR190" s="2"/>
      <c r="AS190" s="2"/>
      <c r="AT190" s="2"/>
      <c r="AU190" s="2"/>
      <c r="AV190" s="2"/>
      <c r="AW190" s="2"/>
      <c r="AX190" s="2"/>
      <c r="AY190" s="2"/>
    </row>
    <row r="191" spans="1:51" x14ac:dyDescent="0.25">
      <c r="A191" s="24">
        <v>45502</v>
      </c>
      <c r="B191" s="1">
        <v>45502</v>
      </c>
      <c r="C191">
        <v>4.93</v>
      </c>
      <c r="D191">
        <v>5</v>
      </c>
      <c r="E191">
        <v>5</v>
      </c>
      <c r="F191">
        <v>5.0199999999999996</v>
      </c>
      <c r="G191">
        <v>5.0999999999999996</v>
      </c>
      <c r="H191">
        <v>5.2</v>
      </c>
      <c r="I191">
        <v>5.38</v>
      </c>
      <c r="J191">
        <v>5.44</v>
      </c>
      <c r="K191">
        <v>5.49</v>
      </c>
      <c r="M191" s="3"/>
      <c r="N191" s="17"/>
      <c r="O191" s="17"/>
      <c r="P191" s="17"/>
      <c r="Q191" s="17"/>
      <c r="R191" s="17"/>
      <c r="S191" s="17"/>
      <c r="T191" s="17"/>
      <c r="U191" s="17"/>
      <c r="V191" s="17"/>
      <c r="AE191" s="2"/>
      <c r="AQ191" s="2"/>
      <c r="AR191" s="2"/>
      <c r="AS191" s="2"/>
      <c r="AT191" s="2"/>
      <c r="AU191" s="2"/>
      <c r="AV191" s="2"/>
      <c r="AW191" s="2"/>
      <c r="AX191" s="2"/>
      <c r="AY191" s="2"/>
    </row>
    <row r="192" spans="1:51" x14ac:dyDescent="0.25">
      <c r="A192" s="24">
        <v>45499</v>
      </c>
      <c r="B192" s="1">
        <v>45499</v>
      </c>
      <c r="C192">
        <v>4.93</v>
      </c>
      <c r="D192">
        <v>5</v>
      </c>
      <c r="E192">
        <v>5</v>
      </c>
      <c r="F192">
        <v>5.0199999999999996</v>
      </c>
      <c r="G192">
        <v>5.0999999999999996</v>
      </c>
      <c r="H192">
        <v>5.22</v>
      </c>
      <c r="I192">
        <v>5.39</v>
      </c>
      <c r="J192">
        <v>5.44</v>
      </c>
      <c r="K192">
        <v>5.48</v>
      </c>
      <c r="M192" s="3"/>
      <c r="N192" s="17"/>
      <c r="O192" s="17"/>
      <c r="P192" s="17"/>
      <c r="Q192" s="17"/>
      <c r="R192" s="17"/>
      <c r="S192" s="17"/>
      <c r="T192" s="17"/>
      <c r="U192" s="17"/>
      <c r="V192" s="17"/>
      <c r="AE192" s="2"/>
      <c r="AQ192" s="2"/>
      <c r="AR192" s="2"/>
      <c r="AS192" s="2"/>
      <c r="AT192" s="2"/>
      <c r="AU192" s="2"/>
      <c r="AV192" s="2"/>
      <c r="AW192" s="2"/>
      <c r="AX192" s="2"/>
      <c r="AY192" s="2"/>
    </row>
    <row r="193" spans="1:51" x14ac:dyDescent="0.25">
      <c r="A193" s="24">
        <v>45498</v>
      </c>
      <c r="B193" s="1">
        <v>45498</v>
      </c>
      <c r="C193">
        <v>4.88</v>
      </c>
      <c r="D193">
        <v>4.9800000000000004</v>
      </c>
      <c r="E193">
        <v>5</v>
      </c>
      <c r="F193">
        <v>5.0199999999999996</v>
      </c>
      <c r="G193">
        <v>5.0999999999999996</v>
      </c>
      <c r="H193">
        <v>5.22</v>
      </c>
      <c r="I193">
        <v>5.39</v>
      </c>
      <c r="J193">
        <v>5.44</v>
      </c>
      <c r="K193">
        <v>5.48</v>
      </c>
      <c r="M193" s="3"/>
      <c r="N193" s="17"/>
      <c r="O193" s="17"/>
      <c r="P193" s="17"/>
      <c r="Q193" s="17"/>
      <c r="R193" s="17"/>
      <c r="S193" s="17"/>
      <c r="T193" s="17"/>
      <c r="U193" s="17"/>
      <c r="V193" s="17"/>
      <c r="AE193" s="2"/>
      <c r="AQ193" s="2"/>
      <c r="AR193" s="2"/>
      <c r="AS193" s="2"/>
      <c r="AT193" s="2"/>
      <c r="AU193" s="2"/>
      <c r="AV193" s="2"/>
      <c r="AW193" s="2"/>
      <c r="AX193" s="2"/>
      <c r="AY193" s="2"/>
    </row>
    <row r="194" spans="1:51" x14ac:dyDescent="0.25">
      <c r="A194" s="24">
        <v>45497</v>
      </c>
      <c r="B194" s="1">
        <v>45497</v>
      </c>
      <c r="C194">
        <v>4.8</v>
      </c>
      <c r="D194">
        <v>4.87</v>
      </c>
      <c r="E194">
        <v>4.95</v>
      </c>
      <c r="F194">
        <v>5.0199999999999996</v>
      </c>
      <c r="G194">
        <v>5.0999999999999996</v>
      </c>
      <c r="H194">
        <v>5.18</v>
      </c>
      <c r="I194">
        <v>5.39</v>
      </c>
      <c r="J194">
        <v>5.44</v>
      </c>
      <c r="K194">
        <v>5.49</v>
      </c>
      <c r="M194" s="3"/>
      <c r="N194" s="17"/>
      <c r="O194" s="17"/>
      <c r="P194" s="17"/>
      <c r="Q194" s="17"/>
      <c r="R194" s="17"/>
      <c r="S194" s="17"/>
      <c r="T194" s="17"/>
      <c r="U194" s="17"/>
      <c r="V194" s="17"/>
      <c r="AE194" s="2"/>
      <c r="AQ194" s="2"/>
      <c r="AR194" s="2"/>
      <c r="AS194" s="2"/>
      <c r="AT194" s="2"/>
      <c r="AU194" s="2"/>
      <c r="AV194" s="2"/>
      <c r="AW194" s="2"/>
      <c r="AX194" s="2"/>
      <c r="AY194" s="2"/>
    </row>
    <row r="195" spans="1:51" x14ac:dyDescent="0.25">
      <c r="A195" s="24">
        <v>45496</v>
      </c>
      <c r="B195" s="1">
        <v>45496</v>
      </c>
      <c r="C195">
        <v>4.66</v>
      </c>
      <c r="D195">
        <v>4.74</v>
      </c>
      <c r="E195">
        <v>4.83</v>
      </c>
      <c r="F195">
        <v>4.96</v>
      </c>
      <c r="G195">
        <v>5.0999999999999996</v>
      </c>
      <c r="H195">
        <v>5.19</v>
      </c>
      <c r="I195">
        <v>5.39</v>
      </c>
      <c r="J195">
        <v>5.43</v>
      </c>
      <c r="K195">
        <v>5.48</v>
      </c>
      <c r="M195" s="3"/>
      <c r="N195" s="17"/>
      <c r="O195" s="17"/>
      <c r="P195" s="17"/>
      <c r="Q195" s="17"/>
      <c r="R195" s="17"/>
      <c r="S195" s="17"/>
      <c r="T195" s="17"/>
      <c r="U195" s="17"/>
      <c r="V195" s="17"/>
      <c r="AE195" s="2"/>
      <c r="AQ195" s="2"/>
      <c r="AR195" s="2"/>
      <c r="AS195" s="2"/>
      <c r="AT195" s="2"/>
      <c r="AU195" s="2"/>
      <c r="AV195" s="2"/>
      <c r="AW195" s="2"/>
      <c r="AX195" s="2"/>
      <c r="AY195" s="2"/>
    </row>
    <row r="196" spans="1:51" x14ac:dyDescent="0.25">
      <c r="A196" s="24">
        <v>45495</v>
      </c>
      <c r="B196" s="1">
        <v>45495</v>
      </c>
      <c r="C196">
        <v>4.5999999999999996</v>
      </c>
      <c r="D196">
        <v>4.71</v>
      </c>
      <c r="E196">
        <v>4.8</v>
      </c>
      <c r="F196">
        <v>4.96</v>
      </c>
      <c r="G196">
        <v>5.09</v>
      </c>
      <c r="H196">
        <v>5.19</v>
      </c>
      <c r="I196">
        <v>5.4</v>
      </c>
      <c r="J196">
        <v>5.45</v>
      </c>
      <c r="K196">
        <v>5.48</v>
      </c>
      <c r="M196" s="3"/>
      <c r="N196" s="17"/>
      <c r="O196" s="17"/>
      <c r="P196" s="17"/>
      <c r="Q196" s="17"/>
      <c r="R196" s="17"/>
      <c r="S196" s="17"/>
      <c r="T196" s="17"/>
      <c r="U196" s="17"/>
      <c r="V196" s="17"/>
      <c r="AE196" s="2"/>
      <c r="AQ196" s="2"/>
      <c r="AR196" s="2"/>
      <c r="AS196" s="2"/>
      <c r="AT196" s="2"/>
      <c r="AU196" s="2"/>
      <c r="AV196" s="2"/>
      <c r="AW196" s="2"/>
      <c r="AX196" s="2"/>
      <c r="AY196" s="2"/>
    </row>
    <row r="197" spans="1:51" x14ac:dyDescent="0.25">
      <c r="A197" s="24">
        <v>45492</v>
      </c>
      <c r="B197" s="1">
        <v>45492</v>
      </c>
      <c r="C197">
        <v>4.54</v>
      </c>
      <c r="D197">
        <v>4.6399999999999997</v>
      </c>
      <c r="E197">
        <v>4.78</v>
      </c>
      <c r="F197">
        <v>4.96</v>
      </c>
      <c r="G197">
        <v>5.12</v>
      </c>
      <c r="H197">
        <v>5.2</v>
      </c>
      <c r="I197">
        <v>5.4</v>
      </c>
      <c r="J197">
        <v>5.43</v>
      </c>
      <c r="K197">
        <v>5.45</v>
      </c>
      <c r="M197" s="3"/>
      <c r="N197" s="17"/>
      <c r="O197" s="17"/>
      <c r="P197" s="17"/>
      <c r="Q197" s="17"/>
      <c r="R197" s="17"/>
      <c r="S197" s="17"/>
      <c r="T197" s="17"/>
      <c r="U197" s="17"/>
      <c r="V197" s="17"/>
      <c r="AE197" s="2"/>
      <c r="AQ197" s="2"/>
      <c r="AR197" s="2"/>
      <c r="AS197" s="2"/>
      <c r="AT197" s="2"/>
      <c r="AU197" s="2"/>
      <c r="AV197" s="2"/>
      <c r="AW197" s="2"/>
      <c r="AX197" s="2"/>
      <c r="AY197" s="2"/>
    </row>
    <row r="198" spans="1:51" x14ac:dyDescent="0.25">
      <c r="A198" s="24">
        <v>45491</v>
      </c>
      <c r="B198" s="1">
        <v>45491</v>
      </c>
      <c r="C198">
        <v>4.5199999999999996</v>
      </c>
      <c r="D198">
        <v>4.6500000000000004</v>
      </c>
      <c r="E198">
        <v>4.78</v>
      </c>
      <c r="F198">
        <v>4.97</v>
      </c>
      <c r="G198">
        <v>5.0999999999999996</v>
      </c>
      <c r="H198">
        <v>5.2</v>
      </c>
      <c r="I198">
        <v>5.4</v>
      </c>
      <c r="J198">
        <v>5.44</v>
      </c>
      <c r="K198">
        <v>5.46</v>
      </c>
      <c r="M198" s="3"/>
      <c r="N198" s="17"/>
      <c r="O198" s="17"/>
      <c r="P198" s="17"/>
      <c r="Q198" s="17"/>
      <c r="R198" s="17"/>
      <c r="S198" s="17"/>
      <c r="T198" s="17"/>
      <c r="U198" s="17"/>
      <c r="V198" s="17"/>
      <c r="AE198" s="2"/>
      <c r="AQ198" s="2"/>
      <c r="AR198" s="2"/>
      <c r="AS198" s="2"/>
      <c r="AT198" s="2"/>
      <c r="AU198" s="2"/>
      <c r="AV198" s="2"/>
      <c r="AW198" s="2"/>
      <c r="AX198" s="2"/>
      <c r="AY198" s="2"/>
    </row>
    <row r="199" spans="1:51" x14ac:dyDescent="0.25">
      <c r="A199" s="24">
        <v>45490</v>
      </c>
      <c r="B199" s="1">
        <v>45490</v>
      </c>
      <c r="C199">
        <v>4.5999999999999996</v>
      </c>
      <c r="D199">
        <v>4.7</v>
      </c>
      <c r="E199">
        <v>4.8</v>
      </c>
      <c r="F199">
        <v>4.9800000000000004</v>
      </c>
      <c r="G199">
        <v>5.0999999999999996</v>
      </c>
      <c r="H199">
        <v>5.2</v>
      </c>
      <c r="I199">
        <v>5.4</v>
      </c>
      <c r="J199">
        <v>5.45</v>
      </c>
      <c r="K199">
        <v>5.48</v>
      </c>
      <c r="M199" s="3"/>
      <c r="N199" s="17"/>
      <c r="O199" s="17"/>
      <c r="P199" s="17"/>
      <c r="Q199" s="17"/>
      <c r="R199" s="17"/>
      <c r="S199" s="17"/>
      <c r="T199" s="17"/>
      <c r="U199" s="17"/>
      <c r="V199" s="17"/>
      <c r="AE199" s="2"/>
      <c r="AQ199" s="2"/>
      <c r="AR199" s="2"/>
      <c r="AS199" s="2"/>
      <c r="AT199" s="2"/>
      <c r="AU199" s="2"/>
      <c r="AV199" s="2"/>
      <c r="AW199" s="2"/>
      <c r="AX199" s="2"/>
      <c r="AY199" s="2"/>
    </row>
    <row r="200" spans="1:51" x14ac:dyDescent="0.25">
      <c r="A200" s="24">
        <v>45489</v>
      </c>
      <c r="B200" s="1">
        <v>45489</v>
      </c>
      <c r="C200">
        <v>4.5</v>
      </c>
      <c r="D200">
        <v>4.6500000000000004</v>
      </c>
      <c r="E200">
        <v>4.7699999999999996</v>
      </c>
      <c r="F200">
        <v>4.97</v>
      </c>
      <c r="G200">
        <v>5.08</v>
      </c>
      <c r="H200">
        <v>5.2</v>
      </c>
      <c r="I200">
        <v>5.4</v>
      </c>
      <c r="J200">
        <v>5.44</v>
      </c>
      <c r="K200">
        <v>5.47</v>
      </c>
      <c r="M200" s="3"/>
      <c r="N200" s="17"/>
      <c r="O200" s="17"/>
      <c r="P200" s="17"/>
      <c r="Q200" s="17"/>
      <c r="R200" s="17"/>
      <c r="S200" s="17"/>
      <c r="T200" s="17"/>
      <c r="U200" s="17"/>
      <c r="V200" s="17"/>
      <c r="AE200" s="2"/>
      <c r="AQ200" s="2"/>
      <c r="AR200" s="2"/>
      <c r="AS200" s="2"/>
      <c r="AT200" s="2"/>
      <c r="AU200" s="2"/>
      <c r="AV200" s="2"/>
      <c r="AW200" s="2"/>
      <c r="AX200" s="2"/>
      <c r="AY200" s="2"/>
    </row>
    <row r="201" spans="1:51" x14ac:dyDescent="0.25">
      <c r="A201" s="24">
        <v>45488</v>
      </c>
      <c r="B201" s="1">
        <v>45488</v>
      </c>
      <c r="C201">
        <v>4.5</v>
      </c>
      <c r="D201">
        <v>4.5999999999999996</v>
      </c>
      <c r="E201">
        <v>4.74</v>
      </c>
      <c r="F201">
        <v>4.96</v>
      </c>
      <c r="G201">
        <v>5.12</v>
      </c>
      <c r="H201">
        <v>5.2</v>
      </c>
      <c r="I201">
        <v>5.4</v>
      </c>
      <c r="J201">
        <v>5.43</v>
      </c>
      <c r="K201">
        <v>5.45</v>
      </c>
      <c r="M201" s="3"/>
      <c r="N201" s="17"/>
      <c r="O201" s="17"/>
      <c r="P201" s="17"/>
      <c r="Q201" s="17"/>
      <c r="R201" s="17"/>
      <c r="S201" s="17"/>
      <c r="T201" s="17"/>
      <c r="U201" s="17"/>
      <c r="V201" s="17"/>
      <c r="AE201" s="2"/>
      <c r="AQ201" s="2"/>
      <c r="AR201" s="2"/>
      <c r="AS201" s="2"/>
      <c r="AT201" s="2"/>
      <c r="AU201" s="2"/>
      <c r="AV201" s="2"/>
      <c r="AW201" s="2"/>
      <c r="AX201" s="2"/>
      <c r="AY201" s="2"/>
    </row>
    <row r="202" spans="1:51" x14ac:dyDescent="0.25">
      <c r="A202" s="24">
        <v>45485</v>
      </c>
      <c r="B202" s="1">
        <v>45485</v>
      </c>
      <c r="C202">
        <v>4.5</v>
      </c>
      <c r="D202">
        <v>4.6100000000000003</v>
      </c>
      <c r="E202">
        <v>4.74</v>
      </c>
      <c r="F202">
        <v>4.97</v>
      </c>
      <c r="G202">
        <v>5.0999999999999996</v>
      </c>
      <c r="H202">
        <v>5.21</v>
      </c>
      <c r="I202">
        <v>5.39</v>
      </c>
      <c r="J202">
        <v>5.43</v>
      </c>
      <c r="K202">
        <v>5.47</v>
      </c>
      <c r="M202" s="3"/>
      <c r="N202" s="17"/>
      <c r="O202" s="17"/>
      <c r="P202" s="17"/>
      <c r="Q202" s="17"/>
      <c r="R202" s="17"/>
      <c r="S202" s="17"/>
      <c r="T202" s="17"/>
      <c r="U202" s="17"/>
      <c r="V202" s="17"/>
      <c r="AE202" s="2"/>
      <c r="AQ202" s="2"/>
      <c r="AR202" s="2"/>
      <c r="AS202" s="2"/>
      <c r="AT202" s="2"/>
      <c r="AU202" s="2"/>
      <c r="AV202" s="2"/>
      <c r="AW202" s="2"/>
      <c r="AX202" s="2"/>
      <c r="AY202" s="2"/>
    </row>
    <row r="203" spans="1:51" x14ac:dyDescent="0.25">
      <c r="A203" s="24">
        <v>45484</v>
      </c>
      <c r="B203" s="1">
        <v>45484</v>
      </c>
      <c r="C203">
        <v>4.6399999999999997</v>
      </c>
      <c r="D203">
        <v>4.74</v>
      </c>
      <c r="E203">
        <v>4.8600000000000003</v>
      </c>
      <c r="F203">
        <v>5</v>
      </c>
      <c r="G203">
        <v>5.0999999999999996</v>
      </c>
      <c r="H203">
        <v>5.21</v>
      </c>
      <c r="I203">
        <v>5.4</v>
      </c>
      <c r="J203">
        <v>5.43</v>
      </c>
      <c r="K203">
        <v>5.45</v>
      </c>
      <c r="M203" s="3"/>
      <c r="N203" s="17"/>
      <c r="O203" s="17"/>
      <c r="P203" s="17"/>
      <c r="Q203" s="17"/>
      <c r="R203" s="17"/>
      <c r="S203" s="17"/>
      <c r="T203" s="17"/>
      <c r="U203" s="17"/>
      <c r="V203" s="17"/>
      <c r="AE203" s="2"/>
      <c r="AQ203" s="2"/>
      <c r="AR203" s="2"/>
      <c r="AS203" s="2"/>
      <c r="AT203" s="2"/>
      <c r="AU203" s="2"/>
      <c r="AV203" s="2"/>
      <c r="AW203" s="2"/>
      <c r="AX203" s="2"/>
      <c r="AY203" s="2"/>
    </row>
    <row r="204" spans="1:51" x14ac:dyDescent="0.25">
      <c r="A204" s="24">
        <v>45483</v>
      </c>
      <c r="B204" s="1">
        <v>45483</v>
      </c>
      <c r="C204">
        <v>4.91</v>
      </c>
      <c r="D204">
        <v>4.99</v>
      </c>
      <c r="E204">
        <v>5.03</v>
      </c>
      <c r="F204">
        <v>5.04</v>
      </c>
      <c r="G204">
        <v>5.0999999999999996</v>
      </c>
      <c r="H204">
        <v>5.21</v>
      </c>
      <c r="I204">
        <v>5.4</v>
      </c>
      <c r="J204">
        <v>5.45</v>
      </c>
      <c r="K204">
        <v>5.47</v>
      </c>
      <c r="M204" s="3"/>
      <c r="N204" s="17"/>
      <c r="O204" s="17"/>
      <c r="P204" s="17"/>
      <c r="Q204" s="17"/>
      <c r="R204" s="17"/>
      <c r="S204" s="17"/>
      <c r="T204" s="17"/>
      <c r="U204" s="17"/>
      <c r="V204" s="17"/>
      <c r="AE204" s="2"/>
      <c r="AQ204" s="2"/>
      <c r="AR204" s="2"/>
      <c r="AS204" s="2"/>
      <c r="AT204" s="2"/>
      <c r="AU204" s="2"/>
      <c r="AV204" s="2"/>
      <c r="AW204" s="2"/>
      <c r="AX204" s="2"/>
      <c r="AY204" s="2"/>
    </row>
    <row r="205" spans="1:51" x14ac:dyDescent="0.25">
      <c r="A205" s="24">
        <v>45482</v>
      </c>
      <c r="B205" s="1">
        <v>45482</v>
      </c>
      <c r="C205">
        <v>4.99</v>
      </c>
      <c r="D205">
        <v>5.01</v>
      </c>
      <c r="E205">
        <v>5.0599999999999996</v>
      </c>
      <c r="F205">
        <v>5.07</v>
      </c>
      <c r="G205">
        <v>5.14</v>
      </c>
      <c r="H205">
        <v>5.23</v>
      </c>
      <c r="I205">
        <v>5.39</v>
      </c>
      <c r="J205">
        <v>5.43</v>
      </c>
      <c r="K205">
        <v>5.47</v>
      </c>
      <c r="M205" s="3"/>
      <c r="N205" s="17"/>
      <c r="O205" s="17"/>
      <c r="P205" s="17"/>
      <c r="Q205" s="17"/>
      <c r="R205" s="17"/>
      <c r="S205" s="17"/>
      <c r="T205" s="17"/>
      <c r="U205" s="17"/>
      <c r="V205" s="17"/>
      <c r="AE205" s="2"/>
      <c r="AQ205" s="2"/>
      <c r="AR205" s="2"/>
      <c r="AS205" s="2"/>
      <c r="AT205" s="2"/>
      <c r="AU205" s="2"/>
      <c r="AV205" s="2"/>
      <c r="AW205" s="2"/>
      <c r="AX205" s="2"/>
      <c r="AY205" s="2"/>
    </row>
    <row r="206" spans="1:51" x14ac:dyDescent="0.25">
      <c r="A206" s="24">
        <v>45481</v>
      </c>
      <c r="B206" s="1">
        <v>45481</v>
      </c>
      <c r="C206">
        <v>4.9000000000000004</v>
      </c>
      <c r="D206">
        <v>4.9800000000000004</v>
      </c>
      <c r="E206">
        <v>5.0199999999999996</v>
      </c>
      <c r="F206">
        <v>5.0199999999999996</v>
      </c>
      <c r="G206">
        <v>5.0999999999999996</v>
      </c>
      <c r="H206">
        <v>5.2</v>
      </c>
      <c r="I206">
        <v>5.4</v>
      </c>
      <c r="J206">
        <v>5.45</v>
      </c>
      <c r="K206">
        <v>5.48</v>
      </c>
      <c r="M206" s="3"/>
      <c r="N206" s="17"/>
      <c r="O206" s="17"/>
      <c r="P206" s="17"/>
      <c r="Q206" s="17"/>
      <c r="R206" s="17"/>
      <c r="S206" s="17"/>
      <c r="T206" s="17"/>
      <c r="U206" s="17"/>
      <c r="V206" s="17"/>
      <c r="AE206" s="2"/>
      <c r="AQ206" s="2"/>
      <c r="AR206" s="2"/>
      <c r="AS206" s="2"/>
      <c r="AT206" s="2"/>
      <c r="AU206" s="2"/>
      <c r="AV206" s="2"/>
      <c r="AW206" s="2"/>
      <c r="AX206" s="2"/>
      <c r="AY206" s="2"/>
    </row>
    <row r="207" spans="1:51" x14ac:dyDescent="0.25">
      <c r="A207" s="24">
        <v>45478</v>
      </c>
      <c r="B207" s="1">
        <v>45478</v>
      </c>
      <c r="C207">
        <v>4.8</v>
      </c>
      <c r="D207">
        <v>4.8600000000000003</v>
      </c>
      <c r="E207">
        <v>4.92</v>
      </c>
      <c r="F207">
        <v>4.9400000000000004</v>
      </c>
      <c r="G207">
        <v>5.08</v>
      </c>
      <c r="H207">
        <v>5.16</v>
      </c>
      <c r="I207">
        <v>5.38</v>
      </c>
      <c r="J207">
        <v>5.42</v>
      </c>
      <c r="K207">
        <v>5.44</v>
      </c>
      <c r="M207" s="3"/>
      <c r="N207" s="17"/>
      <c r="O207" s="17"/>
      <c r="P207" s="17"/>
      <c r="Q207" s="17"/>
      <c r="R207" s="17"/>
      <c r="S207" s="17"/>
      <c r="T207" s="17"/>
      <c r="U207" s="17"/>
      <c r="V207" s="17"/>
      <c r="AE207" s="2"/>
      <c r="AQ207" s="2"/>
      <c r="AR207" s="2"/>
      <c r="AS207" s="2"/>
      <c r="AT207" s="2"/>
      <c r="AU207" s="2"/>
      <c r="AV207" s="2"/>
      <c r="AW207" s="2"/>
      <c r="AX207" s="2"/>
      <c r="AY207" s="2"/>
    </row>
    <row r="208" spans="1:51" x14ac:dyDescent="0.25">
      <c r="A208" s="24">
        <v>45477</v>
      </c>
      <c r="B208" s="1">
        <v>45477</v>
      </c>
      <c r="C208">
        <v>4.53</v>
      </c>
      <c r="D208">
        <v>4.6900000000000004</v>
      </c>
      <c r="E208">
        <v>4.79</v>
      </c>
      <c r="F208">
        <v>4.91</v>
      </c>
      <c r="G208">
        <v>5.03</v>
      </c>
      <c r="H208">
        <v>5.14</v>
      </c>
      <c r="I208">
        <v>5.39</v>
      </c>
      <c r="J208">
        <v>5.43</v>
      </c>
      <c r="K208">
        <v>5.45</v>
      </c>
      <c r="M208" s="3"/>
      <c r="N208" s="17"/>
      <c r="O208" s="17"/>
      <c r="P208" s="17"/>
      <c r="Q208" s="17"/>
      <c r="R208" s="17"/>
      <c r="S208" s="17"/>
      <c r="T208" s="17"/>
      <c r="U208" s="17"/>
      <c r="V208" s="17"/>
      <c r="AE208" s="2"/>
      <c r="AQ208" s="2"/>
      <c r="AR208" s="2"/>
      <c r="AS208" s="2"/>
      <c r="AT208" s="2"/>
      <c r="AU208" s="2"/>
      <c r="AV208" s="2"/>
      <c r="AW208" s="2"/>
      <c r="AX208" s="2"/>
      <c r="AY208" s="2"/>
    </row>
    <row r="209" spans="1:51" x14ac:dyDescent="0.25">
      <c r="A209" s="24">
        <v>45476</v>
      </c>
      <c r="B209" s="1">
        <v>45476</v>
      </c>
      <c r="C209">
        <v>4.4800000000000004</v>
      </c>
      <c r="D209">
        <v>4.5999999999999996</v>
      </c>
      <c r="E209">
        <v>4.76</v>
      </c>
      <c r="F209">
        <v>4.88</v>
      </c>
      <c r="G209">
        <v>5.0199999999999996</v>
      </c>
      <c r="H209">
        <v>5.14</v>
      </c>
      <c r="I209">
        <v>5.4</v>
      </c>
      <c r="J209">
        <v>5.43</v>
      </c>
      <c r="K209">
        <v>5.45</v>
      </c>
      <c r="M209" s="3"/>
      <c r="N209" s="17"/>
      <c r="O209" s="17"/>
      <c r="P209" s="17"/>
      <c r="Q209" s="17"/>
      <c r="R209" s="17"/>
      <c r="S209" s="17"/>
      <c r="T209" s="17"/>
      <c r="U209" s="17"/>
      <c r="V209" s="17"/>
      <c r="AE209" s="2"/>
      <c r="AQ209" s="2"/>
      <c r="AR209" s="2"/>
      <c r="AS209" s="2"/>
      <c r="AT209" s="2"/>
      <c r="AU209" s="2"/>
      <c r="AV209" s="2"/>
      <c r="AW209" s="2"/>
      <c r="AX209" s="2"/>
      <c r="AY209" s="2"/>
    </row>
    <row r="210" spans="1:51" x14ac:dyDescent="0.25">
      <c r="A210" s="24">
        <v>45475</v>
      </c>
      <c r="B210" s="1">
        <v>45475</v>
      </c>
      <c r="C210">
        <v>4.51</v>
      </c>
      <c r="D210">
        <v>4.67</v>
      </c>
      <c r="E210">
        <v>4.8</v>
      </c>
      <c r="F210">
        <v>4.91</v>
      </c>
      <c r="G210">
        <v>5.0599999999999996</v>
      </c>
      <c r="H210">
        <v>5.16</v>
      </c>
      <c r="I210">
        <v>5.39</v>
      </c>
      <c r="J210">
        <v>5.43</v>
      </c>
      <c r="K210">
        <v>5.45</v>
      </c>
      <c r="M210" s="3"/>
      <c r="N210" s="17"/>
      <c r="O210" s="17"/>
      <c r="P210" s="17"/>
      <c r="Q210" s="17"/>
      <c r="R210" s="17"/>
      <c r="S210" s="17"/>
      <c r="T210" s="17"/>
      <c r="U210" s="17"/>
      <c r="V210" s="17"/>
      <c r="AE210" s="2"/>
      <c r="AQ210" s="2"/>
      <c r="AR210" s="2"/>
      <c r="AS210" s="2"/>
      <c r="AT210" s="2"/>
      <c r="AU210" s="2"/>
      <c r="AV210" s="2"/>
      <c r="AW210" s="2"/>
      <c r="AX210" s="2"/>
      <c r="AY210" s="2"/>
    </row>
    <row r="211" spans="1:51" x14ac:dyDescent="0.25">
      <c r="A211" s="24">
        <v>45474</v>
      </c>
      <c r="B211" s="1">
        <v>45474</v>
      </c>
      <c r="C211">
        <v>4.8600000000000003</v>
      </c>
      <c r="D211">
        <v>4.9400000000000004</v>
      </c>
      <c r="E211">
        <v>5.0199999999999996</v>
      </c>
      <c r="F211">
        <v>5.04</v>
      </c>
      <c r="G211">
        <v>5.16</v>
      </c>
      <c r="H211">
        <v>5.2</v>
      </c>
      <c r="I211">
        <v>5.4</v>
      </c>
      <c r="J211">
        <v>5.38</v>
      </c>
      <c r="K211">
        <v>5.43</v>
      </c>
      <c r="M211" s="3"/>
      <c r="N211" s="17"/>
      <c r="O211" s="17"/>
      <c r="P211" s="17"/>
      <c r="Q211" s="17"/>
      <c r="R211" s="17"/>
      <c r="S211" s="17"/>
      <c r="T211" s="17"/>
      <c r="U211" s="17"/>
      <c r="V211" s="17"/>
      <c r="AE211" s="2"/>
      <c r="AQ211" s="2"/>
      <c r="AR211" s="2"/>
      <c r="AS211" s="2"/>
      <c r="AT211" s="2"/>
      <c r="AU211" s="2"/>
      <c r="AV211" s="2"/>
      <c r="AW211" s="2"/>
      <c r="AX211" s="2"/>
      <c r="AY211" s="2"/>
    </row>
    <row r="212" spans="1:51" x14ac:dyDescent="0.25">
      <c r="A212" s="24">
        <v>45471</v>
      </c>
      <c r="B212" s="1">
        <v>45471</v>
      </c>
      <c r="C212">
        <v>4.74</v>
      </c>
      <c r="D212">
        <v>4.9000000000000004</v>
      </c>
      <c r="E212">
        <v>4.92</v>
      </c>
      <c r="F212">
        <v>5</v>
      </c>
      <c r="G212">
        <v>5.08</v>
      </c>
      <c r="H212">
        <v>5.14</v>
      </c>
      <c r="I212">
        <v>5.38</v>
      </c>
      <c r="J212">
        <v>5.43</v>
      </c>
      <c r="K212">
        <v>5.45</v>
      </c>
      <c r="M212" s="3"/>
      <c r="N212" s="17"/>
      <c r="O212" s="17"/>
      <c r="P212" s="17"/>
      <c r="Q212" s="17"/>
      <c r="R212" s="17"/>
      <c r="S212" s="17"/>
      <c r="T212" s="17"/>
      <c r="U212" s="17"/>
      <c r="V212" s="17"/>
      <c r="AE212" s="2"/>
      <c r="AQ212" s="2"/>
      <c r="AR212" s="2"/>
      <c r="AS212" s="2"/>
      <c r="AT212" s="2"/>
      <c r="AU212" s="2"/>
      <c r="AV212" s="2"/>
      <c r="AW212" s="2"/>
      <c r="AX212" s="2"/>
      <c r="AY212" s="2"/>
    </row>
    <row r="213" spans="1:51" x14ac:dyDescent="0.25">
      <c r="A213" s="24">
        <v>45470</v>
      </c>
      <c r="B213" s="1">
        <v>45470</v>
      </c>
      <c r="C213">
        <v>3.02</v>
      </c>
      <c r="D213">
        <v>4.4800000000000004</v>
      </c>
      <c r="E213">
        <v>4.5999999999999996</v>
      </c>
      <c r="F213">
        <v>4.82</v>
      </c>
      <c r="G213">
        <v>4.96</v>
      </c>
      <c r="H213">
        <v>5.0599999999999996</v>
      </c>
      <c r="I213">
        <v>5.38</v>
      </c>
      <c r="J213">
        <v>5.42</v>
      </c>
      <c r="K213">
        <v>5.44</v>
      </c>
      <c r="M213" s="3"/>
      <c r="N213" s="17"/>
      <c r="O213" s="17"/>
      <c r="P213" s="17"/>
      <c r="Q213" s="17"/>
      <c r="R213" s="17"/>
      <c r="S213" s="17"/>
      <c r="T213" s="17"/>
      <c r="U213" s="17"/>
      <c r="V213" s="17"/>
      <c r="AE213" s="2"/>
      <c r="AQ213" s="2"/>
      <c r="AR213" s="2"/>
      <c r="AS213" s="2"/>
      <c r="AT213" s="2"/>
      <c r="AU213" s="2"/>
      <c r="AV213" s="2"/>
      <c r="AW213" s="2"/>
      <c r="AX213" s="2"/>
      <c r="AY213" s="2"/>
    </row>
    <row r="214" spans="1:51" x14ac:dyDescent="0.25">
      <c r="A214" s="24">
        <v>45469</v>
      </c>
      <c r="B214" s="1">
        <v>45469</v>
      </c>
      <c r="C214">
        <v>2.92</v>
      </c>
      <c r="D214">
        <v>4.16</v>
      </c>
      <c r="E214">
        <v>4.4800000000000004</v>
      </c>
      <c r="F214">
        <v>4.76</v>
      </c>
      <c r="G214">
        <v>4.92</v>
      </c>
      <c r="H214">
        <v>5.04</v>
      </c>
      <c r="I214">
        <v>5.4</v>
      </c>
      <c r="J214">
        <v>5.43</v>
      </c>
      <c r="K214">
        <v>5.45</v>
      </c>
      <c r="M214" s="3"/>
      <c r="N214" s="17"/>
      <c r="O214" s="17"/>
      <c r="P214" s="17"/>
      <c r="Q214" s="17"/>
      <c r="R214" s="17"/>
      <c r="S214" s="17"/>
      <c r="T214" s="17"/>
      <c r="U214" s="17"/>
      <c r="V214" s="17"/>
      <c r="AE214" s="2"/>
      <c r="AQ214" s="2"/>
      <c r="AR214" s="2"/>
      <c r="AS214" s="2"/>
      <c r="AT214" s="2"/>
      <c r="AU214" s="2"/>
      <c r="AV214" s="2"/>
      <c r="AW214" s="2"/>
      <c r="AX214" s="2"/>
      <c r="AY214" s="2"/>
    </row>
    <row r="215" spans="1:51" x14ac:dyDescent="0.25">
      <c r="A215" s="24">
        <v>45468</v>
      </c>
      <c r="B215" s="1">
        <v>45468</v>
      </c>
      <c r="C215">
        <v>3.4</v>
      </c>
      <c r="D215">
        <v>4.2</v>
      </c>
      <c r="E215">
        <v>4.47</v>
      </c>
      <c r="F215">
        <v>4.79</v>
      </c>
      <c r="G215">
        <v>5</v>
      </c>
      <c r="H215">
        <v>5.13</v>
      </c>
      <c r="I215">
        <v>5.39</v>
      </c>
      <c r="J215">
        <v>5.4</v>
      </c>
      <c r="K215">
        <v>5.45</v>
      </c>
      <c r="M215" s="3"/>
      <c r="N215" s="17"/>
      <c r="O215" s="17"/>
      <c r="P215" s="17"/>
      <c r="Q215" s="17"/>
      <c r="R215" s="17"/>
      <c r="S215" s="17"/>
      <c r="T215" s="17"/>
      <c r="U215" s="17"/>
      <c r="V215" s="17"/>
      <c r="AE215" s="2"/>
      <c r="AQ215" s="2"/>
      <c r="AR215" s="2"/>
      <c r="AS215" s="2"/>
      <c r="AT215" s="2"/>
      <c r="AU215" s="2"/>
      <c r="AV215" s="2"/>
      <c r="AW215" s="2"/>
      <c r="AX215" s="2"/>
      <c r="AY215" s="2"/>
    </row>
    <row r="216" spans="1:51" x14ac:dyDescent="0.25">
      <c r="A216" s="24">
        <v>45467</v>
      </c>
      <c r="B216" s="1">
        <v>45467</v>
      </c>
      <c r="C216">
        <v>3.57</v>
      </c>
      <c r="D216">
        <v>4.2</v>
      </c>
      <c r="E216">
        <v>4.5599999999999996</v>
      </c>
      <c r="F216">
        <v>4.8099999999999996</v>
      </c>
      <c r="G216">
        <v>4.97</v>
      </c>
      <c r="H216">
        <v>5.0999999999999996</v>
      </c>
      <c r="I216">
        <v>5.39</v>
      </c>
      <c r="J216">
        <v>5.43</v>
      </c>
      <c r="K216">
        <v>5.45</v>
      </c>
      <c r="M216" s="3"/>
      <c r="N216" s="17"/>
      <c r="O216" s="17"/>
      <c r="P216" s="17"/>
      <c r="Q216" s="17"/>
      <c r="R216" s="17"/>
      <c r="S216" s="17"/>
      <c r="T216" s="17"/>
      <c r="U216" s="17"/>
      <c r="V216" s="17"/>
      <c r="AE216" s="2"/>
      <c r="AQ216" s="2"/>
      <c r="AR216" s="2"/>
      <c r="AS216" s="2"/>
      <c r="AT216" s="2"/>
      <c r="AU216" s="2"/>
      <c r="AV216" s="2"/>
      <c r="AW216" s="2"/>
      <c r="AX216" s="2"/>
      <c r="AY216" s="2"/>
    </row>
    <row r="217" spans="1:51" x14ac:dyDescent="0.25">
      <c r="A217" s="24">
        <v>45464</v>
      </c>
      <c r="B217" s="1">
        <v>45464</v>
      </c>
      <c r="C217">
        <v>3.42</v>
      </c>
      <c r="D217">
        <v>3.76</v>
      </c>
      <c r="E217">
        <v>4.4800000000000004</v>
      </c>
      <c r="F217">
        <v>4.74</v>
      </c>
      <c r="G217">
        <v>4.96</v>
      </c>
      <c r="H217">
        <v>5.04</v>
      </c>
      <c r="I217">
        <v>5.38</v>
      </c>
      <c r="J217">
        <v>5.43</v>
      </c>
      <c r="K217">
        <v>5.43</v>
      </c>
      <c r="M217" s="3"/>
      <c r="N217" s="17"/>
      <c r="O217" s="17"/>
      <c r="P217" s="17"/>
      <c r="Q217" s="17"/>
      <c r="R217" s="17"/>
      <c r="S217" s="17"/>
      <c r="T217" s="17"/>
      <c r="U217" s="17"/>
      <c r="V217" s="17"/>
      <c r="AE217" s="2"/>
      <c r="AQ217" s="2"/>
      <c r="AR217" s="2"/>
      <c r="AS217" s="2"/>
      <c r="AT217" s="2"/>
      <c r="AU217" s="2"/>
      <c r="AV217" s="2"/>
      <c r="AW217" s="2"/>
      <c r="AX217" s="2"/>
      <c r="AY217" s="2"/>
    </row>
    <row r="218" spans="1:51" x14ac:dyDescent="0.25">
      <c r="A218" s="24">
        <v>45463</v>
      </c>
      <c r="B218" s="1">
        <v>45463</v>
      </c>
      <c r="C218">
        <v>3.55</v>
      </c>
      <c r="D218">
        <v>3.92</v>
      </c>
      <c r="E218">
        <v>4.4800000000000004</v>
      </c>
      <c r="F218">
        <v>4.75</v>
      </c>
      <c r="G218">
        <v>4.95</v>
      </c>
      <c r="H218">
        <v>5.03</v>
      </c>
      <c r="I218">
        <v>5.38</v>
      </c>
      <c r="J218">
        <v>5.42</v>
      </c>
      <c r="K218">
        <v>5.44</v>
      </c>
      <c r="M218" s="3"/>
      <c r="N218" s="17"/>
      <c r="O218" s="17"/>
      <c r="P218" s="17"/>
      <c r="Q218" s="17"/>
      <c r="R218" s="17"/>
      <c r="S218" s="17"/>
      <c r="T218" s="17"/>
      <c r="U218" s="17"/>
      <c r="V218" s="17"/>
      <c r="AE218" s="2"/>
      <c r="AQ218" s="2"/>
      <c r="AR218" s="2"/>
      <c r="AS218" s="2"/>
      <c r="AT218" s="2"/>
      <c r="AU218" s="2"/>
      <c r="AV218" s="2"/>
      <c r="AW218" s="2"/>
      <c r="AX218" s="2"/>
      <c r="AY218" s="2"/>
    </row>
    <row r="219" spans="1:51" x14ac:dyDescent="0.25">
      <c r="A219" s="24">
        <v>45462</v>
      </c>
      <c r="B219" s="1">
        <v>45462</v>
      </c>
      <c r="C219">
        <v>3.95</v>
      </c>
      <c r="D219">
        <v>4.22</v>
      </c>
      <c r="E219">
        <v>4.5999999999999996</v>
      </c>
      <c r="F219">
        <v>4.83</v>
      </c>
      <c r="G219">
        <v>5.03</v>
      </c>
      <c r="H219">
        <v>5.13</v>
      </c>
      <c r="I219">
        <v>5.4</v>
      </c>
      <c r="J219">
        <v>5.43</v>
      </c>
      <c r="K219">
        <v>5.46</v>
      </c>
      <c r="M219" s="3"/>
      <c r="N219" s="17"/>
      <c r="O219" s="17"/>
      <c r="P219" s="17"/>
      <c r="Q219" s="17"/>
      <c r="R219" s="17"/>
      <c r="S219" s="17"/>
      <c r="T219" s="17"/>
      <c r="U219" s="17"/>
      <c r="V219" s="17"/>
      <c r="AE219" s="2"/>
      <c r="AQ219" s="2"/>
      <c r="AR219" s="2"/>
      <c r="AS219" s="2"/>
      <c r="AT219" s="2"/>
      <c r="AU219" s="2"/>
      <c r="AV219" s="2"/>
      <c r="AW219" s="2"/>
      <c r="AX219" s="2"/>
      <c r="AY219" s="2"/>
    </row>
    <row r="220" spans="1:51" x14ac:dyDescent="0.25">
      <c r="A220" s="24">
        <v>45461</v>
      </c>
      <c r="B220" s="1">
        <v>45461</v>
      </c>
      <c r="C220">
        <v>4.26</v>
      </c>
      <c r="D220">
        <v>4.4400000000000004</v>
      </c>
      <c r="E220">
        <v>4.66</v>
      </c>
      <c r="F220">
        <v>4.8899999999999997</v>
      </c>
      <c r="G220">
        <v>5.07</v>
      </c>
      <c r="H220">
        <v>5.16</v>
      </c>
      <c r="I220">
        <v>5.41</v>
      </c>
      <c r="J220">
        <v>5.43</v>
      </c>
      <c r="K220">
        <v>5.45</v>
      </c>
      <c r="M220" s="3"/>
      <c r="N220" s="17"/>
      <c r="O220" s="17"/>
      <c r="P220" s="17"/>
      <c r="Q220" s="17"/>
      <c r="R220" s="17"/>
      <c r="S220" s="17"/>
      <c r="T220" s="17"/>
      <c r="U220" s="17"/>
      <c r="V220" s="17"/>
      <c r="AE220" s="2"/>
      <c r="AQ220" s="2"/>
      <c r="AR220" s="2"/>
      <c r="AS220" s="2"/>
      <c r="AT220" s="2"/>
      <c r="AU220" s="2"/>
      <c r="AV220" s="2"/>
      <c r="AW220" s="2"/>
      <c r="AX220" s="2"/>
      <c r="AY220" s="2"/>
    </row>
    <row r="221" spans="1:51" x14ac:dyDescent="0.25">
      <c r="A221" s="24">
        <v>45460</v>
      </c>
      <c r="B221" s="1">
        <v>45460</v>
      </c>
      <c r="C221">
        <v>4.4000000000000004</v>
      </c>
      <c r="D221">
        <v>4.55</v>
      </c>
      <c r="E221">
        <v>4.75</v>
      </c>
      <c r="F221">
        <v>4.9000000000000004</v>
      </c>
      <c r="G221">
        <v>5.12</v>
      </c>
      <c r="H221">
        <v>5.2</v>
      </c>
      <c r="I221">
        <v>5.42</v>
      </c>
      <c r="J221">
        <v>5.42</v>
      </c>
      <c r="K221">
        <v>5.44</v>
      </c>
      <c r="M221" s="3"/>
      <c r="N221" s="17"/>
      <c r="O221" s="17"/>
      <c r="P221" s="17"/>
      <c r="Q221" s="17"/>
      <c r="R221" s="17"/>
      <c r="S221" s="17"/>
      <c r="T221" s="17"/>
      <c r="U221" s="17"/>
      <c r="V221" s="17"/>
      <c r="AE221" s="2"/>
      <c r="AQ221" s="2"/>
      <c r="AR221" s="2"/>
      <c r="AS221" s="2"/>
      <c r="AT221" s="2"/>
      <c r="AU221" s="2"/>
      <c r="AV221" s="2"/>
      <c r="AW221" s="2"/>
      <c r="AX221" s="2"/>
      <c r="AY221" s="2"/>
    </row>
    <row r="222" spans="1:51" x14ac:dyDescent="0.25">
      <c r="A222" s="24">
        <v>45457</v>
      </c>
      <c r="B222" s="1">
        <v>45457</v>
      </c>
      <c r="C222">
        <v>4.45</v>
      </c>
      <c r="D222">
        <v>4.58</v>
      </c>
      <c r="E222">
        <v>4.7300000000000004</v>
      </c>
      <c r="F222">
        <v>4.9000000000000004</v>
      </c>
      <c r="G222">
        <v>5.0999999999999996</v>
      </c>
      <c r="H222">
        <v>5.2</v>
      </c>
      <c r="I222">
        <v>5.4</v>
      </c>
      <c r="J222">
        <v>5.4</v>
      </c>
      <c r="K222">
        <v>5.42</v>
      </c>
      <c r="M222" s="3"/>
      <c r="N222" s="17"/>
      <c r="O222" s="17"/>
      <c r="P222" s="17"/>
      <c r="Q222" s="17"/>
      <c r="R222" s="17"/>
      <c r="S222" s="17"/>
      <c r="T222" s="17"/>
      <c r="U222" s="17"/>
      <c r="V222" s="17"/>
      <c r="AE222" s="2"/>
      <c r="AQ222" s="2"/>
      <c r="AR222" s="2"/>
      <c r="AS222" s="2"/>
      <c r="AT222" s="2"/>
      <c r="AU222" s="2"/>
      <c r="AV222" s="2"/>
      <c r="AW222" s="2"/>
      <c r="AX222" s="2"/>
      <c r="AY222" s="2"/>
    </row>
    <row r="223" spans="1:51" x14ac:dyDescent="0.25">
      <c r="A223" s="24">
        <v>45456</v>
      </c>
      <c r="B223" s="1">
        <v>45456</v>
      </c>
      <c r="C223">
        <v>4.5999999999999996</v>
      </c>
      <c r="D223">
        <v>4.7</v>
      </c>
      <c r="E223">
        <v>4.8</v>
      </c>
      <c r="F223">
        <v>4.92</v>
      </c>
      <c r="G223">
        <v>5.12</v>
      </c>
      <c r="H223">
        <v>5.2</v>
      </c>
      <c r="I223">
        <v>5.4</v>
      </c>
      <c r="J223">
        <v>5.4</v>
      </c>
      <c r="K223">
        <v>5.43</v>
      </c>
      <c r="M223" s="3"/>
      <c r="N223" s="17"/>
      <c r="O223" s="17"/>
      <c r="P223" s="17"/>
      <c r="Q223" s="17"/>
      <c r="R223" s="17"/>
      <c r="S223" s="17"/>
      <c r="T223" s="17"/>
      <c r="U223" s="17"/>
      <c r="V223" s="17"/>
      <c r="AE223" s="2"/>
      <c r="AQ223" s="2"/>
      <c r="AR223" s="2"/>
      <c r="AS223" s="2"/>
      <c r="AT223" s="2"/>
      <c r="AU223" s="2"/>
      <c r="AV223" s="2"/>
      <c r="AW223" s="2"/>
      <c r="AX223" s="2"/>
      <c r="AY223" s="2"/>
    </row>
    <row r="224" spans="1:51" x14ac:dyDescent="0.25">
      <c r="A224" s="24">
        <v>45455</v>
      </c>
      <c r="B224" s="1">
        <v>45455</v>
      </c>
      <c r="C224">
        <v>4.57</v>
      </c>
      <c r="D224">
        <v>4.68</v>
      </c>
      <c r="E224">
        <v>4.78</v>
      </c>
      <c r="F224">
        <v>4.93</v>
      </c>
      <c r="G224">
        <v>5.08</v>
      </c>
      <c r="H224">
        <v>5.18</v>
      </c>
      <c r="I224">
        <v>5.4</v>
      </c>
      <c r="J224">
        <v>5.4</v>
      </c>
      <c r="K224">
        <v>5.44</v>
      </c>
      <c r="M224" s="3"/>
      <c r="N224" s="17"/>
      <c r="O224" s="17"/>
      <c r="P224" s="17"/>
      <c r="Q224" s="17"/>
      <c r="R224" s="17"/>
      <c r="S224" s="17"/>
      <c r="T224" s="17"/>
      <c r="U224" s="17"/>
      <c r="V224" s="17"/>
      <c r="AE224" s="2"/>
      <c r="AQ224" s="2"/>
      <c r="AR224" s="2"/>
      <c r="AS224" s="2"/>
      <c r="AT224" s="2"/>
      <c r="AU224" s="2"/>
      <c r="AV224" s="2"/>
      <c r="AW224" s="2"/>
      <c r="AX224" s="2"/>
      <c r="AY224" s="2"/>
    </row>
    <row r="225" spans="1:51" x14ac:dyDescent="0.25">
      <c r="A225" s="24">
        <v>45454</v>
      </c>
      <c r="B225" s="1">
        <v>45454</v>
      </c>
      <c r="C225">
        <v>4.49</v>
      </c>
      <c r="D225">
        <v>4.57</v>
      </c>
      <c r="E225">
        <v>4.7</v>
      </c>
      <c r="F225">
        <v>4.8600000000000003</v>
      </c>
      <c r="G225">
        <v>5.09</v>
      </c>
      <c r="H225">
        <v>5.19</v>
      </c>
      <c r="I225">
        <v>5.43</v>
      </c>
      <c r="J225">
        <v>5.4</v>
      </c>
      <c r="K225">
        <v>5.43</v>
      </c>
      <c r="M225" s="3"/>
      <c r="N225" s="17"/>
      <c r="O225" s="17"/>
      <c r="P225" s="17"/>
      <c r="Q225" s="17"/>
      <c r="R225" s="17"/>
      <c r="S225" s="17"/>
      <c r="T225" s="17"/>
      <c r="U225" s="17"/>
      <c r="V225" s="17"/>
      <c r="AE225" s="2"/>
      <c r="AQ225" s="2"/>
      <c r="AR225" s="2"/>
      <c r="AS225" s="2"/>
      <c r="AT225" s="2"/>
      <c r="AU225" s="2"/>
      <c r="AV225" s="2"/>
      <c r="AW225" s="2"/>
      <c r="AX225" s="2"/>
      <c r="AY225" s="2"/>
    </row>
    <row r="226" spans="1:51" x14ac:dyDescent="0.25">
      <c r="A226" s="24">
        <v>45453</v>
      </c>
      <c r="B226" s="1">
        <v>45453</v>
      </c>
      <c r="C226">
        <v>4.26</v>
      </c>
      <c r="D226">
        <v>4.46</v>
      </c>
      <c r="E226">
        <v>4.58</v>
      </c>
      <c r="F226">
        <v>4.83</v>
      </c>
      <c r="G226">
        <v>5.08</v>
      </c>
      <c r="H226">
        <v>5.19</v>
      </c>
      <c r="I226">
        <v>5.4</v>
      </c>
      <c r="J226">
        <v>5.4</v>
      </c>
      <c r="K226">
        <v>5.43</v>
      </c>
      <c r="M226" s="3"/>
      <c r="N226" s="17"/>
      <c r="O226" s="17"/>
      <c r="P226" s="17"/>
      <c r="Q226" s="17"/>
      <c r="R226" s="17"/>
      <c r="S226" s="17"/>
      <c r="T226" s="17"/>
      <c r="U226" s="17"/>
      <c r="V226" s="17"/>
      <c r="AE226" s="2"/>
      <c r="AQ226" s="2"/>
      <c r="AR226" s="2"/>
      <c r="AS226" s="2"/>
      <c r="AT226" s="2"/>
      <c r="AU226" s="2"/>
      <c r="AV226" s="2"/>
      <c r="AW226" s="2"/>
      <c r="AX226" s="2"/>
      <c r="AY226" s="2"/>
    </row>
    <row r="227" spans="1:51" x14ac:dyDescent="0.25">
      <c r="A227" s="24">
        <v>45450</v>
      </c>
      <c r="B227" s="1">
        <v>45450</v>
      </c>
      <c r="C227">
        <v>4.0999999999999996</v>
      </c>
      <c r="D227">
        <v>4.38</v>
      </c>
      <c r="E227">
        <v>4.5199999999999996</v>
      </c>
      <c r="F227">
        <v>4.83</v>
      </c>
      <c r="G227">
        <v>5.13</v>
      </c>
      <c r="H227">
        <v>5.22</v>
      </c>
      <c r="I227">
        <v>5.42</v>
      </c>
      <c r="J227">
        <v>5.43</v>
      </c>
      <c r="K227">
        <v>5.43</v>
      </c>
      <c r="M227" s="3"/>
      <c r="N227" s="17"/>
      <c r="O227" s="17"/>
      <c r="P227" s="17"/>
      <c r="Q227" s="17"/>
      <c r="R227" s="17"/>
      <c r="S227" s="17"/>
      <c r="T227" s="17"/>
      <c r="U227" s="17"/>
      <c r="V227" s="17"/>
      <c r="AE227" s="2"/>
      <c r="AQ227" s="2"/>
      <c r="AR227" s="2"/>
      <c r="AS227" s="2"/>
      <c r="AT227" s="2"/>
      <c r="AU227" s="2"/>
      <c r="AV227" s="2"/>
      <c r="AW227" s="2"/>
      <c r="AX227" s="2"/>
      <c r="AY227" s="2"/>
    </row>
    <row r="228" spans="1:51" x14ac:dyDescent="0.25">
      <c r="A228" s="24">
        <v>45449</v>
      </c>
      <c r="B228" s="1">
        <v>45449</v>
      </c>
      <c r="C228">
        <v>4.08</v>
      </c>
      <c r="D228">
        <v>4.34</v>
      </c>
      <c r="E228">
        <v>4.5599999999999996</v>
      </c>
      <c r="F228">
        <v>4.7699999999999996</v>
      </c>
      <c r="G228">
        <v>5.1100000000000003</v>
      </c>
      <c r="H228">
        <v>5.19</v>
      </c>
      <c r="I228">
        <v>5.42</v>
      </c>
      <c r="J228">
        <v>5.43</v>
      </c>
      <c r="K228">
        <v>5.43</v>
      </c>
      <c r="M228" s="3"/>
      <c r="N228" s="17"/>
      <c r="O228" s="17"/>
      <c r="P228" s="17"/>
      <c r="Q228" s="17"/>
      <c r="R228" s="17"/>
      <c r="S228" s="17"/>
      <c r="T228" s="17"/>
      <c r="U228" s="17"/>
      <c r="V228" s="17"/>
      <c r="AE228" s="2"/>
      <c r="AQ228" s="2"/>
      <c r="AR228" s="2"/>
      <c r="AS228" s="2"/>
      <c r="AT228" s="2"/>
      <c r="AU228" s="2"/>
      <c r="AV228" s="2"/>
      <c r="AW228" s="2"/>
      <c r="AX228" s="2"/>
      <c r="AY228" s="2"/>
    </row>
    <row r="229" spans="1:51" x14ac:dyDescent="0.25">
      <c r="A229" s="24">
        <v>45448</v>
      </c>
      <c r="B229" s="1">
        <v>45448</v>
      </c>
      <c r="C229">
        <v>4</v>
      </c>
      <c r="D229">
        <v>4.28</v>
      </c>
      <c r="E229">
        <v>4.53</v>
      </c>
      <c r="F229">
        <v>4.7699999999999996</v>
      </c>
      <c r="G229">
        <v>5.1100000000000003</v>
      </c>
      <c r="H229">
        <v>5.21</v>
      </c>
      <c r="I229">
        <v>5.42</v>
      </c>
      <c r="J229">
        <v>5.44</v>
      </c>
      <c r="K229">
        <v>5.44</v>
      </c>
      <c r="M229" s="3"/>
      <c r="N229" s="17"/>
      <c r="O229" s="17"/>
      <c r="P229" s="17"/>
      <c r="Q229" s="17"/>
      <c r="R229" s="17"/>
      <c r="S229" s="17"/>
      <c r="T229" s="17"/>
      <c r="U229" s="17"/>
      <c r="V229" s="17"/>
      <c r="AE229" s="2"/>
      <c r="AQ229" s="2"/>
      <c r="AR229" s="2"/>
      <c r="AS229" s="2"/>
      <c r="AT229" s="2"/>
      <c r="AU229" s="2"/>
      <c r="AV229" s="2"/>
      <c r="AW229" s="2"/>
      <c r="AX229" s="2"/>
      <c r="AY229" s="2"/>
    </row>
    <row r="230" spans="1:51" x14ac:dyDescent="0.25">
      <c r="A230" s="24">
        <v>45447</v>
      </c>
      <c r="B230" s="1">
        <v>45447</v>
      </c>
      <c r="C230">
        <v>4.09</v>
      </c>
      <c r="D230">
        <v>4.33</v>
      </c>
      <c r="E230">
        <v>4.54</v>
      </c>
      <c r="F230">
        <v>4.83</v>
      </c>
      <c r="G230">
        <v>5.14</v>
      </c>
      <c r="H230">
        <v>5.24</v>
      </c>
      <c r="I230">
        <v>5.41</v>
      </c>
      <c r="J230">
        <v>5.43</v>
      </c>
      <c r="K230">
        <v>5.43</v>
      </c>
      <c r="M230" s="3"/>
      <c r="N230" s="17"/>
      <c r="O230" s="17"/>
      <c r="P230" s="17"/>
      <c r="Q230" s="17"/>
      <c r="R230" s="17"/>
      <c r="S230" s="17"/>
      <c r="T230" s="17"/>
      <c r="U230" s="17"/>
      <c r="V230" s="17"/>
      <c r="AE230" s="2"/>
      <c r="AQ230" s="2"/>
      <c r="AR230" s="2"/>
      <c r="AS230" s="2"/>
      <c r="AT230" s="2"/>
      <c r="AU230" s="2"/>
      <c r="AV230" s="2"/>
      <c r="AW230" s="2"/>
      <c r="AX230" s="2"/>
      <c r="AY230" s="2"/>
    </row>
    <row r="231" spans="1:51" x14ac:dyDescent="0.25">
      <c r="A231" s="24">
        <v>45446</v>
      </c>
      <c r="B231" s="1">
        <v>45446</v>
      </c>
      <c r="C231">
        <v>3.9</v>
      </c>
      <c r="D231">
        <v>4.25</v>
      </c>
      <c r="E231">
        <v>4.53</v>
      </c>
      <c r="F231">
        <v>4.82</v>
      </c>
      <c r="G231">
        <v>5.18</v>
      </c>
      <c r="H231">
        <v>5.25</v>
      </c>
      <c r="I231">
        <v>5.4</v>
      </c>
      <c r="J231">
        <v>5.38</v>
      </c>
      <c r="K231">
        <v>5.42</v>
      </c>
      <c r="M231" s="3"/>
      <c r="N231" s="17"/>
      <c r="O231" s="17"/>
      <c r="P231" s="17"/>
      <c r="Q231" s="17"/>
      <c r="R231" s="17"/>
      <c r="S231" s="17"/>
      <c r="T231" s="17"/>
      <c r="U231" s="17"/>
      <c r="V231" s="17"/>
      <c r="AE231" s="2"/>
      <c r="AQ231" s="2"/>
      <c r="AR231" s="2"/>
      <c r="AS231" s="2"/>
      <c r="AT231" s="2"/>
      <c r="AU231" s="2"/>
      <c r="AV231" s="2"/>
      <c r="AW231" s="2"/>
      <c r="AX231" s="2"/>
      <c r="AY231" s="2"/>
    </row>
    <row r="232" spans="1:51" x14ac:dyDescent="0.25">
      <c r="A232" s="24">
        <v>45443</v>
      </c>
      <c r="B232" s="1">
        <v>45443</v>
      </c>
      <c r="C232">
        <v>2.93</v>
      </c>
      <c r="D232">
        <v>3.7</v>
      </c>
      <c r="E232">
        <v>4.45</v>
      </c>
      <c r="F232">
        <v>5</v>
      </c>
      <c r="G232">
        <v>5.2</v>
      </c>
      <c r="H232">
        <v>5.3</v>
      </c>
      <c r="I232">
        <v>5.4</v>
      </c>
      <c r="J232">
        <v>5.36</v>
      </c>
      <c r="K232">
        <v>5.4</v>
      </c>
      <c r="M232" s="3"/>
      <c r="N232" s="17"/>
      <c r="O232" s="17"/>
      <c r="P232" s="17"/>
      <c r="Q232" s="17"/>
      <c r="R232" s="17"/>
      <c r="S232" s="17"/>
      <c r="T232" s="17"/>
      <c r="U232" s="17"/>
      <c r="V232" s="17"/>
      <c r="AE232" s="2"/>
      <c r="AQ232" s="2"/>
      <c r="AR232" s="2"/>
      <c r="AS232" s="2"/>
      <c r="AT232" s="2"/>
      <c r="AU232" s="2"/>
      <c r="AV232" s="2"/>
      <c r="AW232" s="2"/>
      <c r="AX232" s="2"/>
      <c r="AY232" s="2"/>
    </row>
    <row r="233" spans="1:51" x14ac:dyDescent="0.25">
      <c r="A233" s="24">
        <v>45442</v>
      </c>
      <c r="B233" s="1">
        <v>45442</v>
      </c>
      <c r="C233">
        <v>3.4</v>
      </c>
      <c r="D233">
        <v>3.97</v>
      </c>
      <c r="E233">
        <v>4.5</v>
      </c>
      <c r="F233">
        <v>5</v>
      </c>
      <c r="G233">
        <v>5.23</v>
      </c>
      <c r="H233">
        <v>5.29</v>
      </c>
      <c r="I233">
        <v>5.37</v>
      </c>
      <c r="J233">
        <v>5.35</v>
      </c>
      <c r="K233">
        <v>5.41</v>
      </c>
      <c r="M233" s="3"/>
      <c r="N233" s="17"/>
      <c r="O233" s="17"/>
      <c r="P233" s="17"/>
      <c r="Q233" s="17"/>
      <c r="R233" s="17"/>
      <c r="S233" s="17"/>
      <c r="T233" s="17"/>
      <c r="U233" s="17"/>
      <c r="V233" s="17"/>
      <c r="AE233" s="2"/>
      <c r="AQ233" s="2"/>
      <c r="AR233" s="2"/>
      <c r="AS233" s="2"/>
      <c r="AT233" s="2"/>
      <c r="AU233" s="2"/>
      <c r="AV233" s="2"/>
      <c r="AW233" s="2"/>
      <c r="AX233" s="2"/>
      <c r="AY233" s="2"/>
    </row>
    <row r="234" spans="1:51" x14ac:dyDescent="0.25">
      <c r="A234" s="24">
        <v>45441</v>
      </c>
      <c r="B234" s="1">
        <v>45441</v>
      </c>
      <c r="C234">
        <v>4.04</v>
      </c>
      <c r="D234">
        <v>4.4000000000000004</v>
      </c>
      <c r="E234">
        <v>4.71</v>
      </c>
      <c r="F234">
        <v>5.1100000000000003</v>
      </c>
      <c r="G234">
        <v>5.33</v>
      </c>
      <c r="H234">
        <v>5.37</v>
      </c>
      <c r="I234">
        <v>5.4</v>
      </c>
      <c r="J234">
        <v>5.35</v>
      </c>
      <c r="K234">
        <v>5.41</v>
      </c>
      <c r="M234" s="3"/>
      <c r="N234" s="17"/>
      <c r="O234" s="17"/>
      <c r="P234" s="17"/>
      <c r="Q234" s="17"/>
      <c r="R234" s="17"/>
      <c r="S234" s="17"/>
      <c r="T234" s="17"/>
      <c r="U234" s="17"/>
      <c r="V234" s="17"/>
      <c r="AE234" s="2"/>
      <c r="AQ234" s="2"/>
      <c r="AR234" s="2"/>
      <c r="AS234" s="2"/>
      <c r="AT234" s="2"/>
      <c r="AU234" s="2"/>
      <c r="AV234" s="2"/>
      <c r="AW234" s="2"/>
      <c r="AX234" s="2"/>
      <c r="AY234" s="2"/>
    </row>
    <row r="235" spans="1:51" x14ac:dyDescent="0.25">
      <c r="A235" s="24">
        <v>45440</v>
      </c>
      <c r="B235" s="1">
        <v>45440</v>
      </c>
      <c r="C235">
        <v>4.82</v>
      </c>
      <c r="D235">
        <v>5.0599999999999996</v>
      </c>
      <c r="E235">
        <v>5.24</v>
      </c>
      <c r="F235">
        <v>5.36</v>
      </c>
      <c r="G235">
        <v>5.43</v>
      </c>
      <c r="H235">
        <v>5.45</v>
      </c>
      <c r="I235">
        <v>5.4</v>
      </c>
      <c r="J235">
        <v>5.3</v>
      </c>
      <c r="K235">
        <v>5.39</v>
      </c>
      <c r="M235" s="3"/>
      <c r="N235" s="17"/>
      <c r="O235" s="17"/>
      <c r="P235" s="17"/>
      <c r="Q235" s="17"/>
      <c r="R235" s="17"/>
      <c r="S235" s="17"/>
      <c r="T235" s="17"/>
      <c r="U235" s="17"/>
      <c r="V235" s="17"/>
      <c r="AE235" s="2"/>
      <c r="AQ235" s="2"/>
      <c r="AR235" s="2"/>
      <c r="AS235" s="2"/>
      <c r="AT235" s="2"/>
      <c r="AU235" s="2"/>
      <c r="AV235" s="2"/>
      <c r="AW235" s="2"/>
      <c r="AX235" s="2"/>
      <c r="AY235" s="2"/>
    </row>
    <row r="236" spans="1:51" x14ac:dyDescent="0.25">
      <c r="A236" s="24">
        <v>45439</v>
      </c>
      <c r="B236" s="1">
        <v>45439</v>
      </c>
      <c r="C236">
        <v>5.0999999999999996</v>
      </c>
      <c r="D236">
        <v>5.3</v>
      </c>
      <c r="E236">
        <v>5.38</v>
      </c>
      <c r="F236">
        <v>5.48</v>
      </c>
      <c r="G236">
        <v>5.5</v>
      </c>
      <c r="H236">
        <v>5.5</v>
      </c>
      <c r="I236">
        <v>5.45</v>
      </c>
      <c r="J236">
        <v>5.34</v>
      </c>
      <c r="K236">
        <v>5.41</v>
      </c>
      <c r="M236" s="3"/>
      <c r="N236" s="17"/>
      <c r="O236" s="17"/>
      <c r="P236" s="17"/>
      <c r="Q236" s="17"/>
      <c r="R236" s="17"/>
      <c r="S236" s="17"/>
      <c r="T236" s="17"/>
      <c r="U236" s="17"/>
      <c r="V236" s="17"/>
      <c r="AE236" s="2"/>
      <c r="AQ236" s="2"/>
      <c r="AR236" s="2"/>
      <c r="AS236" s="2"/>
      <c r="AT236" s="2"/>
      <c r="AU236" s="2"/>
      <c r="AV236" s="2"/>
      <c r="AW236" s="2"/>
      <c r="AX236" s="2"/>
      <c r="AY236" s="2"/>
    </row>
    <row r="237" spans="1:51" x14ac:dyDescent="0.25">
      <c r="A237" s="24">
        <v>45436</v>
      </c>
      <c r="B237" s="1">
        <v>45436</v>
      </c>
      <c r="C237">
        <v>5.15</v>
      </c>
      <c r="D237">
        <v>5.28</v>
      </c>
      <c r="E237">
        <v>5.35</v>
      </c>
      <c r="F237">
        <v>5.45</v>
      </c>
      <c r="G237">
        <v>5.47</v>
      </c>
      <c r="H237">
        <v>5.45</v>
      </c>
      <c r="I237">
        <v>5.42</v>
      </c>
      <c r="J237">
        <v>5.34</v>
      </c>
      <c r="K237">
        <v>5.37</v>
      </c>
      <c r="M237" s="3"/>
      <c r="N237" s="17"/>
      <c r="O237" s="17"/>
      <c r="P237" s="17"/>
      <c r="Q237" s="17"/>
      <c r="R237" s="17"/>
      <c r="S237" s="17"/>
      <c r="T237" s="17"/>
      <c r="U237" s="17"/>
      <c r="V237" s="17"/>
      <c r="AE237" s="2"/>
      <c r="AQ237" s="2"/>
      <c r="AR237" s="2"/>
      <c r="AS237" s="2"/>
      <c r="AT237" s="2"/>
      <c r="AU237" s="2"/>
      <c r="AV237" s="2"/>
      <c r="AW237" s="2"/>
      <c r="AX237" s="2"/>
      <c r="AY237" s="2"/>
    </row>
    <row r="238" spans="1:51" x14ac:dyDescent="0.25">
      <c r="A238" s="24">
        <v>45435</v>
      </c>
      <c r="B238" s="1">
        <v>45435</v>
      </c>
      <c r="C238">
        <v>5.18</v>
      </c>
      <c r="D238">
        <v>5.3</v>
      </c>
      <c r="E238">
        <v>5.4</v>
      </c>
      <c r="F238">
        <v>5.46</v>
      </c>
      <c r="G238">
        <v>5.48</v>
      </c>
      <c r="H238">
        <v>5.48</v>
      </c>
      <c r="I238">
        <v>5.4</v>
      </c>
      <c r="J238">
        <v>5.33</v>
      </c>
      <c r="K238">
        <v>5.35</v>
      </c>
      <c r="M238" s="3"/>
      <c r="N238" s="17"/>
      <c r="O238" s="17"/>
      <c r="P238" s="17"/>
      <c r="Q238" s="17"/>
      <c r="R238" s="17"/>
      <c r="S238" s="17"/>
      <c r="T238" s="17"/>
      <c r="U238" s="17"/>
      <c r="V238" s="17"/>
      <c r="AE238" s="2"/>
      <c r="AQ238" s="2"/>
      <c r="AR238" s="2"/>
      <c r="AS238" s="2"/>
      <c r="AT238" s="2"/>
      <c r="AU238" s="2"/>
      <c r="AV238" s="2"/>
      <c r="AW238" s="2"/>
      <c r="AX238" s="2"/>
      <c r="AY238" s="2"/>
    </row>
    <row r="239" spans="1:51" x14ac:dyDescent="0.25">
      <c r="A239" s="24">
        <v>45434</v>
      </c>
      <c r="B239" s="1">
        <v>45434</v>
      </c>
      <c r="C239">
        <v>4.63</v>
      </c>
      <c r="D239">
        <v>4.7300000000000004</v>
      </c>
      <c r="E239">
        <v>4.8499999999999996</v>
      </c>
      <c r="F239">
        <v>4.9800000000000004</v>
      </c>
      <c r="G239">
        <v>5.0999999999999996</v>
      </c>
      <c r="H239">
        <v>5.16</v>
      </c>
      <c r="I239">
        <v>5.12</v>
      </c>
      <c r="J239">
        <v>5.05</v>
      </c>
      <c r="K239">
        <v>5.3</v>
      </c>
      <c r="M239" s="3"/>
      <c r="N239" s="17"/>
      <c r="O239" s="17"/>
      <c r="P239" s="17"/>
      <c r="Q239" s="17"/>
      <c r="R239" s="17"/>
      <c r="S239" s="17"/>
      <c r="T239" s="17"/>
      <c r="U239" s="17"/>
      <c r="V239" s="17"/>
      <c r="AE239" s="2"/>
      <c r="AQ239" s="2"/>
      <c r="AR239" s="2"/>
      <c r="AS239" s="2"/>
      <c r="AT239" s="2"/>
      <c r="AU239" s="2"/>
      <c r="AV239" s="2"/>
      <c r="AW239" s="2"/>
      <c r="AX239" s="2"/>
      <c r="AY239" s="2"/>
    </row>
    <row r="240" spans="1:51" x14ac:dyDescent="0.25">
      <c r="A240" s="24">
        <v>45433</v>
      </c>
      <c r="B240" s="1">
        <v>45433</v>
      </c>
      <c r="C240">
        <v>4.16</v>
      </c>
      <c r="D240">
        <v>4.32</v>
      </c>
      <c r="E240">
        <v>4.5</v>
      </c>
      <c r="F240">
        <v>4.68</v>
      </c>
      <c r="G240">
        <v>4.83</v>
      </c>
      <c r="H240">
        <v>4.92</v>
      </c>
      <c r="I240">
        <v>5</v>
      </c>
      <c r="J240">
        <v>5</v>
      </c>
      <c r="K240">
        <v>5.28</v>
      </c>
      <c r="M240" s="3"/>
      <c r="N240" s="17"/>
      <c r="O240" s="17"/>
      <c r="P240" s="17"/>
      <c r="Q240" s="17"/>
      <c r="R240" s="17"/>
      <c r="S240" s="17"/>
      <c r="T240" s="17"/>
      <c r="U240" s="17"/>
      <c r="V240" s="17"/>
      <c r="AE240" s="2"/>
      <c r="AQ240" s="2"/>
      <c r="AR240" s="2"/>
      <c r="AS240" s="2"/>
      <c r="AT240" s="2"/>
      <c r="AU240" s="2"/>
      <c r="AV240" s="2"/>
      <c r="AW240" s="2"/>
      <c r="AX240" s="2"/>
      <c r="AY240" s="2"/>
    </row>
    <row r="241" spans="1:51" x14ac:dyDescent="0.25">
      <c r="A241" s="24">
        <v>45432</v>
      </c>
      <c r="B241" s="1">
        <v>45432</v>
      </c>
      <c r="C241">
        <v>4.03</v>
      </c>
      <c r="D241">
        <v>4.2699999999999996</v>
      </c>
      <c r="E241">
        <v>4.45</v>
      </c>
      <c r="F241">
        <v>4.63</v>
      </c>
      <c r="G241">
        <v>4.8</v>
      </c>
      <c r="H241">
        <v>4.87</v>
      </c>
      <c r="I241">
        <v>5</v>
      </c>
      <c r="J241">
        <v>5</v>
      </c>
      <c r="K241">
        <v>5.28</v>
      </c>
      <c r="M241" s="3"/>
      <c r="N241" s="17"/>
      <c r="O241" s="17"/>
      <c r="P241" s="17"/>
      <c r="Q241" s="17"/>
      <c r="R241" s="17"/>
      <c r="S241" s="17"/>
      <c r="T241" s="17"/>
      <c r="U241" s="17"/>
      <c r="V241" s="17"/>
      <c r="AE241" s="2"/>
      <c r="AQ241" s="2"/>
      <c r="AR241" s="2"/>
      <c r="AS241" s="2"/>
      <c r="AT241" s="2"/>
      <c r="AU241" s="2"/>
      <c r="AV241" s="2"/>
      <c r="AW241" s="2"/>
      <c r="AX241" s="2"/>
      <c r="AY241" s="2"/>
    </row>
    <row r="242" spans="1:51" x14ac:dyDescent="0.25">
      <c r="A242" s="24">
        <v>45429</v>
      </c>
      <c r="B242" s="1">
        <v>45429</v>
      </c>
      <c r="C242">
        <v>3.95</v>
      </c>
      <c r="D242">
        <v>4.22</v>
      </c>
      <c r="E242">
        <v>4.4000000000000004</v>
      </c>
      <c r="F242">
        <v>4.6500000000000004</v>
      </c>
      <c r="G242">
        <v>4.83</v>
      </c>
      <c r="H242">
        <v>4.8899999999999997</v>
      </c>
      <c r="I242">
        <v>5</v>
      </c>
      <c r="J242">
        <v>5</v>
      </c>
      <c r="K242">
        <v>5.28</v>
      </c>
      <c r="M242" s="3"/>
      <c r="N242" s="17"/>
      <c r="O242" s="17"/>
      <c r="P242" s="17"/>
      <c r="Q242" s="17"/>
      <c r="R242" s="17"/>
      <c r="S242" s="17"/>
      <c r="T242" s="17"/>
      <c r="U242" s="17"/>
      <c r="V242" s="17"/>
      <c r="AE242" s="2"/>
      <c r="AQ242" s="2"/>
      <c r="AR242" s="2"/>
      <c r="AS242" s="2"/>
      <c r="AT242" s="2"/>
      <c r="AU242" s="2"/>
      <c r="AV242" s="2"/>
      <c r="AW242" s="2"/>
      <c r="AX242" s="2"/>
      <c r="AY242" s="2"/>
    </row>
    <row r="243" spans="1:51" x14ac:dyDescent="0.25">
      <c r="A243" s="24">
        <v>45428</v>
      </c>
      <c r="B243" s="1">
        <v>45428</v>
      </c>
      <c r="C243">
        <v>3.97</v>
      </c>
      <c r="D243">
        <v>4.2699999999999996</v>
      </c>
      <c r="E243">
        <v>4.5</v>
      </c>
      <c r="F243">
        <v>4.7699999999999996</v>
      </c>
      <c r="G243">
        <v>4.88</v>
      </c>
      <c r="H243">
        <v>4.91</v>
      </c>
      <c r="I243">
        <v>5</v>
      </c>
      <c r="J243">
        <v>5.04</v>
      </c>
      <c r="K243">
        <v>5.33</v>
      </c>
      <c r="M243" s="3"/>
      <c r="N243" s="17"/>
      <c r="O243" s="17"/>
      <c r="P243" s="17"/>
      <c r="Q243" s="17"/>
      <c r="R243" s="17"/>
      <c r="S243" s="17"/>
      <c r="T243" s="17"/>
      <c r="U243" s="17"/>
      <c r="V243" s="17"/>
      <c r="AE243" s="2"/>
      <c r="AQ243" s="2"/>
      <c r="AR243" s="2"/>
      <c r="AS243" s="2"/>
      <c r="AT243" s="2"/>
      <c r="AU243" s="2"/>
      <c r="AV243" s="2"/>
      <c r="AW243" s="2"/>
      <c r="AX243" s="2"/>
      <c r="AY243" s="2"/>
    </row>
    <row r="244" spans="1:51" x14ac:dyDescent="0.25">
      <c r="A244" s="24">
        <v>45427</v>
      </c>
      <c r="B244" s="1">
        <v>45427</v>
      </c>
      <c r="C244">
        <v>4.28</v>
      </c>
      <c r="D244">
        <v>4.49</v>
      </c>
      <c r="E244">
        <v>4.68</v>
      </c>
      <c r="F244">
        <v>4.76</v>
      </c>
      <c r="G244">
        <v>4.88</v>
      </c>
      <c r="H244">
        <v>4.9000000000000004</v>
      </c>
      <c r="I244">
        <v>5</v>
      </c>
      <c r="J244">
        <v>5</v>
      </c>
      <c r="K244">
        <v>5.34</v>
      </c>
      <c r="M244" s="3"/>
      <c r="N244" s="17"/>
      <c r="O244" s="17"/>
      <c r="P244" s="17"/>
      <c r="Q244" s="17"/>
      <c r="R244" s="17"/>
      <c r="S244" s="17"/>
      <c r="T244" s="17"/>
      <c r="U244" s="17"/>
      <c r="V244" s="17"/>
      <c r="AE244" s="2"/>
      <c r="AQ244" s="2"/>
      <c r="AR244" s="2"/>
      <c r="AS244" s="2"/>
      <c r="AT244" s="2"/>
      <c r="AU244" s="2"/>
      <c r="AV244" s="2"/>
      <c r="AW244" s="2"/>
      <c r="AX244" s="2"/>
      <c r="AY244" s="2"/>
    </row>
    <row r="245" spans="1:51" x14ac:dyDescent="0.25">
      <c r="A245" s="24">
        <v>45426</v>
      </c>
      <c r="B245" s="1">
        <v>45426</v>
      </c>
      <c r="C245">
        <v>4.28</v>
      </c>
      <c r="D245">
        <v>4.49</v>
      </c>
      <c r="E245">
        <v>4.67</v>
      </c>
      <c r="F245">
        <v>4.8</v>
      </c>
      <c r="G245">
        <v>4.9000000000000004</v>
      </c>
      <c r="H245">
        <v>4.93</v>
      </c>
      <c r="I245">
        <v>5</v>
      </c>
      <c r="J245">
        <v>5</v>
      </c>
      <c r="K245">
        <v>5.33</v>
      </c>
      <c r="M245" s="3"/>
      <c r="N245" s="17"/>
      <c r="O245" s="17"/>
      <c r="P245" s="17"/>
      <c r="Q245" s="17"/>
      <c r="R245" s="17"/>
      <c r="S245" s="17"/>
      <c r="T245" s="17"/>
      <c r="U245" s="17"/>
      <c r="V245" s="17"/>
      <c r="AE245" s="2"/>
      <c r="AQ245" s="2"/>
      <c r="AR245" s="2"/>
      <c r="AS245" s="2"/>
      <c r="AT245" s="2"/>
      <c r="AU245" s="2"/>
      <c r="AV245" s="2"/>
      <c r="AW245" s="2"/>
      <c r="AX245" s="2"/>
      <c r="AY245" s="2"/>
    </row>
    <row r="246" spans="1:51" x14ac:dyDescent="0.25">
      <c r="A246" s="24">
        <v>45425</v>
      </c>
      <c r="B246" s="1">
        <v>45425</v>
      </c>
      <c r="C246">
        <v>4.3</v>
      </c>
      <c r="D246">
        <v>4.51</v>
      </c>
      <c r="E246">
        <v>4.68</v>
      </c>
      <c r="F246">
        <v>4.8</v>
      </c>
      <c r="G246">
        <v>4.93</v>
      </c>
      <c r="H246">
        <v>4.95</v>
      </c>
      <c r="I246">
        <v>5</v>
      </c>
      <c r="J246">
        <v>5.04</v>
      </c>
      <c r="K246">
        <v>5.31</v>
      </c>
      <c r="M246" s="3"/>
      <c r="N246" s="17"/>
      <c r="O246" s="17"/>
      <c r="P246" s="17"/>
      <c r="Q246" s="17"/>
      <c r="R246" s="17"/>
      <c r="S246" s="17"/>
      <c r="T246" s="17"/>
      <c r="U246" s="17"/>
      <c r="V246" s="17"/>
      <c r="AE246" s="2"/>
      <c r="AQ246" s="2"/>
      <c r="AR246" s="2"/>
      <c r="AS246" s="2"/>
      <c r="AT246" s="2"/>
      <c r="AU246" s="2"/>
      <c r="AV246" s="2"/>
      <c r="AW246" s="2"/>
      <c r="AX246" s="2"/>
      <c r="AY246" s="2"/>
    </row>
    <row r="247" spans="1:51" x14ac:dyDescent="0.25">
      <c r="A247" s="24">
        <v>45422</v>
      </c>
      <c r="B247" s="1">
        <v>45422</v>
      </c>
      <c r="C247">
        <v>4.25</v>
      </c>
      <c r="D247">
        <v>4.43</v>
      </c>
      <c r="E247">
        <v>4.66</v>
      </c>
      <c r="F247">
        <v>4.8</v>
      </c>
      <c r="G247">
        <v>4.87</v>
      </c>
      <c r="H247">
        <v>4.8899999999999997</v>
      </c>
      <c r="I247">
        <v>5</v>
      </c>
      <c r="J247">
        <v>5.04</v>
      </c>
      <c r="K247">
        <v>5.37</v>
      </c>
      <c r="M247" s="3"/>
      <c r="N247" s="17"/>
      <c r="O247" s="17"/>
      <c r="P247" s="17"/>
      <c r="Q247" s="17"/>
      <c r="R247" s="17"/>
      <c r="S247" s="17"/>
      <c r="T247" s="17"/>
      <c r="U247" s="17"/>
      <c r="V247" s="17"/>
      <c r="AE247" s="2"/>
      <c r="AQ247" s="2"/>
      <c r="AR247" s="2"/>
      <c r="AS247" s="2"/>
      <c r="AT247" s="2"/>
      <c r="AU247" s="2"/>
      <c r="AV247" s="2"/>
      <c r="AW247" s="2"/>
      <c r="AX247" s="2"/>
      <c r="AY247" s="2"/>
    </row>
    <row r="248" spans="1:51" x14ac:dyDescent="0.25">
      <c r="A248" s="24">
        <v>45421</v>
      </c>
      <c r="B248" s="1">
        <v>45421</v>
      </c>
      <c r="C248">
        <v>4.2699999999999996</v>
      </c>
      <c r="D248">
        <v>4.47</v>
      </c>
      <c r="E248">
        <v>4.66</v>
      </c>
      <c r="F248">
        <v>4.8</v>
      </c>
      <c r="G248">
        <v>4.91</v>
      </c>
      <c r="H248">
        <v>4.95</v>
      </c>
      <c r="I248">
        <v>5.0199999999999996</v>
      </c>
      <c r="J248">
        <v>5.03</v>
      </c>
      <c r="K248">
        <v>5.38</v>
      </c>
      <c r="M248" s="3"/>
      <c r="N248" s="17"/>
      <c r="O248" s="17"/>
      <c r="P248" s="17"/>
      <c r="Q248" s="17"/>
      <c r="R248" s="17"/>
      <c r="S248" s="17"/>
      <c r="T248" s="17"/>
      <c r="U248" s="17"/>
      <c r="V248" s="17"/>
      <c r="AE248" s="2"/>
      <c r="AQ248" s="2"/>
      <c r="AR248" s="2"/>
      <c r="AS248" s="2"/>
      <c r="AT248" s="2"/>
      <c r="AU248" s="2"/>
      <c r="AV248" s="2"/>
      <c r="AW248" s="2"/>
      <c r="AX248" s="2"/>
      <c r="AY248" s="2"/>
    </row>
    <row r="249" spans="1:51" x14ac:dyDescent="0.25">
      <c r="A249" s="24">
        <v>45420</v>
      </c>
      <c r="B249" s="1">
        <v>45420</v>
      </c>
      <c r="C249">
        <v>4.26</v>
      </c>
      <c r="D249">
        <v>4.4800000000000004</v>
      </c>
      <c r="E249">
        <v>4.68</v>
      </c>
      <c r="F249">
        <v>4.8</v>
      </c>
      <c r="G249">
        <v>4.9000000000000004</v>
      </c>
      <c r="H249">
        <v>4.93</v>
      </c>
      <c r="I249">
        <v>4.99</v>
      </c>
      <c r="J249">
        <v>5</v>
      </c>
      <c r="K249">
        <v>5.28</v>
      </c>
      <c r="M249" s="3"/>
      <c r="N249" s="17"/>
      <c r="O249" s="17"/>
      <c r="P249" s="17"/>
      <c r="Q249" s="17"/>
      <c r="R249" s="17"/>
      <c r="S249" s="17"/>
      <c r="T249" s="17"/>
      <c r="U249" s="17"/>
      <c r="V249" s="17"/>
      <c r="AE249" s="2"/>
      <c r="AQ249" s="2"/>
      <c r="AR249" s="2"/>
      <c r="AS249" s="2"/>
      <c r="AT249" s="2"/>
      <c r="AU249" s="2"/>
      <c r="AV249" s="2"/>
      <c r="AW249" s="2"/>
      <c r="AX249" s="2"/>
      <c r="AY249" s="2"/>
    </row>
    <row r="250" spans="1:51" x14ac:dyDescent="0.25">
      <c r="A250" s="24">
        <v>45419</v>
      </c>
      <c r="B250" s="1">
        <v>45419</v>
      </c>
      <c r="C250">
        <v>4.2699999999999996</v>
      </c>
      <c r="D250">
        <v>4.5199999999999996</v>
      </c>
      <c r="E250">
        <v>4.67</v>
      </c>
      <c r="F250">
        <v>4.8</v>
      </c>
      <c r="G250">
        <v>4.95</v>
      </c>
      <c r="H250">
        <v>4.9800000000000004</v>
      </c>
      <c r="I250">
        <v>5</v>
      </c>
      <c r="J250">
        <v>5.03</v>
      </c>
      <c r="K250">
        <v>5.36</v>
      </c>
      <c r="M250" s="3"/>
      <c r="N250" s="17"/>
      <c r="O250" s="17"/>
      <c r="P250" s="17"/>
      <c r="Q250" s="17"/>
      <c r="R250" s="17"/>
      <c r="S250" s="17"/>
      <c r="T250" s="17"/>
      <c r="U250" s="17"/>
      <c r="V250" s="17"/>
      <c r="AE250" s="2"/>
      <c r="AQ250" s="2"/>
      <c r="AR250" s="2"/>
      <c r="AS250" s="2"/>
      <c r="AT250" s="2"/>
      <c r="AU250" s="2"/>
      <c r="AV250" s="2"/>
      <c r="AW250" s="2"/>
      <c r="AX250" s="2"/>
      <c r="AY250" s="2"/>
    </row>
    <row r="251" spans="1:51" x14ac:dyDescent="0.25">
      <c r="A251" s="24">
        <v>45418</v>
      </c>
      <c r="B251" s="1">
        <v>45418</v>
      </c>
      <c r="C251">
        <v>4.34</v>
      </c>
      <c r="D251">
        <v>4.57</v>
      </c>
      <c r="E251">
        <v>4.7</v>
      </c>
      <c r="F251">
        <v>4.83</v>
      </c>
      <c r="G251">
        <v>4.97</v>
      </c>
      <c r="H251">
        <v>4.99</v>
      </c>
      <c r="I251">
        <v>5.03</v>
      </c>
      <c r="J251">
        <v>5</v>
      </c>
      <c r="K251">
        <v>5.33</v>
      </c>
      <c r="M251" s="3"/>
      <c r="N251" s="17"/>
      <c r="O251" s="17"/>
      <c r="P251" s="17"/>
      <c r="Q251" s="17"/>
      <c r="R251" s="17"/>
      <c r="S251" s="17"/>
      <c r="T251" s="17"/>
      <c r="U251" s="17"/>
      <c r="V251" s="17"/>
      <c r="AE251" s="2"/>
      <c r="AQ251" s="2"/>
      <c r="AR251" s="2"/>
      <c r="AS251" s="2"/>
      <c r="AT251" s="2"/>
      <c r="AU251" s="2"/>
      <c r="AV251" s="2"/>
      <c r="AW251" s="2"/>
      <c r="AX251" s="2"/>
      <c r="AY251" s="2"/>
    </row>
    <row r="252" spans="1:51" x14ac:dyDescent="0.25">
      <c r="A252" s="24">
        <v>45415</v>
      </c>
      <c r="B252" s="1">
        <v>45415</v>
      </c>
      <c r="C252">
        <v>4.43</v>
      </c>
      <c r="D252">
        <v>4.62</v>
      </c>
      <c r="E252">
        <v>4.7300000000000004</v>
      </c>
      <c r="F252">
        <v>4.83</v>
      </c>
      <c r="G252">
        <v>4.9800000000000004</v>
      </c>
      <c r="H252">
        <v>4.9800000000000004</v>
      </c>
      <c r="I252">
        <v>5.03</v>
      </c>
      <c r="J252">
        <v>5</v>
      </c>
      <c r="K252">
        <v>5.31</v>
      </c>
      <c r="M252" s="3"/>
      <c r="N252" s="17"/>
      <c r="O252" s="17"/>
      <c r="P252" s="17"/>
      <c r="Q252" s="17"/>
      <c r="R252" s="17"/>
      <c r="S252" s="17"/>
      <c r="T252" s="17"/>
      <c r="U252" s="17"/>
      <c r="V252" s="17"/>
      <c r="AE252" s="2"/>
      <c r="AQ252" s="2"/>
      <c r="AR252" s="2"/>
      <c r="AS252" s="2"/>
      <c r="AT252" s="2"/>
      <c r="AU252" s="2"/>
      <c r="AV252" s="2"/>
      <c r="AW252" s="2"/>
      <c r="AX252" s="2"/>
      <c r="AY252" s="2"/>
    </row>
    <row r="253" spans="1:51" x14ac:dyDescent="0.25">
      <c r="A253" s="24">
        <v>45414</v>
      </c>
      <c r="B253" s="1">
        <v>45414</v>
      </c>
      <c r="C253">
        <v>4.46</v>
      </c>
      <c r="D253">
        <v>4.6399999999999997</v>
      </c>
      <c r="E253">
        <v>4.74</v>
      </c>
      <c r="F253">
        <v>4.84</v>
      </c>
      <c r="G253">
        <v>4.9800000000000004</v>
      </c>
      <c r="H253">
        <v>4.9800000000000004</v>
      </c>
      <c r="I253">
        <v>5</v>
      </c>
      <c r="J253">
        <v>5</v>
      </c>
      <c r="K253">
        <v>5.26</v>
      </c>
      <c r="M253" s="3"/>
      <c r="N253" s="17"/>
      <c r="O253" s="17"/>
      <c r="P253" s="17"/>
      <c r="Q253" s="17"/>
      <c r="R253" s="17"/>
      <c r="S253" s="17"/>
      <c r="T253" s="17"/>
      <c r="U253" s="17"/>
      <c r="V253" s="17"/>
      <c r="AE253" s="2"/>
      <c r="AQ253" s="2"/>
      <c r="AR253" s="2"/>
      <c r="AS253" s="2"/>
      <c r="AT253" s="2"/>
      <c r="AU253" s="2"/>
      <c r="AV253" s="2"/>
      <c r="AW253" s="2"/>
      <c r="AX253" s="2"/>
      <c r="AY253" s="2"/>
    </row>
    <row r="254" spans="1:51" x14ac:dyDescent="0.25">
      <c r="A254" s="24">
        <v>45408</v>
      </c>
      <c r="B254" s="1">
        <v>45408</v>
      </c>
      <c r="C254">
        <v>4.78</v>
      </c>
      <c r="D254">
        <v>4.82</v>
      </c>
      <c r="E254">
        <v>4.92</v>
      </c>
      <c r="F254">
        <v>4.95</v>
      </c>
      <c r="G254">
        <v>5</v>
      </c>
      <c r="H254">
        <v>5</v>
      </c>
      <c r="I254">
        <v>5.01</v>
      </c>
      <c r="J254">
        <v>5.0599999999999996</v>
      </c>
      <c r="K254">
        <v>5.31</v>
      </c>
      <c r="M254" s="3"/>
      <c r="N254" s="17"/>
      <c r="O254" s="17"/>
      <c r="P254" s="17"/>
      <c r="Q254" s="17"/>
      <c r="R254" s="17"/>
      <c r="S254" s="17"/>
      <c r="T254" s="17"/>
      <c r="U254" s="17"/>
      <c r="V254" s="17"/>
      <c r="AE254" s="2"/>
      <c r="AQ254" s="2"/>
      <c r="AR254" s="2"/>
      <c r="AS254" s="2"/>
      <c r="AT254" s="2"/>
      <c r="AU254" s="2"/>
      <c r="AV254" s="2"/>
      <c r="AW254" s="2"/>
      <c r="AX254" s="2"/>
      <c r="AY254" s="2"/>
    </row>
    <row r="255" spans="1:51" x14ac:dyDescent="0.25">
      <c r="A255" s="24">
        <v>45407</v>
      </c>
      <c r="B255" s="1">
        <v>45407</v>
      </c>
      <c r="C255">
        <v>4.18</v>
      </c>
      <c r="D255">
        <v>4.53</v>
      </c>
      <c r="E255">
        <v>4.7</v>
      </c>
      <c r="F255">
        <v>4.78</v>
      </c>
      <c r="G255">
        <v>4.88</v>
      </c>
      <c r="H255">
        <v>4.91</v>
      </c>
      <c r="I255">
        <v>5.03</v>
      </c>
      <c r="J255">
        <v>5.04</v>
      </c>
      <c r="K255">
        <v>5.35</v>
      </c>
      <c r="M255" s="3"/>
      <c r="N255" s="17"/>
      <c r="O255" s="17"/>
      <c r="P255" s="17"/>
      <c r="Q255" s="17"/>
      <c r="R255" s="17"/>
      <c r="S255" s="17"/>
      <c r="T255" s="17"/>
      <c r="U255" s="17"/>
      <c r="V255" s="17"/>
      <c r="AE255" s="2"/>
      <c r="AQ255" s="2"/>
      <c r="AR255" s="2"/>
      <c r="AS255" s="2"/>
      <c r="AT255" s="2"/>
      <c r="AU255" s="2"/>
      <c r="AV255" s="2"/>
      <c r="AW255" s="2"/>
      <c r="AX255" s="2"/>
      <c r="AY255" s="2"/>
    </row>
    <row r="256" spans="1:51" x14ac:dyDescent="0.25">
      <c r="A256" s="24">
        <v>45406</v>
      </c>
      <c r="B256" s="1">
        <v>45406</v>
      </c>
      <c r="C256">
        <v>4.2699999999999996</v>
      </c>
      <c r="D256">
        <v>4.54</v>
      </c>
      <c r="E256">
        <v>4.66</v>
      </c>
      <c r="F256">
        <v>4.79</v>
      </c>
      <c r="G256">
        <v>4.84</v>
      </c>
      <c r="H256">
        <v>4.8899999999999997</v>
      </c>
      <c r="I256">
        <v>4.96</v>
      </c>
      <c r="J256">
        <v>4.9800000000000004</v>
      </c>
      <c r="K256">
        <v>5.28</v>
      </c>
      <c r="M256" s="3"/>
      <c r="N256" s="17"/>
      <c r="O256" s="17"/>
      <c r="P256" s="17"/>
      <c r="Q256" s="17"/>
      <c r="R256" s="17"/>
      <c r="S256" s="17"/>
      <c r="T256" s="17"/>
      <c r="U256" s="17"/>
      <c r="V256" s="17"/>
      <c r="AE256" s="2"/>
      <c r="AQ256" s="2"/>
      <c r="AR256" s="2"/>
      <c r="AS256" s="2"/>
      <c r="AT256" s="2"/>
      <c r="AU256" s="2"/>
      <c r="AV256" s="2"/>
      <c r="AW256" s="2"/>
      <c r="AX256" s="2"/>
      <c r="AY256" s="2"/>
    </row>
    <row r="257" spans="1:51" x14ac:dyDescent="0.25">
      <c r="A257" s="24">
        <v>45405</v>
      </c>
      <c r="B257" s="1">
        <v>45405</v>
      </c>
      <c r="C257">
        <v>4.22</v>
      </c>
      <c r="D257">
        <v>4.3600000000000003</v>
      </c>
      <c r="E257">
        <v>4.42</v>
      </c>
      <c r="F257">
        <v>4.6399999999999997</v>
      </c>
      <c r="G257">
        <v>4.72</v>
      </c>
      <c r="H257">
        <v>4.7699999999999996</v>
      </c>
      <c r="I257">
        <v>4.8600000000000003</v>
      </c>
      <c r="J257">
        <v>4.95</v>
      </c>
      <c r="K257">
        <v>5.28</v>
      </c>
      <c r="M257" s="3"/>
      <c r="N257" s="17"/>
      <c r="O257" s="17"/>
      <c r="P257" s="17"/>
      <c r="Q257" s="17"/>
      <c r="R257" s="17"/>
      <c r="S257" s="17"/>
      <c r="T257" s="17"/>
      <c r="U257" s="17"/>
      <c r="V257" s="17"/>
      <c r="AE257" s="2"/>
      <c r="AQ257" s="2"/>
      <c r="AR257" s="2"/>
      <c r="AS257" s="2"/>
      <c r="AT257" s="2"/>
      <c r="AU257" s="2"/>
      <c r="AV257" s="2"/>
      <c r="AW257" s="2"/>
      <c r="AX257" s="2"/>
      <c r="AY257" s="2"/>
    </row>
    <row r="258" spans="1:51" x14ac:dyDescent="0.25">
      <c r="A258" s="24">
        <v>45404</v>
      </c>
      <c r="B258" s="1">
        <v>45404</v>
      </c>
      <c r="C258">
        <v>3.95</v>
      </c>
      <c r="D258">
        <v>4.1500000000000004</v>
      </c>
      <c r="E258">
        <v>4.33</v>
      </c>
      <c r="F258">
        <v>4.58</v>
      </c>
      <c r="G258">
        <v>4.7300000000000004</v>
      </c>
      <c r="H258">
        <v>4.74</v>
      </c>
      <c r="I258">
        <v>4.8</v>
      </c>
      <c r="J258">
        <v>4.9000000000000004</v>
      </c>
      <c r="K258">
        <v>5.2</v>
      </c>
      <c r="M258" s="3"/>
      <c r="N258" s="17"/>
      <c r="O258" s="17"/>
      <c r="P258" s="17"/>
      <c r="Q258" s="17"/>
      <c r="R258" s="17"/>
      <c r="S258" s="17"/>
      <c r="T258" s="17"/>
      <c r="U258" s="17"/>
      <c r="V258" s="17"/>
      <c r="AE258" s="2"/>
      <c r="AQ258" s="2"/>
      <c r="AR258" s="2"/>
      <c r="AS258" s="2"/>
      <c r="AT258" s="2"/>
      <c r="AU258" s="2"/>
      <c r="AV258" s="2"/>
      <c r="AW258" s="2"/>
      <c r="AX258" s="2"/>
      <c r="AY258" s="2"/>
    </row>
    <row r="259" spans="1:51" x14ac:dyDescent="0.25">
      <c r="A259" s="24">
        <v>45401</v>
      </c>
      <c r="B259" s="1">
        <v>45401</v>
      </c>
      <c r="C259">
        <v>3.96</v>
      </c>
      <c r="D259">
        <v>4.1399999999999997</v>
      </c>
      <c r="E259">
        <v>4.3600000000000003</v>
      </c>
      <c r="F259">
        <v>4.58</v>
      </c>
      <c r="G259">
        <v>4.76</v>
      </c>
      <c r="H259">
        <v>4.74</v>
      </c>
      <c r="I259">
        <v>4.82</v>
      </c>
      <c r="J259">
        <v>4.93</v>
      </c>
      <c r="K259">
        <v>5.2</v>
      </c>
      <c r="M259" s="3"/>
      <c r="N259" s="17"/>
      <c r="O259" s="17"/>
      <c r="P259" s="17"/>
      <c r="Q259" s="17"/>
      <c r="R259" s="17"/>
      <c r="S259" s="17"/>
      <c r="T259" s="17"/>
      <c r="U259" s="17"/>
      <c r="V259" s="17"/>
      <c r="AE259" s="2"/>
      <c r="AQ259" s="2"/>
      <c r="AR259" s="2"/>
      <c r="AS259" s="2"/>
      <c r="AT259" s="2"/>
      <c r="AU259" s="2"/>
      <c r="AV259" s="2"/>
      <c r="AW259" s="2"/>
      <c r="AX259" s="2"/>
      <c r="AY259" s="2"/>
    </row>
    <row r="260" spans="1:51" x14ac:dyDescent="0.25">
      <c r="A260" s="24">
        <v>45399</v>
      </c>
      <c r="B260" s="1">
        <v>45399</v>
      </c>
      <c r="C260">
        <v>4.92</v>
      </c>
      <c r="D260">
        <v>5</v>
      </c>
      <c r="E260">
        <v>5</v>
      </c>
      <c r="F260">
        <v>4.9000000000000004</v>
      </c>
      <c r="G260">
        <v>4.9000000000000004</v>
      </c>
      <c r="H260">
        <v>4.92</v>
      </c>
      <c r="I260">
        <v>4.78</v>
      </c>
      <c r="J260">
        <v>4.9000000000000004</v>
      </c>
      <c r="K260">
        <v>5.2</v>
      </c>
      <c r="M260" s="3"/>
      <c r="N260" s="17"/>
      <c r="O260" s="17"/>
      <c r="P260" s="17"/>
      <c r="Q260" s="17"/>
      <c r="R260" s="17"/>
      <c r="S260" s="17"/>
      <c r="T260" s="17"/>
      <c r="U260" s="17"/>
      <c r="V260" s="17"/>
      <c r="AE260" s="2"/>
      <c r="AQ260" s="2"/>
      <c r="AR260" s="2"/>
      <c r="AS260" s="2"/>
      <c r="AT260" s="2"/>
      <c r="AU260" s="2"/>
      <c r="AV260" s="2"/>
      <c r="AW260" s="2"/>
      <c r="AX260" s="2"/>
      <c r="AY260" s="2"/>
    </row>
    <row r="261" spans="1:51" x14ac:dyDescent="0.25">
      <c r="A261" s="24">
        <v>45398</v>
      </c>
      <c r="B261" s="1">
        <v>45398</v>
      </c>
      <c r="C261">
        <v>4.9800000000000004</v>
      </c>
      <c r="D261">
        <v>5</v>
      </c>
      <c r="E261">
        <v>5</v>
      </c>
      <c r="F261">
        <v>4.8600000000000003</v>
      </c>
      <c r="G261">
        <v>4.84</v>
      </c>
      <c r="H261">
        <v>4.84</v>
      </c>
      <c r="I261">
        <v>4.66</v>
      </c>
      <c r="J261">
        <v>4.8</v>
      </c>
      <c r="K261">
        <v>5.2</v>
      </c>
      <c r="M261" s="3"/>
      <c r="N261" s="17"/>
      <c r="O261" s="17"/>
      <c r="P261" s="17"/>
      <c r="Q261" s="17"/>
      <c r="R261" s="17"/>
      <c r="S261" s="17"/>
      <c r="T261" s="17"/>
      <c r="U261" s="17"/>
      <c r="V261" s="17"/>
      <c r="AE261" s="2"/>
      <c r="AQ261" s="2"/>
      <c r="AR261" s="2"/>
      <c r="AS261" s="2"/>
      <c r="AT261" s="2"/>
      <c r="AU261" s="2"/>
      <c r="AV261" s="2"/>
      <c r="AW261" s="2"/>
      <c r="AX261" s="2"/>
      <c r="AY261" s="2"/>
    </row>
    <row r="262" spans="1:51" x14ac:dyDescent="0.25">
      <c r="A262" s="24">
        <v>45397</v>
      </c>
      <c r="B262" s="1">
        <v>45397</v>
      </c>
      <c r="C262">
        <v>4.63</v>
      </c>
      <c r="D262">
        <v>4.68</v>
      </c>
      <c r="E262">
        <v>4.68</v>
      </c>
      <c r="F262">
        <v>4.58</v>
      </c>
      <c r="G262">
        <v>4.55</v>
      </c>
      <c r="H262">
        <v>4.55</v>
      </c>
      <c r="I262">
        <v>4.53</v>
      </c>
      <c r="J262">
        <v>4.71</v>
      </c>
      <c r="K262">
        <v>5.2</v>
      </c>
      <c r="M262" s="3"/>
      <c r="N262" s="17"/>
      <c r="O262" s="17"/>
      <c r="P262" s="17"/>
      <c r="Q262" s="17"/>
      <c r="R262" s="17"/>
      <c r="S262" s="17"/>
      <c r="T262" s="17"/>
      <c r="U262" s="17"/>
      <c r="V262" s="17"/>
      <c r="AE262" s="2"/>
      <c r="AQ262" s="2"/>
      <c r="AR262" s="2"/>
      <c r="AS262" s="2"/>
      <c r="AT262" s="2"/>
      <c r="AU262" s="2"/>
      <c r="AV262" s="2"/>
      <c r="AW262" s="2"/>
      <c r="AX262" s="2"/>
      <c r="AY262" s="2"/>
    </row>
    <row r="263" spans="1:51" x14ac:dyDescent="0.25">
      <c r="A263" s="24">
        <v>45394</v>
      </c>
      <c r="B263" s="1">
        <v>45394</v>
      </c>
      <c r="C263">
        <v>4.26</v>
      </c>
      <c r="D263">
        <v>4.26</v>
      </c>
      <c r="E263">
        <v>4.3600000000000003</v>
      </c>
      <c r="F263">
        <v>4.42</v>
      </c>
      <c r="G263">
        <v>4.4400000000000004</v>
      </c>
      <c r="H263">
        <v>4.42</v>
      </c>
      <c r="I263">
        <v>4.5</v>
      </c>
      <c r="J263">
        <v>4.7300000000000004</v>
      </c>
      <c r="K263">
        <v>5.33</v>
      </c>
      <c r="M263" s="3"/>
      <c r="N263" s="17"/>
      <c r="O263" s="17"/>
      <c r="P263" s="17"/>
      <c r="Q263" s="17"/>
      <c r="R263" s="17"/>
      <c r="S263" s="17"/>
      <c r="T263" s="17"/>
      <c r="U263" s="17"/>
      <c r="V263" s="17"/>
      <c r="AE263" s="2"/>
      <c r="AQ263" s="2"/>
      <c r="AR263" s="2"/>
      <c r="AS263" s="2"/>
      <c r="AT263" s="2"/>
      <c r="AU263" s="2"/>
      <c r="AV263" s="2"/>
      <c r="AW263" s="2"/>
      <c r="AX263" s="2"/>
      <c r="AY263" s="2"/>
    </row>
    <row r="264" spans="1:51" x14ac:dyDescent="0.25">
      <c r="A264" s="24">
        <v>45393</v>
      </c>
      <c r="B264" s="1">
        <v>45393</v>
      </c>
      <c r="C264">
        <v>3.82</v>
      </c>
      <c r="D264">
        <v>3.95</v>
      </c>
      <c r="E264">
        <v>3.95</v>
      </c>
      <c r="F264">
        <v>3.97</v>
      </c>
      <c r="G264">
        <v>4.03</v>
      </c>
      <c r="H264">
        <v>4.05</v>
      </c>
      <c r="I264">
        <v>4.47</v>
      </c>
      <c r="J264">
        <v>4.72</v>
      </c>
      <c r="K264">
        <v>5.35</v>
      </c>
      <c r="M264" s="3"/>
      <c r="N264" s="17"/>
      <c r="O264" s="17"/>
      <c r="P264" s="17"/>
      <c r="Q264" s="17"/>
      <c r="R264" s="17"/>
      <c r="S264" s="17"/>
      <c r="T264" s="17"/>
      <c r="U264" s="17"/>
      <c r="V264" s="17"/>
      <c r="AE264" s="2"/>
      <c r="AQ264" s="2"/>
      <c r="AR264" s="2"/>
      <c r="AS264" s="2"/>
      <c r="AT264" s="2"/>
      <c r="AU264" s="2"/>
      <c r="AV264" s="2"/>
      <c r="AW264" s="2"/>
      <c r="AX264" s="2"/>
      <c r="AY264" s="2"/>
    </row>
    <row r="265" spans="1:51" x14ac:dyDescent="0.25">
      <c r="A265" s="24">
        <v>45392</v>
      </c>
      <c r="B265" s="1">
        <v>45392</v>
      </c>
      <c r="C265">
        <v>3.86</v>
      </c>
      <c r="D265">
        <v>4</v>
      </c>
      <c r="E265">
        <v>4.0199999999999996</v>
      </c>
      <c r="F265">
        <v>3.96</v>
      </c>
      <c r="G265">
        <v>4.08</v>
      </c>
      <c r="H265">
        <v>4.08</v>
      </c>
      <c r="I265">
        <v>4.46</v>
      </c>
      <c r="J265">
        <v>4.6900000000000004</v>
      </c>
      <c r="K265">
        <v>5.24</v>
      </c>
      <c r="M265" s="3"/>
      <c r="N265" s="17"/>
      <c r="O265" s="17"/>
      <c r="P265" s="17"/>
      <c r="Q265" s="17"/>
      <c r="R265" s="17"/>
      <c r="S265" s="17"/>
      <c r="T265" s="17"/>
      <c r="U265" s="17"/>
      <c r="V265" s="17"/>
      <c r="AE265" s="2"/>
      <c r="AQ265" s="2"/>
      <c r="AR265" s="2"/>
      <c r="AS265" s="2"/>
      <c r="AT265" s="2"/>
      <c r="AU265" s="2"/>
      <c r="AV265" s="2"/>
      <c r="AW265" s="2"/>
      <c r="AX265" s="2"/>
      <c r="AY265" s="2"/>
    </row>
    <row r="266" spans="1:51" x14ac:dyDescent="0.25">
      <c r="A266" s="24">
        <v>45391</v>
      </c>
      <c r="B266" s="1">
        <v>45391</v>
      </c>
      <c r="C266">
        <v>3.68</v>
      </c>
      <c r="D266">
        <v>3.85</v>
      </c>
      <c r="E266">
        <v>3.83</v>
      </c>
      <c r="F266">
        <v>3.8</v>
      </c>
      <c r="G266">
        <v>4</v>
      </c>
      <c r="H266">
        <v>4</v>
      </c>
      <c r="I266">
        <v>4.43</v>
      </c>
      <c r="J266">
        <v>4.66</v>
      </c>
      <c r="K266">
        <v>5.31</v>
      </c>
      <c r="M266" s="3"/>
      <c r="N266" s="17"/>
      <c r="O266" s="17"/>
      <c r="P266" s="17"/>
      <c r="Q266" s="17"/>
      <c r="R266" s="17"/>
      <c r="S266" s="17"/>
      <c r="T266" s="17"/>
      <c r="U266" s="17"/>
      <c r="V266" s="17"/>
      <c r="AE266" s="2"/>
      <c r="AQ266" s="2"/>
      <c r="AR266" s="2"/>
      <c r="AS266" s="2"/>
      <c r="AT266" s="2"/>
      <c r="AU266" s="2"/>
      <c r="AV266" s="2"/>
      <c r="AW266" s="2"/>
      <c r="AX266" s="2"/>
      <c r="AY266" s="2"/>
    </row>
    <row r="267" spans="1:51" x14ac:dyDescent="0.25">
      <c r="A267" s="24">
        <v>45390</v>
      </c>
      <c r="B267" s="1">
        <v>45390</v>
      </c>
      <c r="C267">
        <v>2.72</v>
      </c>
      <c r="D267">
        <v>2.94</v>
      </c>
      <c r="E267">
        <v>3.34</v>
      </c>
      <c r="F267">
        <v>3.66</v>
      </c>
      <c r="G267">
        <v>3.94</v>
      </c>
      <c r="H267">
        <v>3.96</v>
      </c>
      <c r="I267">
        <v>4.4000000000000004</v>
      </c>
      <c r="J267">
        <v>4.68</v>
      </c>
      <c r="K267">
        <v>5.28</v>
      </c>
      <c r="M267" s="3"/>
      <c r="N267" s="17"/>
      <c r="O267" s="17"/>
      <c r="P267" s="17"/>
      <c r="Q267" s="17"/>
      <c r="R267" s="17"/>
      <c r="S267" s="17"/>
      <c r="T267" s="17"/>
      <c r="U267" s="17"/>
      <c r="V267" s="17"/>
      <c r="AE267" s="2"/>
      <c r="AQ267" s="2"/>
      <c r="AR267" s="2"/>
      <c r="AS267" s="2"/>
      <c r="AT267" s="2"/>
      <c r="AU267" s="2"/>
      <c r="AV267" s="2"/>
      <c r="AW267" s="2"/>
      <c r="AX267" s="2"/>
      <c r="AY267" s="2"/>
    </row>
    <row r="268" spans="1:51" x14ac:dyDescent="0.25">
      <c r="A268" s="24">
        <v>45387</v>
      </c>
      <c r="B268" s="1">
        <v>45387</v>
      </c>
      <c r="C268">
        <v>2.58</v>
      </c>
      <c r="D268">
        <v>2.9</v>
      </c>
      <c r="E268">
        <v>3.23</v>
      </c>
      <c r="F268">
        <v>3.75</v>
      </c>
      <c r="G268">
        <v>3.93</v>
      </c>
      <c r="H268">
        <v>3.98</v>
      </c>
      <c r="I268">
        <v>4.25</v>
      </c>
      <c r="J268">
        <v>4.5599999999999996</v>
      </c>
      <c r="K268">
        <v>5.2</v>
      </c>
      <c r="M268" s="3"/>
      <c r="N268" s="17"/>
      <c r="O268" s="17"/>
      <c r="P268" s="17"/>
      <c r="Q268" s="17"/>
      <c r="R268" s="17"/>
      <c r="S268" s="17"/>
      <c r="T268" s="17"/>
      <c r="U268" s="17"/>
      <c r="V268" s="17"/>
      <c r="AE268" s="2"/>
      <c r="AQ268" s="2"/>
      <c r="AR268" s="2"/>
      <c r="AS268" s="2"/>
      <c r="AT268" s="2"/>
      <c r="AU268" s="2"/>
      <c r="AV268" s="2"/>
      <c r="AW268" s="2"/>
      <c r="AX268" s="2"/>
      <c r="AY268" s="2"/>
    </row>
    <row r="269" spans="1:51" x14ac:dyDescent="0.25">
      <c r="A269" s="24">
        <v>45386</v>
      </c>
      <c r="B269" s="1">
        <v>45386</v>
      </c>
      <c r="C269">
        <v>3.58</v>
      </c>
      <c r="D269">
        <v>3.92</v>
      </c>
      <c r="E269">
        <v>4.05</v>
      </c>
      <c r="F269">
        <v>4.08</v>
      </c>
      <c r="G269">
        <v>3.98</v>
      </c>
      <c r="H269">
        <v>3.98</v>
      </c>
      <c r="I269">
        <v>4.32</v>
      </c>
      <c r="J269">
        <v>4.5999999999999996</v>
      </c>
      <c r="K269">
        <v>5.2</v>
      </c>
      <c r="M269" s="3"/>
      <c r="N269" s="17"/>
      <c r="O269" s="17"/>
      <c r="P269" s="17"/>
      <c r="Q269" s="17"/>
      <c r="R269" s="17"/>
      <c r="S269" s="17"/>
      <c r="T269" s="17"/>
      <c r="U269" s="17"/>
      <c r="V269" s="17"/>
      <c r="AE269" s="2"/>
      <c r="AQ269" s="2"/>
      <c r="AR269" s="2"/>
      <c r="AS269" s="2"/>
      <c r="AT269" s="2"/>
      <c r="AU269" s="2"/>
      <c r="AV269" s="2"/>
      <c r="AW269" s="2"/>
      <c r="AX269" s="2"/>
      <c r="AY269" s="2"/>
    </row>
    <row r="270" spans="1:51" x14ac:dyDescent="0.25">
      <c r="A270" s="24">
        <v>45385</v>
      </c>
      <c r="B270" s="1">
        <v>45385</v>
      </c>
      <c r="C270">
        <v>4.42</v>
      </c>
      <c r="D270">
        <v>4.5</v>
      </c>
      <c r="E270">
        <v>4.5</v>
      </c>
      <c r="F270">
        <v>4.24</v>
      </c>
      <c r="G270">
        <v>3.98</v>
      </c>
      <c r="H270">
        <v>3.98</v>
      </c>
      <c r="I270">
        <v>4.34</v>
      </c>
      <c r="J270">
        <v>4.59</v>
      </c>
      <c r="K270">
        <v>5.2</v>
      </c>
      <c r="M270" s="3"/>
      <c r="N270" s="17"/>
      <c r="O270" s="17"/>
      <c r="P270" s="17"/>
      <c r="Q270" s="17"/>
      <c r="R270" s="17"/>
      <c r="S270" s="17"/>
      <c r="T270" s="17"/>
      <c r="U270" s="17"/>
      <c r="V270" s="17"/>
      <c r="AE270" s="2"/>
      <c r="AQ270" s="2"/>
      <c r="AR270" s="2"/>
      <c r="AS270" s="2"/>
      <c r="AT270" s="2"/>
      <c r="AU270" s="2"/>
      <c r="AV270" s="2"/>
      <c r="AW270" s="2"/>
      <c r="AX270" s="2"/>
      <c r="AY270" s="2"/>
    </row>
    <row r="271" spans="1:51" x14ac:dyDescent="0.25">
      <c r="A271" s="24">
        <v>45384</v>
      </c>
      <c r="B271" s="1">
        <v>45384</v>
      </c>
      <c r="C271">
        <v>4.3499999999999996</v>
      </c>
      <c r="D271">
        <v>4.5</v>
      </c>
      <c r="E271">
        <v>4.5</v>
      </c>
      <c r="F271">
        <v>4.2300000000000004</v>
      </c>
      <c r="G271">
        <v>4.05</v>
      </c>
      <c r="H271">
        <v>4.05</v>
      </c>
      <c r="I271">
        <v>4.38</v>
      </c>
      <c r="J271">
        <v>4.6399999999999997</v>
      </c>
      <c r="K271">
        <v>5.26</v>
      </c>
      <c r="M271" s="3"/>
      <c r="N271" s="17"/>
      <c r="O271" s="17"/>
      <c r="P271" s="17"/>
      <c r="Q271" s="17"/>
      <c r="R271" s="17"/>
      <c r="S271" s="17"/>
      <c r="T271" s="17"/>
      <c r="U271" s="17"/>
      <c r="V271" s="17"/>
      <c r="AE271" s="2"/>
      <c r="AQ271" s="2"/>
      <c r="AR271" s="2"/>
      <c r="AS271" s="2"/>
      <c r="AT271" s="2"/>
      <c r="AU271" s="2"/>
      <c r="AV271" s="2"/>
      <c r="AW271" s="2"/>
      <c r="AX271" s="2"/>
      <c r="AY271" s="2"/>
    </row>
    <row r="272" spans="1:51" x14ac:dyDescent="0.25">
      <c r="A272" s="24">
        <v>45383</v>
      </c>
      <c r="B272" s="1">
        <v>45383</v>
      </c>
      <c r="C272">
        <v>3.64</v>
      </c>
      <c r="D272">
        <v>3.79</v>
      </c>
      <c r="E272">
        <v>3.86</v>
      </c>
      <c r="F272">
        <v>3.83</v>
      </c>
      <c r="G272">
        <v>3.69</v>
      </c>
      <c r="H272">
        <v>3.73</v>
      </c>
      <c r="I272">
        <v>4.2</v>
      </c>
      <c r="J272">
        <v>4.6399999999999997</v>
      </c>
      <c r="K272">
        <v>5.25</v>
      </c>
      <c r="M272" s="3"/>
      <c r="N272" s="17"/>
      <c r="O272" s="17"/>
      <c r="P272" s="17"/>
      <c r="Q272" s="17"/>
      <c r="R272" s="17"/>
      <c r="S272" s="17"/>
      <c r="T272" s="17"/>
      <c r="U272" s="17"/>
      <c r="V272" s="17"/>
      <c r="AE272" s="2"/>
      <c r="AQ272" s="2"/>
      <c r="AR272" s="2"/>
      <c r="AS272" s="2"/>
      <c r="AT272" s="2"/>
      <c r="AU272" s="2"/>
      <c r="AV272" s="2"/>
      <c r="AW272" s="2"/>
      <c r="AX272" s="2"/>
      <c r="AY272" s="2"/>
    </row>
    <row r="273" spans="1:51" x14ac:dyDescent="0.25">
      <c r="A273" s="24">
        <v>45380</v>
      </c>
      <c r="B273" s="1">
        <v>45380</v>
      </c>
      <c r="C273">
        <v>2.78</v>
      </c>
      <c r="D273">
        <v>3</v>
      </c>
      <c r="E273">
        <v>3.02</v>
      </c>
      <c r="F273">
        <v>3.3</v>
      </c>
      <c r="G273">
        <v>3.44</v>
      </c>
      <c r="H273">
        <v>3.38</v>
      </c>
      <c r="I273">
        <v>4.04</v>
      </c>
      <c r="J273">
        <v>4.6399999999999997</v>
      </c>
      <c r="K273">
        <v>5.2</v>
      </c>
      <c r="M273" s="3"/>
      <c r="N273" s="17"/>
      <c r="O273" s="17"/>
      <c r="P273" s="17"/>
      <c r="Q273" s="17"/>
      <c r="R273" s="17"/>
      <c r="S273" s="17"/>
      <c r="T273" s="17"/>
      <c r="U273" s="17"/>
      <c r="V273" s="17"/>
      <c r="AE273" s="2"/>
      <c r="AQ273" s="2"/>
      <c r="AR273" s="2"/>
      <c r="AS273" s="2"/>
      <c r="AT273" s="2"/>
      <c r="AU273" s="2"/>
      <c r="AV273" s="2"/>
      <c r="AW273" s="2"/>
      <c r="AX273" s="2"/>
      <c r="AY273" s="2"/>
    </row>
    <row r="274" spans="1:51" x14ac:dyDescent="0.25">
      <c r="A274" s="24">
        <v>45379</v>
      </c>
      <c r="B274" s="1">
        <v>45379</v>
      </c>
      <c r="C274">
        <v>0.32</v>
      </c>
      <c r="D274">
        <v>1.87</v>
      </c>
      <c r="E274">
        <v>2.15</v>
      </c>
      <c r="F274">
        <v>2.4500000000000002</v>
      </c>
      <c r="G274">
        <v>2.73</v>
      </c>
      <c r="H274">
        <v>2.95</v>
      </c>
      <c r="I274">
        <v>4.08</v>
      </c>
      <c r="J274">
        <v>4.63</v>
      </c>
      <c r="K274">
        <v>5.26</v>
      </c>
      <c r="M274" s="3"/>
      <c r="N274" s="17"/>
      <c r="O274" s="17"/>
      <c r="P274" s="17"/>
      <c r="Q274" s="17"/>
      <c r="R274" s="17"/>
      <c r="S274" s="17"/>
      <c r="T274" s="17"/>
      <c r="U274" s="17"/>
      <c r="V274" s="17"/>
      <c r="AE274" s="2"/>
      <c r="AQ274" s="2"/>
      <c r="AR274" s="2"/>
      <c r="AS274" s="2"/>
      <c r="AT274" s="2"/>
      <c r="AU274" s="2"/>
      <c r="AV274" s="2"/>
      <c r="AW274" s="2"/>
      <c r="AX274" s="2"/>
      <c r="AY274" s="2"/>
    </row>
    <row r="275" spans="1:51" x14ac:dyDescent="0.25">
      <c r="A275" s="24">
        <v>45378</v>
      </c>
      <c r="B275" s="1">
        <v>45378</v>
      </c>
      <c r="C275">
        <v>0.33</v>
      </c>
      <c r="D275">
        <v>1.6</v>
      </c>
      <c r="E275">
        <v>2</v>
      </c>
      <c r="F275">
        <v>2.3199999999999998</v>
      </c>
      <c r="G275">
        <v>2.65</v>
      </c>
      <c r="H275">
        <v>2.86</v>
      </c>
      <c r="I275">
        <v>4.0999999999999996</v>
      </c>
      <c r="J275">
        <v>4.66</v>
      </c>
      <c r="K275">
        <v>5.28</v>
      </c>
      <c r="M275" s="3"/>
      <c r="N275" s="17"/>
      <c r="O275" s="17"/>
      <c r="P275" s="17"/>
      <c r="Q275" s="17"/>
      <c r="R275" s="17"/>
      <c r="S275" s="17"/>
      <c r="T275" s="17"/>
      <c r="U275" s="17"/>
      <c r="V275" s="17"/>
      <c r="AE275" s="2"/>
      <c r="AQ275" s="2"/>
      <c r="AR275" s="2"/>
      <c r="AS275" s="2"/>
      <c r="AT275" s="2"/>
      <c r="AU275" s="2"/>
      <c r="AV275" s="2"/>
      <c r="AW275" s="2"/>
      <c r="AX275" s="2"/>
      <c r="AY275" s="2"/>
    </row>
    <row r="276" spans="1:51" x14ac:dyDescent="0.25">
      <c r="A276" s="24">
        <v>45377</v>
      </c>
      <c r="B276" s="1">
        <v>45377</v>
      </c>
      <c r="C276">
        <v>0.36</v>
      </c>
      <c r="D276">
        <v>1.5</v>
      </c>
      <c r="E276">
        <v>1.85</v>
      </c>
      <c r="F276">
        <v>2.12</v>
      </c>
      <c r="G276">
        <v>2.66</v>
      </c>
      <c r="H276">
        <v>2.85</v>
      </c>
      <c r="I276">
        <v>4.08</v>
      </c>
      <c r="J276">
        <v>4.6100000000000003</v>
      </c>
      <c r="K276">
        <v>5.18</v>
      </c>
      <c r="M276" s="3"/>
      <c r="N276" s="17"/>
      <c r="O276" s="17"/>
      <c r="P276" s="17"/>
      <c r="Q276" s="17"/>
      <c r="R276" s="17"/>
      <c r="S276" s="17"/>
      <c r="T276" s="17"/>
      <c r="U276" s="17"/>
      <c r="V276" s="17"/>
      <c r="AE276" s="2"/>
      <c r="AQ276" s="2"/>
      <c r="AR276" s="2"/>
      <c r="AS276" s="2"/>
      <c r="AT276" s="2"/>
      <c r="AU276" s="2"/>
      <c r="AV276" s="2"/>
      <c r="AW276" s="2"/>
      <c r="AX276" s="2"/>
      <c r="AY276" s="2"/>
    </row>
    <row r="277" spans="1:51" x14ac:dyDescent="0.25">
      <c r="A277" s="24">
        <v>45376</v>
      </c>
      <c r="B277" s="1">
        <v>45376</v>
      </c>
      <c r="C277">
        <v>0.32</v>
      </c>
      <c r="D277">
        <v>0.85</v>
      </c>
      <c r="E277">
        <v>1.7</v>
      </c>
      <c r="F277">
        <v>2.02</v>
      </c>
      <c r="G277">
        <v>2.58</v>
      </c>
      <c r="H277">
        <v>2.87</v>
      </c>
      <c r="I277">
        <v>4.12</v>
      </c>
      <c r="J277">
        <v>4.6500000000000004</v>
      </c>
      <c r="K277">
        <v>5.26</v>
      </c>
      <c r="M277" s="3"/>
      <c r="N277" s="17"/>
      <c r="O277" s="17"/>
      <c r="P277" s="17"/>
      <c r="Q277" s="17"/>
      <c r="R277" s="17"/>
      <c r="S277" s="17"/>
      <c r="T277" s="17"/>
      <c r="U277" s="17"/>
      <c r="V277" s="17"/>
      <c r="AE277" s="2"/>
      <c r="AQ277" s="2"/>
      <c r="AR277" s="2"/>
      <c r="AS277" s="2"/>
      <c r="AT277" s="2"/>
      <c r="AU277" s="2"/>
      <c r="AV277" s="2"/>
      <c r="AW277" s="2"/>
      <c r="AX277" s="2"/>
      <c r="AY277" s="2"/>
    </row>
    <row r="278" spans="1:51" x14ac:dyDescent="0.25">
      <c r="A278" s="24">
        <v>45373</v>
      </c>
      <c r="B278" s="1">
        <v>45373</v>
      </c>
      <c r="C278">
        <v>0.2</v>
      </c>
      <c r="D278">
        <v>0.48</v>
      </c>
      <c r="E278">
        <v>1.2</v>
      </c>
      <c r="F278">
        <v>1.76</v>
      </c>
      <c r="G278">
        <v>2.4700000000000002</v>
      </c>
      <c r="H278">
        <v>2.8</v>
      </c>
      <c r="I278">
        <v>4.1500000000000004</v>
      </c>
      <c r="J278">
        <v>4.63</v>
      </c>
      <c r="K278">
        <v>5.26</v>
      </c>
      <c r="M278" s="3"/>
      <c r="N278" s="17"/>
      <c r="O278" s="17"/>
      <c r="P278" s="17"/>
      <c r="Q278" s="17"/>
      <c r="R278" s="17"/>
      <c r="S278" s="17"/>
      <c r="T278" s="17"/>
      <c r="U278" s="17"/>
      <c r="V278" s="17"/>
      <c r="AE278" s="2"/>
      <c r="AQ278" s="2"/>
      <c r="AR278" s="2"/>
      <c r="AS278" s="2"/>
      <c r="AT278" s="2"/>
      <c r="AU278" s="2"/>
      <c r="AV278" s="2"/>
      <c r="AW278" s="2"/>
      <c r="AX278" s="2"/>
      <c r="AY278" s="2"/>
    </row>
    <row r="279" spans="1:51" x14ac:dyDescent="0.25">
      <c r="A279" s="24">
        <v>45372</v>
      </c>
      <c r="B279" s="1">
        <v>45372</v>
      </c>
      <c r="C279">
        <v>0.23</v>
      </c>
      <c r="D279">
        <v>0.49</v>
      </c>
      <c r="E279">
        <v>1.19</v>
      </c>
      <c r="F279">
        <v>1.81</v>
      </c>
      <c r="G279">
        <v>2.4700000000000002</v>
      </c>
      <c r="H279">
        <v>2.8</v>
      </c>
      <c r="I279">
        <v>4.13</v>
      </c>
      <c r="J279">
        <v>4.6399999999999997</v>
      </c>
      <c r="K279">
        <v>5.23</v>
      </c>
      <c r="M279" s="3"/>
      <c r="N279" s="17"/>
      <c r="O279" s="17"/>
      <c r="P279" s="17"/>
      <c r="Q279" s="17"/>
      <c r="R279" s="17"/>
      <c r="S279" s="17"/>
      <c r="T279" s="17"/>
      <c r="U279" s="17"/>
      <c r="V279" s="17"/>
      <c r="AE279" s="2"/>
      <c r="AQ279" s="2"/>
      <c r="AR279" s="2"/>
      <c r="AS279" s="2"/>
      <c r="AT279" s="2"/>
      <c r="AU279" s="2"/>
      <c r="AV279" s="2"/>
      <c r="AW279" s="2"/>
      <c r="AX279" s="2"/>
      <c r="AY279" s="2"/>
    </row>
    <row r="280" spans="1:51" x14ac:dyDescent="0.25">
      <c r="A280" s="24">
        <v>45371</v>
      </c>
      <c r="B280" s="1">
        <v>45371</v>
      </c>
      <c r="C280">
        <v>0.22</v>
      </c>
      <c r="D280">
        <v>0.47</v>
      </c>
      <c r="E280">
        <v>1.23</v>
      </c>
      <c r="F280">
        <v>1.82</v>
      </c>
      <c r="G280">
        <v>2.4700000000000002</v>
      </c>
      <c r="H280">
        <v>2.8</v>
      </c>
      <c r="I280">
        <v>4.07</v>
      </c>
      <c r="J280">
        <v>4.63</v>
      </c>
      <c r="K280">
        <v>5.24</v>
      </c>
      <c r="M280" s="3"/>
      <c r="N280" s="17"/>
      <c r="O280" s="17"/>
      <c r="P280" s="17"/>
      <c r="Q280" s="17"/>
      <c r="R280" s="17"/>
      <c r="S280" s="17"/>
      <c r="T280" s="17"/>
      <c r="U280" s="17"/>
      <c r="V280" s="17"/>
      <c r="AE280" s="2"/>
      <c r="AQ280" s="2"/>
      <c r="AR280" s="2"/>
      <c r="AS280" s="2"/>
      <c r="AT280" s="2"/>
      <c r="AU280" s="2"/>
      <c r="AV280" s="2"/>
      <c r="AW280" s="2"/>
      <c r="AX280" s="2"/>
      <c r="AY280" s="2"/>
    </row>
    <row r="281" spans="1:51" x14ac:dyDescent="0.25">
      <c r="A281" s="24">
        <v>45370</v>
      </c>
      <c r="B281" s="1">
        <v>45370</v>
      </c>
      <c r="C281">
        <v>0.34</v>
      </c>
      <c r="D281">
        <v>0.61</v>
      </c>
      <c r="E281">
        <v>1.26</v>
      </c>
      <c r="F281">
        <v>1.84</v>
      </c>
      <c r="G281">
        <v>2.5299999999999998</v>
      </c>
      <c r="H281">
        <v>2.8</v>
      </c>
      <c r="I281">
        <v>4.13</v>
      </c>
      <c r="J281">
        <v>4.6399999999999997</v>
      </c>
      <c r="K281">
        <v>5.2</v>
      </c>
      <c r="M281" s="3"/>
      <c r="N281" s="17"/>
      <c r="O281" s="17"/>
      <c r="P281" s="17"/>
      <c r="Q281" s="17"/>
      <c r="R281" s="17"/>
      <c r="S281" s="17"/>
      <c r="T281" s="17"/>
      <c r="U281" s="17"/>
      <c r="V281" s="17"/>
      <c r="AE281" s="2"/>
      <c r="AQ281" s="2"/>
      <c r="AR281" s="2"/>
      <c r="AS281" s="2"/>
      <c r="AT281" s="2"/>
      <c r="AU281" s="2"/>
      <c r="AV281" s="2"/>
      <c r="AW281" s="2"/>
      <c r="AX281" s="2"/>
      <c r="AY281" s="2"/>
    </row>
    <row r="282" spans="1:51" x14ac:dyDescent="0.25">
      <c r="A282" s="24">
        <v>45369</v>
      </c>
      <c r="B282" s="1">
        <v>45369</v>
      </c>
      <c r="C282">
        <v>0.53</v>
      </c>
      <c r="D282">
        <v>0.83</v>
      </c>
      <c r="E282">
        <v>1.33</v>
      </c>
      <c r="F282">
        <v>2.0299999999999998</v>
      </c>
      <c r="G282">
        <v>2.6</v>
      </c>
      <c r="H282">
        <v>2.8</v>
      </c>
      <c r="I282">
        <v>4.08</v>
      </c>
      <c r="J282">
        <v>4.63</v>
      </c>
      <c r="K282">
        <v>5.1100000000000003</v>
      </c>
      <c r="M282" s="3"/>
      <c r="N282" s="17"/>
      <c r="O282" s="17"/>
      <c r="P282" s="17"/>
      <c r="Q282" s="17"/>
      <c r="R282" s="17"/>
      <c r="S282" s="17"/>
      <c r="T282" s="17"/>
      <c r="U282" s="17"/>
      <c r="V282" s="17"/>
      <c r="AE282" s="2"/>
      <c r="AQ282" s="2"/>
      <c r="AR282" s="2"/>
      <c r="AS282" s="2"/>
      <c r="AT282" s="2"/>
      <c r="AU282" s="2"/>
      <c r="AV282" s="2"/>
      <c r="AW282" s="2"/>
      <c r="AX282" s="2"/>
      <c r="AY282" s="2"/>
    </row>
    <row r="283" spans="1:51" x14ac:dyDescent="0.25">
      <c r="A283" s="24">
        <v>45366</v>
      </c>
      <c r="B283" s="1">
        <v>45366</v>
      </c>
      <c r="C283">
        <v>0.86</v>
      </c>
      <c r="D283">
        <v>1.0900000000000001</v>
      </c>
      <c r="E283">
        <v>1.44</v>
      </c>
      <c r="F283">
        <v>2.04</v>
      </c>
      <c r="G283">
        <v>2.6</v>
      </c>
      <c r="H283">
        <v>2.81</v>
      </c>
      <c r="I283">
        <v>4.1900000000000004</v>
      </c>
      <c r="J283">
        <v>4.71</v>
      </c>
      <c r="K283">
        <v>5.29</v>
      </c>
      <c r="M283" s="3"/>
      <c r="N283" s="17"/>
      <c r="O283" s="17"/>
      <c r="P283" s="17"/>
      <c r="Q283" s="17"/>
      <c r="R283" s="17"/>
      <c r="S283" s="17"/>
      <c r="T283" s="17"/>
      <c r="U283" s="17"/>
      <c r="V283" s="17"/>
      <c r="AE283" s="2"/>
      <c r="AQ283" s="2"/>
      <c r="AR283" s="2"/>
      <c r="AS283" s="2"/>
      <c r="AT283" s="2"/>
      <c r="AU283" s="2"/>
      <c r="AV283" s="2"/>
      <c r="AW283" s="2"/>
      <c r="AX283" s="2"/>
      <c r="AY283" s="2"/>
    </row>
    <row r="284" spans="1:51" x14ac:dyDescent="0.25">
      <c r="A284" s="24">
        <v>45365</v>
      </c>
      <c r="B284" s="1">
        <v>45365</v>
      </c>
      <c r="C284">
        <v>1.3</v>
      </c>
      <c r="D284">
        <v>1.45</v>
      </c>
      <c r="E284">
        <v>1.68</v>
      </c>
      <c r="F284">
        <v>2.17</v>
      </c>
      <c r="G284">
        <v>2.64</v>
      </c>
      <c r="H284">
        <v>2.82</v>
      </c>
      <c r="I284">
        <v>4.2699999999999996</v>
      </c>
      <c r="J284">
        <v>4.63</v>
      </c>
      <c r="K284">
        <v>5.21</v>
      </c>
      <c r="M284" s="3"/>
      <c r="N284" s="17"/>
      <c r="O284" s="17"/>
      <c r="P284" s="17"/>
      <c r="Q284" s="17"/>
      <c r="R284" s="17"/>
      <c r="S284" s="17"/>
      <c r="T284" s="17"/>
      <c r="U284" s="17"/>
      <c r="V284" s="17"/>
      <c r="AE284" s="2"/>
      <c r="AQ284" s="2"/>
      <c r="AR284" s="2"/>
      <c r="AS284" s="2"/>
      <c r="AT284" s="2"/>
      <c r="AU284" s="2"/>
      <c r="AV284" s="2"/>
      <c r="AW284" s="2"/>
      <c r="AX284" s="2"/>
      <c r="AY284" s="2"/>
    </row>
    <row r="285" spans="1:51" x14ac:dyDescent="0.25">
      <c r="A285" s="24">
        <v>45364</v>
      </c>
      <c r="B285" s="1">
        <v>45364</v>
      </c>
      <c r="C285">
        <v>1.46</v>
      </c>
      <c r="D285">
        <v>1.6</v>
      </c>
      <c r="E285">
        <v>1.8</v>
      </c>
      <c r="F285">
        <v>2.2000000000000002</v>
      </c>
      <c r="G285">
        <v>2.64</v>
      </c>
      <c r="H285">
        <v>2.84</v>
      </c>
      <c r="I285">
        <v>4.28</v>
      </c>
      <c r="J285">
        <v>4.6900000000000004</v>
      </c>
      <c r="K285">
        <v>5.29</v>
      </c>
      <c r="M285" s="3"/>
      <c r="N285" s="17"/>
      <c r="O285" s="17"/>
      <c r="P285" s="17"/>
      <c r="Q285" s="17"/>
      <c r="R285" s="17"/>
      <c r="S285" s="17"/>
      <c r="T285" s="17"/>
      <c r="U285" s="17"/>
      <c r="V285" s="17"/>
      <c r="AE285" s="2"/>
      <c r="AQ285" s="2"/>
      <c r="AR285" s="2"/>
      <c r="AS285" s="2"/>
      <c r="AT285" s="2"/>
      <c r="AU285" s="2"/>
      <c r="AV285" s="2"/>
      <c r="AW285" s="2"/>
      <c r="AX285" s="2"/>
      <c r="AY285" s="2"/>
    </row>
    <row r="286" spans="1:51" x14ac:dyDescent="0.25">
      <c r="A286" s="24">
        <v>45363</v>
      </c>
      <c r="B286" s="1">
        <v>45363</v>
      </c>
      <c r="C286">
        <v>1.5</v>
      </c>
      <c r="D286">
        <v>1.68</v>
      </c>
      <c r="E286">
        <v>1.8</v>
      </c>
      <c r="F286">
        <v>2.1800000000000002</v>
      </c>
      <c r="G286">
        <v>2.63</v>
      </c>
      <c r="H286">
        <v>2.83</v>
      </c>
      <c r="I286">
        <v>4.25</v>
      </c>
      <c r="J286">
        <v>4.63</v>
      </c>
      <c r="K286">
        <v>5.17</v>
      </c>
      <c r="M286" s="3"/>
      <c r="N286" s="17"/>
      <c r="O286" s="17"/>
      <c r="P286" s="17"/>
      <c r="Q286" s="17"/>
      <c r="R286" s="17"/>
      <c r="S286" s="17"/>
      <c r="T286" s="17"/>
      <c r="U286" s="17"/>
      <c r="V286" s="17"/>
      <c r="AE286" s="2"/>
      <c r="AQ286" s="2"/>
      <c r="AR286" s="2"/>
      <c r="AS286" s="2"/>
      <c r="AT286" s="2"/>
      <c r="AU286" s="2"/>
      <c r="AV286" s="2"/>
      <c r="AW286" s="2"/>
      <c r="AX286" s="2"/>
      <c r="AY286" s="2"/>
    </row>
    <row r="287" spans="1:51" x14ac:dyDescent="0.25">
      <c r="A287" s="24">
        <v>45362</v>
      </c>
      <c r="B287" s="1">
        <v>45362</v>
      </c>
      <c r="C287">
        <v>0.8</v>
      </c>
      <c r="D287">
        <v>1.07</v>
      </c>
      <c r="E287">
        <v>1.36</v>
      </c>
      <c r="F287">
        <v>2.06</v>
      </c>
      <c r="G287">
        <v>2.54</v>
      </c>
      <c r="H287">
        <v>2.79</v>
      </c>
      <c r="I287">
        <v>4.3</v>
      </c>
      <c r="J287">
        <v>4.68</v>
      </c>
      <c r="K287">
        <v>5.28</v>
      </c>
      <c r="M287" s="3"/>
      <c r="N287" s="17"/>
      <c r="O287" s="17"/>
      <c r="P287" s="17"/>
      <c r="Q287" s="17"/>
      <c r="R287" s="17"/>
      <c r="S287" s="17"/>
      <c r="T287" s="17"/>
      <c r="U287" s="17"/>
      <c r="V287" s="17"/>
      <c r="AE287" s="2"/>
      <c r="AQ287" s="2"/>
      <c r="AR287" s="2"/>
      <c r="AS287" s="2"/>
      <c r="AT287" s="2"/>
      <c r="AU287" s="2"/>
      <c r="AV287" s="2"/>
      <c r="AW287" s="2"/>
      <c r="AX287" s="2"/>
      <c r="AY287" s="2"/>
    </row>
    <row r="288" spans="1:51" x14ac:dyDescent="0.25">
      <c r="A288" s="24">
        <v>45359</v>
      </c>
      <c r="B288" s="1">
        <v>45359</v>
      </c>
      <c r="C288">
        <v>0.8</v>
      </c>
      <c r="D288">
        <v>1.06</v>
      </c>
      <c r="E288">
        <v>1.32</v>
      </c>
      <c r="F288">
        <v>2.06</v>
      </c>
      <c r="G288">
        <v>2.58</v>
      </c>
      <c r="H288">
        <v>2.8</v>
      </c>
      <c r="I288">
        <v>4.28</v>
      </c>
      <c r="J288">
        <v>4.6900000000000004</v>
      </c>
      <c r="K288">
        <v>5.24</v>
      </c>
      <c r="M288" s="3"/>
      <c r="N288" s="17"/>
      <c r="O288" s="17"/>
      <c r="P288" s="17"/>
      <c r="Q288" s="17"/>
      <c r="R288" s="17"/>
      <c r="S288" s="17"/>
      <c r="T288" s="17"/>
      <c r="U288" s="17"/>
      <c r="V288" s="17"/>
      <c r="AE288" s="2"/>
      <c r="AQ288" s="2"/>
      <c r="AR288" s="2"/>
      <c r="AS288" s="2"/>
      <c r="AT288" s="2"/>
      <c r="AU288" s="2"/>
      <c r="AV288" s="2"/>
      <c r="AW288" s="2"/>
      <c r="AX288" s="2"/>
      <c r="AY288" s="2"/>
    </row>
    <row r="289" spans="1:51" x14ac:dyDescent="0.25">
      <c r="A289" s="24">
        <v>45358</v>
      </c>
      <c r="B289" s="1">
        <v>45358</v>
      </c>
      <c r="C289">
        <v>1.2</v>
      </c>
      <c r="D289">
        <v>1.38</v>
      </c>
      <c r="E289">
        <v>1.66</v>
      </c>
      <c r="F289">
        <v>2.2400000000000002</v>
      </c>
      <c r="G289">
        <v>2.66</v>
      </c>
      <c r="H289">
        <v>2.82</v>
      </c>
      <c r="I289">
        <v>4.1399999999999997</v>
      </c>
      <c r="J289">
        <v>4.6500000000000004</v>
      </c>
      <c r="K289">
        <v>5.24</v>
      </c>
      <c r="M289" s="3"/>
      <c r="N289" s="17"/>
      <c r="O289" s="17"/>
      <c r="P289" s="17"/>
      <c r="Q289" s="17"/>
      <c r="R289" s="17"/>
      <c r="S289" s="17"/>
      <c r="T289" s="17"/>
      <c r="U289" s="17"/>
      <c r="V289" s="17"/>
      <c r="AE289" s="2"/>
      <c r="AQ289" s="2"/>
      <c r="AR289" s="2"/>
      <c r="AS289" s="2"/>
      <c r="AT289" s="2"/>
      <c r="AU289" s="2"/>
      <c r="AV289" s="2"/>
      <c r="AW289" s="2"/>
      <c r="AX289" s="2"/>
      <c r="AY289" s="2"/>
    </row>
    <row r="290" spans="1:51" x14ac:dyDescent="0.25">
      <c r="A290" s="24">
        <v>45357</v>
      </c>
      <c r="B290" s="1">
        <v>45357</v>
      </c>
      <c r="C290">
        <v>1.5</v>
      </c>
      <c r="D290">
        <v>1.68</v>
      </c>
      <c r="E290">
        <v>1.9</v>
      </c>
      <c r="F290">
        <v>2.35</v>
      </c>
      <c r="G290">
        <v>2.73</v>
      </c>
      <c r="H290">
        <v>2.92</v>
      </c>
      <c r="I290">
        <v>4.2699999999999996</v>
      </c>
      <c r="J290">
        <v>4.7300000000000004</v>
      </c>
      <c r="K290">
        <v>5.29</v>
      </c>
      <c r="M290" s="3"/>
      <c r="N290" s="17"/>
      <c r="O290" s="17"/>
      <c r="P290" s="17"/>
      <c r="Q290" s="17"/>
      <c r="R290" s="17"/>
      <c r="S290" s="17"/>
      <c r="T290" s="17"/>
      <c r="U290" s="17"/>
      <c r="V290" s="17"/>
      <c r="AE290" s="2"/>
      <c r="AQ290" s="2"/>
      <c r="AR290" s="2"/>
      <c r="AS290" s="2"/>
      <c r="AT290" s="2"/>
      <c r="AU290" s="2"/>
      <c r="AV290" s="2"/>
      <c r="AW290" s="2"/>
      <c r="AX290" s="2"/>
      <c r="AY290" s="2"/>
    </row>
    <row r="291" spans="1:51" x14ac:dyDescent="0.25">
      <c r="A291" s="24">
        <v>45356</v>
      </c>
      <c r="B291" s="1">
        <v>45356</v>
      </c>
      <c r="C291">
        <v>1.5</v>
      </c>
      <c r="D291">
        <v>1.69</v>
      </c>
      <c r="E291">
        <v>1.9</v>
      </c>
      <c r="F291">
        <v>2.4</v>
      </c>
      <c r="G291">
        <v>2.74</v>
      </c>
      <c r="H291">
        <v>2.93</v>
      </c>
      <c r="I291">
        <v>4.2300000000000004</v>
      </c>
      <c r="J291">
        <v>4.68</v>
      </c>
      <c r="K291">
        <v>5.26</v>
      </c>
      <c r="M291" s="3"/>
      <c r="N291" s="17"/>
      <c r="O291" s="17"/>
      <c r="P291" s="17"/>
      <c r="Q291" s="17"/>
      <c r="R291" s="17"/>
      <c r="S291" s="17"/>
      <c r="T291" s="17"/>
      <c r="U291" s="17"/>
      <c r="V291" s="17"/>
      <c r="AE291" s="2"/>
      <c r="AQ291" s="2"/>
      <c r="AR291" s="2"/>
      <c r="AS291" s="2"/>
      <c r="AT291" s="2"/>
      <c r="AU291" s="2"/>
      <c r="AV291" s="2"/>
      <c r="AW291" s="2"/>
      <c r="AX291" s="2"/>
      <c r="AY291" s="2"/>
    </row>
    <row r="292" spans="1:51" x14ac:dyDescent="0.25">
      <c r="A292" s="24">
        <v>45355</v>
      </c>
      <c r="B292" s="1">
        <v>45355</v>
      </c>
      <c r="C292">
        <v>1.52</v>
      </c>
      <c r="D292">
        <v>1.72</v>
      </c>
      <c r="E292">
        <v>1.96</v>
      </c>
      <c r="F292">
        <v>2.42</v>
      </c>
      <c r="G292">
        <v>2.74</v>
      </c>
      <c r="H292">
        <v>2.92</v>
      </c>
      <c r="I292">
        <v>4.2</v>
      </c>
      <c r="J292">
        <v>4.7</v>
      </c>
      <c r="K292">
        <v>5.23</v>
      </c>
      <c r="M292" s="3"/>
      <c r="N292" s="17"/>
      <c r="O292" s="17"/>
      <c r="P292" s="17"/>
      <c r="Q292" s="17"/>
      <c r="R292" s="17"/>
      <c r="S292" s="17"/>
      <c r="T292" s="17"/>
      <c r="U292" s="17"/>
      <c r="V292" s="17"/>
      <c r="AE292" s="2"/>
      <c r="AQ292" s="2"/>
      <c r="AR292" s="2"/>
      <c r="AS292" s="2"/>
      <c r="AT292" s="2"/>
      <c r="AU292" s="2"/>
      <c r="AV292" s="2"/>
      <c r="AW292" s="2"/>
      <c r="AX292" s="2"/>
      <c r="AY292" s="2"/>
    </row>
    <row r="293" spans="1:51" x14ac:dyDescent="0.25">
      <c r="A293" s="24">
        <v>45352</v>
      </c>
      <c r="B293" s="1">
        <v>45352</v>
      </c>
      <c r="C293">
        <v>1.47</v>
      </c>
      <c r="D293">
        <v>1.63</v>
      </c>
      <c r="E293">
        <v>1.86</v>
      </c>
      <c r="F293">
        <v>2.44</v>
      </c>
      <c r="G293">
        <v>2.76</v>
      </c>
      <c r="H293">
        <v>2.91</v>
      </c>
      <c r="I293">
        <v>4.26</v>
      </c>
      <c r="J293">
        <v>4.7699999999999996</v>
      </c>
      <c r="K293">
        <v>5.33</v>
      </c>
      <c r="M293" s="3"/>
      <c r="N293" s="17"/>
      <c r="O293" s="17"/>
      <c r="P293" s="17"/>
      <c r="Q293" s="17"/>
      <c r="R293" s="17"/>
      <c r="S293" s="17"/>
      <c r="T293" s="17"/>
      <c r="U293" s="17"/>
      <c r="V293" s="17"/>
      <c r="AE293" s="2"/>
      <c r="AQ293" s="2"/>
      <c r="AR293" s="2"/>
      <c r="AS293" s="2"/>
      <c r="AT293" s="2"/>
      <c r="AU293" s="2"/>
      <c r="AV293" s="2"/>
      <c r="AW293" s="2"/>
      <c r="AX293" s="2"/>
      <c r="AY293" s="2"/>
    </row>
    <row r="294" spans="1:51" x14ac:dyDescent="0.25">
      <c r="A294" s="24">
        <v>45351</v>
      </c>
      <c r="B294" s="1">
        <v>45351</v>
      </c>
      <c r="C294">
        <v>1.47</v>
      </c>
      <c r="D294">
        <v>1.65</v>
      </c>
      <c r="E294">
        <v>1.9</v>
      </c>
      <c r="F294">
        <v>2.5</v>
      </c>
      <c r="G294">
        <v>2.8</v>
      </c>
      <c r="H294">
        <v>2.97</v>
      </c>
      <c r="I294">
        <v>4.3</v>
      </c>
      <c r="J294">
        <v>4.76</v>
      </c>
      <c r="K294">
        <v>5.3</v>
      </c>
      <c r="M294" s="3"/>
      <c r="N294" s="17"/>
      <c r="O294" s="17"/>
      <c r="P294" s="17"/>
      <c r="Q294" s="17"/>
      <c r="R294" s="17"/>
      <c r="S294" s="17"/>
      <c r="T294" s="17"/>
      <c r="U294" s="17"/>
      <c r="V294" s="17"/>
      <c r="AE294" s="2"/>
      <c r="AQ294" s="2"/>
      <c r="AR294" s="2"/>
      <c r="AS294" s="2"/>
      <c r="AT294" s="2"/>
      <c r="AU294" s="2"/>
      <c r="AV294" s="2"/>
      <c r="AW294" s="2"/>
      <c r="AX294" s="2"/>
      <c r="AY294" s="2"/>
    </row>
    <row r="295" spans="1:51" x14ac:dyDescent="0.25">
      <c r="A295" s="24">
        <v>45350</v>
      </c>
      <c r="B295" s="1">
        <v>45350</v>
      </c>
      <c r="C295">
        <v>2.33</v>
      </c>
      <c r="D295">
        <v>2.5099999999999998</v>
      </c>
      <c r="E295">
        <v>2.6</v>
      </c>
      <c r="F295">
        <v>2.71</v>
      </c>
      <c r="G295">
        <v>2.87</v>
      </c>
      <c r="H295">
        <v>2.93</v>
      </c>
      <c r="I295">
        <v>4.26</v>
      </c>
      <c r="J295">
        <v>4.75</v>
      </c>
      <c r="K295">
        <v>5.28</v>
      </c>
      <c r="M295" s="3"/>
      <c r="N295" s="17"/>
      <c r="O295" s="17"/>
      <c r="P295" s="17"/>
      <c r="Q295" s="17"/>
      <c r="R295" s="17"/>
      <c r="S295" s="17"/>
      <c r="T295" s="17"/>
      <c r="U295" s="17"/>
      <c r="V295" s="17"/>
      <c r="AE295" s="2"/>
      <c r="AQ295" s="2"/>
      <c r="AR295" s="2"/>
      <c r="AS295" s="2"/>
      <c r="AT295" s="2"/>
      <c r="AU295" s="2"/>
      <c r="AV295" s="2"/>
      <c r="AW295" s="2"/>
      <c r="AX295" s="2"/>
      <c r="AY295" s="2"/>
    </row>
    <row r="296" spans="1:51" x14ac:dyDescent="0.25">
      <c r="A296" s="24">
        <v>45349</v>
      </c>
      <c r="B296" s="1">
        <v>45349</v>
      </c>
      <c r="C296">
        <v>3.4</v>
      </c>
      <c r="D296">
        <v>3.41</v>
      </c>
      <c r="E296">
        <v>3.29</v>
      </c>
      <c r="F296">
        <v>2.87</v>
      </c>
      <c r="G296">
        <v>2.93</v>
      </c>
      <c r="H296">
        <v>2.93</v>
      </c>
      <c r="I296">
        <v>4.26</v>
      </c>
      <c r="J296">
        <v>4.7699999999999996</v>
      </c>
      <c r="K296">
        <v>5.28</v>
      </c>
      <c r="M296" s="3"/>
      <c r="N296" s="17"/>
      <c r="O296" s="17"/>
      <c r="P296" s="17"/>
      <c r="Q296" s="17"/>
      <c r="R296" s="17"/>
      <c r="S296" s="17"/>
      <c r="T296" s="17"/>
      <c r="U296" s="17"/>
      <c r="V296" s="17"/>
      <c r="AE296" s="2"/>
      <c r="AQ296" s="2"/>
      <c r="AR296" s="2"/>
      <c r="AS296" s="2"/>
      <c r="AT296" s="2"/>
      <c r="AU296" s="2"/>
      <c r="AV296" s="2"/>
      <c r="AW296" s="2"/>
      <c r="AX296" s="2"/>
      <c r="AY296" s="2"/>
    </row>
    <row r="297" spans="1:51" x14ac:dyDescent="0.25">
      <c r="A297" s="24">
        <v>45348</v>
      </c>
      <c r="B297" s="1">
        <v>45348</v>
      </c>
      <c r="C297">
        <v>3.6</v>
      </c>
      <c r="D297">
        <v>3.51</v>
      </c>
      <c r="E297">
        <v>3.33</v>
      </c>
      <c r="F297">
        <v>2.78</v>
      </c>
      <c r="G297">
        <v>2.8</v>
      </c>
      <c r="H297">
        <v>2.9</v>
      </c>
      <c r="I297">
        <v>4.33</v>
      </c>
      <c r="J297">
        <v>4.7699999999999996</v>
      </c>
      <c r="K297">
        <v>5.28</v>
      </c>
      <c r="M297" s="3"/>
      <c r="N297" s="17"/>
      <c r="O297" s="17"/>
      <c r="P297" s="17"/>
      <c r="Q297" s="17"/>
      <c r="R297" s="17"/>
      <c r="S297" s="17"/>
      <c r="T297" s="17"/>
      <c r="U297" s="17"/>
      <c r="V297" s="17"/>
      <c r="AE297" s="2"/>
      <c r="AQ297" s="2"/>
      <c r="AR297" s="2"/>
      <c r="AS297" s="2"/>
      <c r="AT297" s="2"/>
      <c r="AU297" s="2"/>
      <c r="AV297" s="2"/>
      <c r="AW297" s="2"/>
      <c r="AX297" s="2"/>
      <c r="AY297" s="2"/>
    </row>
    <row r="298" spans="1:51" x14ac:dyDescent="0.25">
      <c r="A298" s="24">
        <v>45345</v>
      </c>
      <c r="B298" s="1">
        <v>45345</v>
      </c>
      <c r="C298">
        <v>3.63</v>
      </c>
      <c r="D298">
        <v>3.57</v>
      </c>
      <c r="E298">
        <v>3.35</v>
      </c>
      <c r="F298">
        <v>2.74</v>
      </c>
      <c r="G298">
        <v>2.7</v>
      </c>
      <c r="H298">
        <v>2.83</v>
      </c>
      <c r="I298">
        <v>4.2699999999999996</v>
      </c>
      <c r="J298">
        <v>4.76</v>
      </c>
      <c r="K298">
        <v>5.3</v>
      </c>
      <c r="M298" s="3"/>
      <c r="N298" s="17"/>
      <c r="O298" s="17"/>
      <c r="P298" s="17"/>
      <c r="Q298" s="17"/>
      <c r="R298" s="17"/>
      <c r="S298" s="17"/>
      <c r="T298" s="17"/>
      <c r="U298" s="17"/>
      <c r="V298" s="17"/>
      <c r="AE298" s="2"/>
      <c r="AQ298" s="2"/>
      <c r="AR298" s="2"/>
      <c r="AS298" s="2"/>
      <c r="AT298" s="2"/>
      <c r="AU298" s="2"/>
      <c r="AV298" s="2"/>
      <c r="AW298" s="2"/>
      <c r="AX298" s="2"/>
      <c r="AY298" s="2"/>
    </row>
    <row r="299" spans="1:51" x14ac:dyDescent="0.25">
      <c r="A299" s="24">
        <v>45344</v>
      </c>
      <c r="B299" s="1">
        <v>45344</v>
      </c>
      <c r="C299">
        <v>3.75</v>
      </c>
      <c r="D299">
        <v>3.72</v>
      </c>
      <c r="E299">
        <v>3.4</v>
      </c>
      <c r="F299">
        <v>2.65</v>
      </c>
      <c r="G299">
        <v>2.68</v>
      </c>
      <c r="H299">
        <v>2.83</v>
      </c>
      <c r="I299">
        <v>4.3</v>
      </c>
      <c r="J299">
        <v>4.8</v>
      </c>
      <c r="K299">
        <v>5.34</v>
      </c>
      <c r="M299" s="3"/>
      <c r="N299" s="17"/>
      <c r="O299" s="17"/>
      <c r="P299" s="17"/>
      <c r="Q299" s="17"/>
      <c r="R299" s="17"/>
      <c r="S299" s="17"/>
      <c r="T299" s="17"/>
      <c r="U299" s="17"/>
      <c r="V299" s="17"/>
      <c r="AE299" s="2"/>
      <c r="AQ299" s="2"/>
      <c r="AR299" s="2"/>
      <c r="AS299" s="2"/>
      <c r="AT299" s="2"/>
      <c r="AU299" s="2"/>
      <c r="AV299" s="2"/>
      <c r="AW299" s="2"/>
      <c r="AX299" s="2"/>
      <c r="AY299" s="2"/>
    </row>
    <row r="300" spans="1:51" x14ac:dyDescent="0.25">
      <c r="A300" s="24">
        <v>45343</v>
      </c>
      <c r="B300" s="1">
        <v>45343</v>
      </c>
      <c r="C300">
        <v>4.1399999999999997</v>
      </c>
      <c r="D300">
        <v>4.01</v>
      </c>
      <c r="E300">
        <v>3.34</v>
      </c>
      <c r="F300">
        <v>2.76</v>
      </c>
      <c r="G300">
        <v>2.69</v>
      </c>
      <c r="H300">
        <v>2.81</v>
      </c>
      <c r="I300">
        <v>4.26</v>
      </c>
      <c r="J300">
        <v>4.8</v>
      </c>
      <c r="K300">
        <v>5.28</v>
      </c>
      <c r="M300" s="3"/>
      <c r="N300" s="17"/>
      <c r="O300" s="17"/>
      <c r="P300" s="17"/>
      <c r="Q300" s="17"/>
      <c r="R300" s="17"/>
      <c r="S300" s="17"/>
      <c r="T300" s="17"/>
      <c r="U300" s="17"/>
      <c r="V300" s="17"/>
      <c r="AE300" s="2"/>
      <c r="AQ300" s="2"/>
      <c r="AR300" s="2"/>
      <c r="AS300" s="2"/>
      <c r="AT300" s="2"/>
      <c r="AU300" s="2"/>
      <c r="AV300" s="2"/>
      <c r="AW300" s="2"/>
      <c r="AX300" s="2"/>
      <c r="AY300" s="2"/>
    </row>
    <row r="301" spans="1:51" x14ac:dyDescent="0.25">
      <c r="A301" s="24">
        <v>45342</v>
      </c>
      <c r="B301" s="1">
        <v>45342</v>
      </c>
      <c r="C301">
        <v>2.06</v>
      </c>
      <c r="D301">
        <v>2.14</v>
      </c>
      <c r="E301">
        <v>2.11</v>
      </c>
      <c r="F301">
        <v>2.2000000000000002</v>
      </c>
      <c r="G301">
        <v>2.5299999999999998</v>
      </c>
      <c r="H301">
        <v>2.79</v>
      </c>
      <c r="I301">
        <v>4.3</v>
      </c>
      <c r="J301">
        <v>4.83</v>
      </c>
      <c r="K301">
        <v>5.33</v>
      </c>
      <c r="M301" s="3"/>
      <c r="N301" s="17"/>
      <c r="O301" s="17"/>
      <c r="P301" s="17"/>
      <c r="Q301" s="17"/>
      <c r="R301" s="17"/>
      <c r="S301" s="17"/>
      <c r="T301" s="17"/>
      <c r="U301" s="17"/>
      <c r="V301" s="17"/>
      <c r="AE301" s="2"/>
      <c r="AQ301" s="2"/>
      <c r="AR301" s="2"/>
      <c r="AS301" s="2"/>
      <c r="AT301" s="2"/>
      <c r="AU301" s="2"/>
      <c r="AV301" s="2"/>
      <c r="AW301" s="2"/>
      <c r="AX301" s="2"/>
      <c r="AY301" s="2"/>
    </row>
    <row r="302" spans="1:51" x14ac:dyDescent="0.25">
      <c r="A302" s="24">
        <v>45341</v>
      </c>
      <c r="B302" s="1">
        <v>45341</v>
      </c>
      <c r="C302">
        <v>1.42</v>
      </c>
      <c r="D302">
        <v>1.65</v>
      </c>
      <c r="E302">
        <v>1.8</v>
      </c>
      <c r="F302">
        <v>2.0299999999999998</v>
      </c>
      <c r="G302">
        <v>2.5299999999999998</v>
      </c>
      <c r="H302">
        <v>2.8</v>
      </c>
      <c r="I302">
        <v>4.33</v>
      </c>
      <c r="J302">
        <v>4.82</v>
      </c>
      <c r="K302">
        <v>5.3</v>
      </c>
      <c r="M302" s="3"/>
      <c r="N302" s="17"/>
      <c r="O302" s="17"/>
      <c r="P302" s="17"/>
      <c r="Q302" s="17"/>
      <c r="R302" s="17"/>
      <c r="S302" s="17"/>
      <c r="T302" s="17"/>
      <c r="U302" s="17"/>
      <c r="V302" s="17"/>
      <c r="AE302" s="2"/>
      <c r="AQ302" s="2"/>
      <c r="AR302" s="2"/>
      <c r="AS302" s="2"/>
      <c r="AT302" s="2"/>
      <c r="AU302" s="2"/>
      <c r="AV302" s="2"/>
      <c r="AW302" s="2"/>
      <c r="AX302" s="2"/>
      <c r="AY302" s="2"/>
    </row>
    <row r="303" spans="1:51" x14ac:dyDescent="0.25">
      <c r="A303" s="24">
        <v>45338</v>
      </c>
      <c r="B303" s="1">
        <v>45338</v>
      </c>
      <c r="C303">
        <v>1.1399999999999999</v>
      </c>
      <c r="D303">
        <v>1.38</v>
      </c>
      <c r="E303">
        <v>1.52</v>
      </c>
      <c r="F303">
        <v>1.96</v>
      </c>
      <c r="G303">
        <v>2.54</v>
      </c>
      <c r="H303">
        <v>2.8</v>
      </c>
      <c r="I303">
        <v>4.3600000000000003</v>
      </c>
      <c r="J303">
        <v>4.78</v>
      </c>
      <c r="K303">
        <v>5.25</v>
      </c>
      <c r="M303" s="3"/>
      <c r="N303" s="17"/>
      <c r="O303" s="17"/>
      <c r="P303" s="17"/>
      <c r="Q303" s="17"/>
      <c r="R303" s="17"/>
      <c r="S303" s="17"/>
      <c r="T303" s="17"/>
      <c r="U303" s="17"/>
      <c r="V303" s="17"/>
      <c r="AE303" s="2"/>
      <c r="AQ303" s="2"/>
      <c r="AR303" s="2"/>
      <c r="AS303" s="2"/>
      <c r="AT303" s="2"/>
      <c r="AU303" s="2"/>
      <c r="AV303" s="2"/>
      <c r="AW303" s="2"/>
      <c r="AX303" s="2"/>
      <c r="AY303" s="2"/>
    </row>
    <row r="304" spans="1:51" x14ac:dyDescent="0.25">
      <c r="A304" s="24">
        <v>45337</v>
      </c>
      <c r="B304" s="1">
        <v>45337</v>
      </c>
      <c r="C304">
        <v>1.33</v>
      </c>
      <c r="D304">
        <v>1.58</v>
      </c>
      <c r="E304">
        <v>1.8</v>
      </c>
      <c r="F304">
        <v>2.1</v>
      </c>
      <c r="G304">
        <v>2.5499999999999998</v>
      </c>
      <c r="H304">
        <v>2.8</v>
      </c>
      <c r="I304">
        <v>4.33</v>
      </c>
      <c r="J304">
        <v>4.82</v>
      </c>
      <c r="K304">
        <v>5.3</v>
      </c>
      <c r="M304" s="3"/>
      <c r="N304" s="17"/>
      <c r="O304" s="17"/>
      <c r="P304" s="17"/>
      <c r="Q304" s="17"/>
      <c r="R304" s="17"/>
      <c r="S304" s="17"/>
      <c r="T304" s="17"/>
      <c r="U304" s="17"/>
      <c r="V304" s="17"/>
      <c r="AE304" s="2"/>
      <c r="AQ304" s="2"/>
      <c r="AR304" s="2"/>
      <c r="AS304" s="2"/>
      <c r="AT304" s="2"/>
      <c r="AU304" s="2"/>
      <c r="AV304" s="2"/>
      <c r="AW304" s="2"/>
      <c r="AX304" s="2"/>
      <c r="AY304" s="2"/>
    </row>
    <row r="305" spans="1:51" x14ac:dyDescent="0.25">
      <c r="A305" s="24">
        <v>45329</v>
      </c>
      <c r="B305" s="1">
        <v>45329</v>
      </c>
      <c r="C305">
        <v>3.68</v>
      </c>
      <c r="D305">
        <v>3.6</v>
      </c>
      <c r="E305">
        <v>3.38</v>
      </c>
      <c r="F305">
        <v>2.77</v>
      </c>
      <c r="G305">
        <v>2.67</v>
      </c>
      <c r="H305">
        <v>2.83</v>
      </c>
      <c r="I305">
        <v>4.28</v>
      </c>
      <c r="J305">
        <v>4.76</v>
      </c>
      <c r="K305">
        <v>5.26</v>
      </c>
      <c r="M305" s="3"/>
      <c r="N305" s="17"/>
      <c r="O305" s="17"/>
      <c r="P305" s="17"/>
      <c r="Q305" s="17"/>
      <c r="R305" s="17"/>
      <c r="S305" s="17"/>
      <c r="T305" s="17"/>
      <c r="U305" s="17"/>
      <c r="V305" s="17"/>
      <c r="AE305" s="2"/>
      <c r="AQ305" s="2"/>
      <c r="AR305" s="2"/>
      <c r="AS305" s="2"/>
      <c r="AT305" s="2"/>
      <c r="AU305" s="2"/>
      <c r="AV305" s="2"/>
      <c r="AW305" s="2"/>
      <c r="AX305" s="2"/>
      <c r="AY305" s="2"/>
    </row>
    <row r="306" spans="1:51" x14ac:dyDescent="0.25">
      <c r="A306" s="24">
        <v>45328</v>
      </c>
      <c r="B306" s="1">
        <v>45328</v>
      </c>
      <c r="C306">
        <v>2.27</v>
      </c>
      <c r="D306">
        <v>2.48</v>
      </c>
      <c r="E306">
        <v>2.4700000000000002</v>
      </c>
      <c r="F306">
        <v>2.48</v>
      </c>
      <c r="G306">
        <v>2.57</v>
      </c>
      <c r="H306">
        <v>2.78</v>
      </c>
      <c r="I306">
        <v>4.3</v>
      </c>
      <c r="J306">
        <v>4.8</v>
      </c>
      <c r="K306">
        <v>5.28</v>
      </c>
      <c r="M306" s="3"/>
      <c r="N306" s="17"/>
      <c r="O306" s="17"/>
      <c r="P306" s="17"/>
      <c r="Q306" s="17"/>
      <c r="R306" s="17"/>
      <c r="S306" s="17"/>
      <c r="T306" s="17"/>
      <c r="U306" s="17"/>
      <c r="V306" s="17"/>
      <c r="AE306" s="2"/>
      <c r="AQ306" s="2"/>
      <c r="AR306" s="2"/>
      <c r="AS306" s="2"/>
      <c r="AT306" s="2"/>
      <c r="AU306" s="2"/>
      <c r="AV306" s="2"/>
      <c r="AW306" s="2"/>
      <c r="AX306" s="2"/>
      <c r="AY306" s="2"/>
    </row>
    <row r="307" spans="1:51" x14ac:dyDescent="0.25">
      <c r="A307" s="24">
        <v>45327</v>
      </c>
      <c r="B307" s="1">
        <v>45327</v>
      </c>
      <c r="C307">
        <v>1.77</v>
      </c>
      <c r="D307">
        <v>2.0699999999999998</v>
      </c>
      <c r="E307">
        <v>2.23</v>
      </c>
      <c r="F307">
        <v>2.1800000000000002</v>
      </c>
      <c r="G307">
        <v>2.6</v>
      </c>
      <c r="H307">
        <v>2.8</v>
      </c>
      <c r="I307">
        <v>4.43</v>
      </c>
      <c r="J307">
        <v>4.8600000000000003</v>
      </c>
      <c r="K307">
        <v>5.34</v>
      </c>
      <c r="M307" s="3"/>
      <c r="N307" s="17"/>
      <c r="O307" s="17"/>
      <c r="P307" s="17"/>
      <c r="Q307" s="17"/>
      <c r="R307" s="17"/>
      <c r="S307" s="17"/>
      <c r="T307" s="17"/>
      <c r="U307" s="17"/>
      <c r="V307" s="17"/>
      <c r="AE307" s="2"/>
      <c r="AQ307" s="2"/>
      <c r="AR307" s="2"/>
      <c r="AS307" s="2"/>
      <c r="AT307" s="2"/>
      <c r="AU307" s="2"/>
      <c r="AV307" s="2"/>
      <c r="AW307" s="2"/>
      <c r="AX307" s="2"/>
      <c r="AY307" s="2"/>
    </row>
    <row r="308" spans="1:51" x14ac:dyDescent="0.25">
      <c r="A308" s="24">
        <v>45324</v>
      </c>
      <c r="B308" s="1">
        <v>45324</v>
      </c>
      <c r="C308">
        <v>1.41</v>
      </c>
      <c r="D308">
        <v>1.71</v>
      </c>
      <c r="E308">
        <v>1.84</v>
      </c>
      <c r="F308">
        <v>1.91</v>
      </c>
      <c r="G308">
        <v>2.63</v>
      </c>
      <c r="H308">
        <v>2.8</v>
      </c>
      <c r="I308">
        <v>4.33</v>
      </c>
      <c r="J308">
        <v>4.88</v>
      </c>
      <c r="K308">
        <v>5.37</v>
      </c>
      <c r="M308" s="3"/>
      <c r="N308" s="17"/>
      <c r="O308" s="17"/>
      <c r="P308" s="17"/>
      <c r="Q308" s="17"/>
      <c r="R308" s="17"/>
      <c r="S308" s="17"/>
      <c r="T308" s="17"/>
      <c r="U308" s="17"/>
      <c r="V308" s="17"/>
      <c r="AE308" s="2"/>
      <c r="AQ308" s="2"/>
      <c r="AR308" s="2"/>
      <c r="AS308" s="2"/>
      <c r="AT308" s="2"/>
      <c r="AU308" s="2"/>
      <c r="AV308" s="2"/>
      <c r="AW308" s="2"/>
      <c r="AX308" s="2"/>
      <c r="AY308" s="2"/>
    </row>
    <row r="309" spans="1:51" x14ac:dyDescent="0.25">
      <c r="A309" s="24">
        <v>45323</v>
      </c>
      <c r="B309" s="1">
        <v>45323</v>
      </c>
      <c r="C309">
        <v>1</v>
      </c>
      <c r="D309">
        <v>1.44</v>
      </c>
      <c r="E309">
        <v>1.72</v>
      </c>
      <c r="F309">
        <v>1.84</v>
      </c>
      <c r="G309">
        <v>2.6</v>
      </c>
      <c r="H309">
        <v>2.8</v>
      </c>
      <c r="I309">
        <v>4.32</v>
      </c>
      <c r="J309">
        <v>4.83</v>
      </c>
      <c r="K309">
        <v>5.28</v>
      </c>
      <c r="M309" s="3"/>
      <c r="N309" s="17"/>
      <c r="O309" s="17"/>
      <c r="P309" s="17"/>
      <c r="Q309" s="17"/>
      <c r="R309" s="17"/>
      <c r="S309" s="17"/>
      <c r="T309" s="17"/>
      <c r="U309" s="17"/>
      <c r="V309" s="17"/>
      <c r="AE309" s="2"/>
      <c r="AQ309" s="2"/>
      <c r="AR309" s="2"/>
      <c r="AS309" s="2"/>
      <c r="AT309" s="2"/>
      <c r="AU309" s="2"/>
      <c r="AV309" s="2"/>
      <c r="AW309" s="2"/>
      <c r="AX309" s="2"/>
      <c r="AY309" s="2"/>
    </row>
    <row r="310" spans="1:51" x14ac:dyDescent="0.25">
      <c r="A310" s="24">
        <v>45322</v>
      </c>
      <c r="B310" s="1">
        <v>45322</v>
      </c>
      <c r="C310">
        <v>1.06</v>
      </c>
      <c r="D310">
        <v>1.34</v>
      </c>
      <c r="E310">
        <v>1.5</v>
      </c>
      <c r="F310">
        <v>1.66</v>
      </c>
      <c r="G310">
        <v>2.58</v>
      </c>
      <c r="H310">
        <v>2.8</v>
      </c>
      <c r="I310">
        <v>4.24</v>
      </c>
      <c r="J310">
        <v>4.8</v>
      </c>
      <c r="K310">
        <v>5.26</v>
      </c>
      <c r="M310" s="3"/>
      <c r="N310" s="17"/>
      <c r="O310" s="17"/>
      <c r="P310" s="17"/>
      <c r="Q310" s="17"/>
      <c r="R310" s="17"/>
      <c r="S310" s="17"/>
      <c r="T310" s="17"/>
      <c r="U310" s="17"/>
      <c r="V310" s="17"/>
      <c r="AE310" s="2"/>
      <c r="AQ310" s="2"/>
      <c r="AR310" s="2"/>
      <c r="AS310" s="2"/>
      <c r="AT310" s="2"/>
      <c r="AU310" s="2"/>
      <c r="AV310" s="2"/>
      <c r="AW310" s="2"/>
      <c r="AX310" s="2"/>
      <c r="AY310" s="2"/>
    </row>
    <row r="311" spans="1:51" x14ac:dyDescent="0.25">
      <c r="A311" s="24">
        <v>45321</v>
      </c>
      <c r="B311" s="1">
        <v>45321</v>
      </c>
      <c r="C311">
        <v>0.21</v>
      </c>
      <c r="D311">
        <v>0.45</v>
      </c>
      <c r="E311">
        <v>0.77</v>
      </c>
      <c r="F311">
        <v>1.25</v>
      </c>
      <c r="G311">
        <v>2.63</v>
      </c>
      <c r="H311">
        <v>2.8</v>
      </c>
      <c r="I311">
        <v>4.37</v>
      </c>
      <c r="J311">
        <v>4.96</v>
      </c>
      <c r="K311">
        <v>5.31</v>
      </c>
      <c r="M311" s="3"/>
      <c r="N311" s="17"/>
      <c r="O311" s="17"/>
      <c r="P311" s="17"/>
      <c r="Q311" s="17"/>
      <c r="R311" s="17"/>
      <c r="S311" s="17"/>
      <c r="T311" s="17"/>
      <c r="U311" s="17"/>
      <c r="V311" s="17"/>
      <c r="AE311" s="2"/>
      <c r="AQ311" s="2"/>
      <c r="AR311" s="2"/>
      <c r="AS311" s="2"/>
      <c r="AT311" s="2"/>
      <c r="AU311" s="2"/>
      <c r="AV311" s="2"/>
      <c r="AW311" s="2"/>
      <c r="AX311" s="2"/>
      <c r="AY311" s="2"/>
    </row>
    <row r="312" spans="1:51" x14ac:dyDescent="0.25">
      <c r="A312" s="24">
        <v>45320</v>
      </c>
      <c r="B312" s="1">
        <v>45320</v>
      </c>
      <c r="C312">
        <v>0.18</v>
      </c>
      <c r="D312">
        <v>0.28999999999999998</v>
      </c>
      <c r="E312">
        <v>0.57999999999999996</v>
      </c>
      <c r="F312">
        <v>1.1499999999999999</v>
      </c>
      <c r="G312">
        <v>2.63</v>
      </c>
      <c r="H312">
        <v>2.8</v>
      </c>
      <c r="I312">
        <v>4.5</v>
      </c>
      <c r="J312">
        <v>5.18</v>
      </c>
      <c r="K312">
        <v>5.39</v>
      </c>
      <c r="M312" s="3"/>
      <c r="N312" s="17"/>
      <c r="O312" s="17"/>
      <c r="P312" s="17"/>
      <c r="Q312" s="17"/>
      <c r="R312" s="17"/>
      <c r="S312" s="17"/>
      <c r="T312" s="17"/>
      <c r="U312" s="17"/>
      <c r="V312" s="17"/>
      <c r="AE312" s="2"/>
      <c r="AQ312" s="2"/>
      <c r="AR312" s="2"/>
      <c r="AS312" s="2"/>
      <c r="AT312" s="2"/>
      <c r="AU312" s="2"/>
      <c r="AV312" s="2"/>
      <c r="AW312" s="2"/>
      <c r="AX312" s="2"/>
      <c r="AY312" s="2"/>
    </row>
    <row r="313" spans="1:51" x14ac:dyDescent="0.25">
      <c r="A313" s="24">
        <v>45317</v>
      </c>
      <c r="B313" s="1">
        <v>45317</v>
      </c>
      <c r="C313">
        <v>0.18</v>
      </c>
      <c r="D313">
        <v>0.3</v>
      </c>
      <c r="E313">
        <v>0.53</v>
      </c>
      <c r="F313">
        <v>1.1299999999999999</v>
      </c>
      <c r="G313">
        <v>2.68</v>
      </c>
      <c r="H313">
        <v>2.82</v>
      </c>
      <c r="I313">
        <v>4.53</v>
      </c>
      <c r="J313">
        <v>5.14</v>
      </c>
      <c r="K313">
        <v>5.41</v>
      </c>
      <c r="M313" s="3"/>
      <c r="N313" s="17"/>
      <c r="O313" s="17"/>
      <c r="P313" s="17"/>
      <c r="Q313" s="17"/>
      <c r="R313" s="17"/>
      <c r="S313" s="17"/>
      <c r="T313" s="17"/>
      <c r="U313" s="17"/>
      <c r="V313" s="17"/>
      <c r="AE313" s="2"/>
      <c r="AQ313" s="2"/>
      <c r="AR313" s="2"/>
      <c r="AS313" s="2"/>
      <c r="AT313" s="2"/>
      <c r="AU313" s="2"/>
      <c r="AV313" s="2"/>
      <c r="AW313" s="2"/>
      <c r="AX313" s="2"/>
      <c r="AY313" s="2"/>
    </row>
    <row r="314" spans="1:51" x14ac:dyDescent="0.25">
      <c r="A314" s="24">
        <v>45316</v>
      </c>
      <c r="B314" s="1">
        <v>45316</v>
      </c>
      <c r="C314">
        <v>0.17</v>
      </c>
      <c r="D314">
        <v>0.28999999999999998</v>
      </c>
      <c r="E314">
        <v>0.5</v>
      </c>
      <c r="F314">
        <v>1.1100000000000001</v>
      </c>
      <c r="G314">
        <v>2.64</v>
      </c>
      <c r="H314">
        <v>2.8</v>
      </c>
      <c r="I314">
        <v>4.47</v>
      </c>
      <c r="J314">
        <v>4.9800000000000004</v>
      </c>
      <c r="K314">
        <v>5.38</v>
      </c>
      <c r="M314" s="3"/>
      <c r="N314" s="17"/>
      <c r="O314" s="17"/>
      <c r="P314" s="17"/>
      <c r="Q314" s="17"/>
      <c r="R314" s="17"/>
      <c r="S314" s="17"/>
      <c r="T314" s="17"/>
      <c r="U314" s="17"/>
      <c r="V314" s="17"/>
      <c r="AE314" s="2"/>
      <c r="AQ314" s="2"/>
      <c r="AR314" s="2"/>
      <c r="AS314" s="2"/>
      <c r="AT314" s="2"/>
      <c r="AU314" s="2"/>
      <c r="AV314" s="2"/>
      <c r="AW314" s="2"/>
      <c r="AX314" s="2"/>
      <c r="AY314" s="2"/>
    </row>
    <row r="315" spans="1:51" x14ac:dyDescent="0.25">
      <c r="A315" s="24">
        <v>45315</v>
      </c>
      <c r="B315" s="1">
        <v>45315</v>
      </c>
      <c r="C315">
        <v>0.18</v>
      </c>
      <c r="D315">
        <v>0.28999999999999998</v>
      </c>
      <c r="E315">
        <v>0.5</v>
      </c>
      <c r="F315">
        <v>1.1000000000000001</v>
      </c>
      <c r="G315">
        <v>2.7</v>
      </c>
      <c r="H315">
        <v>2.82</v>
      </c>
      <c r="I315">
        <v>4.47</v>
      </c>
      <c r="J315">
        <v>4.9800000000000004</v>
      </c>
      <c r="K315">
        <v>5.37</v>
      </c>
      <c r="M315" s="3"/>
      <c r="N315" s="17"/>
      <c r="O315" s="17"/>
      <c r="P315" s="17"/>
      <c r="Q315" s="17"/>
      <c r="R315" s="17"/>
      <c r="S315" s="17"/>
      <c r="T315" s="17"/>
      <c r="U315" s="17"/>
      <c r="V315" s="17"/>
      <c r="AE315" s="2"/>
      <c r="AQ315" s="2"/>
      <c r="AR315" s="2"/>
      <c r="AS315" s="2"/>
      <c r="AT315" s="2"/>
      <c r="AU315" s="2"/>
      <c r="AV315" s="2"/>
      <c r="AW315" s="2"/>
      <c r="AX315" s="2"/>
      <c r="AY315" s="2"/>
    </row>
    <row r="316" spans="1:51" x14ac:dyDescent="0.25">
      <c r="A316" s="24">
        <v>45314</v>
      </c>
      <c r="B316" s="1">
        <v>45314</v>
      </c>
      <c r="C316">
        <v>0.18</v>
      </c>
      <c r="D316">
        <v>0.28999999999999998</v>
      </c>
      <c r="E316">
        <v>0.5</v>
      </c>
      <c r="F316">
        <v>1.1499999999999999</v>
      </c>
      <c r="G316">
        <v>2.67</v>
      </c>
      <c r="H316">
        <v>2.83</v>
      </c>
      <c r="I316">
        <v>4.57</v>
      </c>
      <c r="J316">
        <v>4.9800000000000004</v>
      </c>
      <c r="K316">
        <v>5.37</v>
      </c>
      <c r="M316" s="3"/>
      <c r="N316" s="17"/>
      <c r="O316" s="17"/>
      <c r="P316" s="17"/>
      <c r="Q316" s="17"/>
      <c r="R316" s="17"/>
      <c r="S316" s="17"/>
      <c r="T316" s="17"/>
      <c r="U316" s="17"/>
      <c r="V316" s="17"/>
      <c r="AE316" s="2"/>
      <c r="AQ316" s="2"/>
      <c r="AR316" s="2"/>
      <c r="AS316" s="2"/>
      <c r="AT316" s="2"/>
      <c r="AU316" s="2"/>
      <c r="AV316" s="2"/>
      <c r="AW316" s="2"/>
      <c r="AX316" s="2"/>
      <c r="AY316" s="2"/>
    </row>
    <row r="317" spans="1:51" x14ac:dyDescent="0.25">
      <c r="A317" s="24">
        <v>45313</v>
      </c>
      <c r="B317" s="1">
        <v>45313</v>
      </c>
      <c r="C317">
        <v>0.19</v>
      </c>
      <c r="D317">
        <v>0.31</v>
      </c>
      <c r="E317">
        <v>0.52</v>
      </c>
      <c r="F317">
        <v>1.2</v>
      </c>
      <c r="G317">
        <v>2.73</v>
      </c>
      <c r="H317">
        <v>2.93</v>
      </c>
      <c r="I317">
        <v>4.57</v>
      </c>
      <c r="J317">
        <v>4.9800000000000004</v>
      </c>
      <c r="K317">
        <v>5.35</v>
      </c>
      <c r="M317" s="3"/>
      <c r="N317" s="17"/>
      <c r="O317" s="17"/>
      <c r="P317" s="17"/>
      <c r="Q317" s="17"/>
      <c r="R317" s="17"/>
      <c r="S317" s="17"/>
      <c r="T317" s="17"/>
      <c r="U317" s="17"/>
      <c r="V317" s="17"/>
      <c r="AE317" s="2"/>
      <c r="AQ317" s="2"/>
      <c r="AR317" s="2"/>
      <c r="AS317" s="2"/>
      <c r="AT317" s="2"/>
      <c r="AU317" s="2"/>
      <c r="AV317" s="2"/>
      <c r="AW317" s="2"/>
      <c r="AX317" s="2"/>
      <c r="AY317" s="2"/>
    </row>
    <row r="318" spans="1:51" x14ac:dyDescent="0.25">
      <c r="A318" s="24">
        <v>45310</v>
      </c>
      <c r="B318" s="1">
        <v>45310</v>
      </c>
      <c r="C318">
        <v>0.19</v>
      </c>
      <c r="D318">
        <v>0.3</v>
      </c>
      <c r="E318">
        <v>0.57999999999999996</v>
      </c>
      <c r="F318">
        <v>1.26</v>
      </c>
      <c r="G318">
        <v>2.76</v>
      </c>
      <c r="H318">
        <v>2.96</v>
      </c>
      <c r="I318">
        <v>4.58</v>
      </c>
      <c r="J318">
        <v>5.08</v>
      </c>
      <c r="K318">
        <v>5.39</v>
      </c>
      <c r="M318" s="3"/>
      <c r="N318" s="17"/>
      <c r="O318" s="17"/>
      <c r="P318" s="17"/>
      <c r="Q318" s="17"/>
      <c r="R318" s="17"/>
      <c r="S318" s="17"/>
      <c r="T318" s="17"/>
      <c r="U318" s="17"/>
      <c r="V318" s="17"/>
      <c r="AE318" s="2"/>
      <c r="AQ318" s="2"/>
      <c r="AR318" s="2"/>
      <c r="AS318" s="2"/>
      <c r="AT318" s="2"/>
      <c r="AU318" s="2"/>
      <c r="AV318" s="2"/>
      <c r="AW318" s="2"/>
      <c r="AX318" s="2"/>
      <c r="AY318" s="2"/>
    </row>
    <row r="319" spans="1:51" x14ac:dyDescent="0.25">
      <c r="A319" s="24">
        <v>45309</v>
      </c>
      <c r="B319" s="1">
        <v>45309</v>
      </c>
      <c r="C319">
        <v>0.19</v>
      </c>
      <c r="D319">
        <v>0.31</v>
      </c>
      <c r="E319">
        <v>0.56999999999999995</v>
      </c>
      <c r="F319">
        <v>1.27</v>
      </c>
      <c r="G319">
        <v>2.77</v>
      </c>
      <c r="H319">
        <v>2.97</v>
      </c>
      <c r="I319">
        <v>4.54</v>
      </c>
      <c r="J319">
        <v>5</v>
      </c>
      <c r="K319">
        <v>5.38</v>
      </c>
      <c r="M319" s="3"/>
      <c r="N319" s="17"/>
      <c r="O319" s="17"/>
      <c r="P319" s="17"/>
      <c r="Q319" s="17"/>
      <c r="R319" s="17"/>
      <c r="S319" s="17"/>
      <c r="T319" s="17"/>
      <c r="U319" s="17"/>
      <c r="V319" s="17"/>
      <c r="AE319" s="2"/>
      <c r="AQ319" s="2"/>
      <c r="AR319" s="2"/>
      <c r="AS319" s="2"/>
      <c r="AT319" s="2"/>
      <c r="AU319" s="2"/>
      <c r="AV319" s="2"/>
      <c r="AW319" s="2"/>
      <c r="AX319" s="2"/>
      <c r="AY319" s="2"/>
    </row>
    <row r="320" spans="1:51" x14ac:dyDescent="0.25">
      <c r="A320" s="24">
        <v>45308</v>
      </c>
      <c r="B320" s="1">
        <v>45308</v>
      </c>
      <c r="C320">
        <v>0.2</v>
      </c>
      <c r="D320">
        <v>0.3</v>
      </c>
      <c r="E320">
        <v>0.57999999999999996</v>
      </c>
      <c r="F320">
        <v>1.28</v>
      </c>
      <c r="G320">
        <v>2.77</v>
      </c>
      <c r="H320">
        <v>2.97</v>
      </c>
      <c r="I320">
        <v>4.5199999999999996</v>
      </c>
      <c r="J320">
        <v>5</v>
      </c>
      <c r="K320">
        <v>5.35</v>
      </c>
      <c r="M320" s="3"/>
      <c r="N320" s="17"/>
      <c r="O320" s="17"/>
      <c r="P320" s="17"/>
      <c r="Q320" s="17"/>
      <c r="R320" s="17"/>
      <c r="S320" s="17"/>
      <c r="T320" s="17"/>
      <c r="U320" s="17"/>
      <c r="V320" s="17"/>
      <c r="AE320" s="2"/>
      <c r="AQ320" s="2"/>
      <c r="AR320" s="2"/>
      <c r="AS320" s="2"/>
      <c r="AT320" s="2"/>
      <c r="AU320" s="2"/>
      <c r="AV320" s="2"/>
      <c r="AW320" s="2"/>
      <c r="AX320" s="2"/>
      <c r="AY320" s="2"/>
    </row>
    <row r="321" spans="1:51" x14ac:dyDescent="0.25">
      <c r="A321" s="24">
        <v>45307</v>
      </c>
      <c r="B321" s="1">
        <v>45307</v>
      </c>
      <c r="C321">
        <v>0.2</v>
      </c>
      <c r="D321">
        <v>0.3</v>
      </c>
      <c r="E321">
        <v>0.55000000000000004</v>
      </c>
      <c r="F321">
        <v>1.27</v>
      </c>
      <c r="G321">
        <v>2.78</v>
      </c>
      <c r="H321">
        <v>3</v>
      </c>
      <c r="I321">
        <v>4.63</v>
      </c>
      <c r="J321">
        <v>5.16</v>
      </c>
      <c r="K321">
        <v>5.41</v>
      </c>
      <c r="M321" s="3"/>
      <c r="N321" s="17"/>
      <c r="O321" s="17"/>
      <c r="P321" s="17"/>
      <c r="Q321" s="17"/>
      <c r="R321" s="17"/>
      <c r="S321" s="17"/>
      <c r="T321" s="17"/>
      <c r="U321" s="17"/>
      <c r="V321" s="17"/>
      <c r="AE321" s="2"/>
      <c r="AQ321" s="2"/>
      <c r="AR321" s="2"/>
      <c r="AS321" s="2"/>
      <c r="AT321" s="2"/>
      <c r="AU321" s="2"/>
      <c r="AV321" s="2"/>
      <c r="AW321" s="2"/>
      <c r="AX321" s="2"/>
      <c r="AY321" s="2"/>
    </row>
    <row r="322" spans="1:51" x14ac:dyDescent="0.25">
      <c r="A322" s="24">
        <v>45306</v>
      </c>
      <c r="B322" s="1">
        <v>45306</v>
      </c>
      <c r="C322">
        <v>0.2</v>
      </c>
      <c r="D322">
        <v>0.3</v>
      </c>
      <c r="E322">
        <v>0.56999999999999995</v>
      </c>
      <c r="F322">
        <v>1.28</v>
      </c>
      <c r="G322">
        <v>2.77</v>
      </c>
      <c r="H322">
        <v>2.97</v>
      </c>
      <c r="I322">
        <v>4.5</v>
      </c>
      <c r="J322">
        <v>4.9400000000000004</v>
      </c>
      <c r="K322">
        <v>5.36</v>
      </c>
      <c r="M322" s="3"/>
      <c r="N322" s="17"/>
      <c r="O322" s="17"/>
      <c r="P322" s="17"/>
      <c r="Q322" s="17"/>
      <c r="R322" s="17"/>
      <c r="S322" s="17"/>
      <c r="T322" s="17"/>
      <c r="U322" s="17"/>
      <c r="V322" s="17"/>
      <c r="AE322" s="2"/>
      <c r="AQ322" s="2"/>
      <c r="AR322" s="2"/>
      <c r="AS322" s="2"/>
      <c r="AT322" s="2"/>
      <c r="AU322" s="2"/>
      <c r="AV322" s="2"/>
      <c r="AW322" s="2"/>
      <c r="AX322" s="2"/>
      <c r="AY322" s="2"/>
    </row>
    <row r="323" spans="1:51" x14ac:dyDescent="0.25">
      <c r="A323" s="24">
        <v>45303</v>
      </c>
      <c r="B323" s="1">
        <v>45303</v>
      </c>
      <c r="C323">
        <v>0.2</v>
      </c>
      <c r="D323">
        <v>0.3</v>
      </c>
      <c r="E323">
        <v>0.55000000000000004</v>
      </c>
      <c r="F323">
        <v>1.28</v>
      </c>
      <c r="G323">
        <v>2.75</v>
      </c>
      <c r="H323">
        <v>2.97</v>
      </c>
      <c r="I323">
        <v>4.5199999999999996</v>
      </c>
      <c r="J323">
        <v>4.9800000000000004</v>
      </c>
      <c r="K323">
        <v>5.4</v>
      </c>
      <c r="M323" s="3"/>
      <c r="N323" s="17"/>
      <c r="O323" s="17"/>
      <c r="P323" s="17"/>
      <c r="Q323" s="17"/>
      <c r="R323" s="17"/>
      <c r="S323" s="17"/>
      <c r="T323" s="17"/>
      <c r="U323" s="17"/>
      <c r="V323" s="17"/>
      <c r="AE323" s="2"/>
      <c r="AQ323" s="2"/>
      <c r="AR323" s="2"/>
      <c r="AS323" s="2"/>
      <c r="AT323" s="2"/>
      <c r="AU323" s="2"/>
      <c r="AV323" s="2"/>
      <c r="AW323" s="2"/>
      <c r="AX323" s="2"/>
      <c r="AY323" s="2"/>
    </row>
    <row r="324" spans="1:51" x14ac:dyDescent="0.25">
      <c r="A324" s="24">
        <v>45302</v>
      </c>
      <c r="B324" s="1">
        <v>45302</v>
      </c>
      <c r="C324">
        <v>0.2</v>
      </c>
      <c r="D324">
        <v>0.3</v>
      </c>
      <c r="E324">
        <v>0.53</v>
      </c>
      <c r="F324">
        <v>1.25</v>
      </c>
      <c r="G324">
        <v>2.78</v>
      </c>
      <c r="H324">
        <v>2.98</v>
      </c>
      <c r="I324">
        <v>4.53</v>
      </c>
      <c r="J324">
        <v>5.0999999999999996</v>
      </c>
      <c r="K324">
        <v>5.44</v>
      </c>
      <c r="M324" s="3"/>
      <c r="N324" s="17"/>
      <c r="O324" s="17"/>
      <c r="P324" s="17"/>
      <c r="Q324" s="17"/>
      <c r="R324" s="17"/>
      <c r="S324" s="17"/>
      <c r="T324" s="17"/>
      <c r="U324" s="17"/>
      <c r="V324" s="17"/>
      <c r="AE324" s="2"/>
      <c r="AQ324" s="2"/>
      <c r="AR324" s="2"/>
      <c r="AS324" s="2"/>
      <c r="AT324" s="2"/>
      <c r="AU324" s="2"/>
      <c r="AV324" s="2"/>
      <c r="AW324" s="2"/>
      <c r="AX324" s="2"/>
      <c r="AY324" s="2"/>
    </row>
    <row r="325" spans="1:51" x14ac:dyDescent="0.25">
      <c r="A325" s="24">
        <v>45301</v>
      </c>
      <c r="B325" s="1">
        <v>45301</v>
      </c>
      <c r="C325">
        <v>0.2</v>
      </c>
      <c r="D325">
        <v>0.3</v>
      </c>
      <c r="E325">
        <v>0.53</v>
      </c>
      <c r="F325">
        <v>1.22</v>
      </c>
      <c r="G325">
        <v>2.77</v>
      </c>
      <c r="H325">
        <v>2.97</v>
      </c>
      <c r="I325">
        <v>4.53</v>
      </c>
      <c r="J325">
        <v>5.04</v>
      </c>
      <c r="K325">
        <v>5.42</v>
      </c>
      <c r="M325" s="3"/>
      <c r="N325" s="17"/>
      <c r="O325" s="17"/>
      <c r="P325" s="17"/>
      <c r="Q325" s="17"/>
      <c r="R325" s="17"/>
      <c r="S325" s="17"/>
      <c r="T325" s="17"/>
      <c r="U325" s="17"/>
      <c r="V325" s="17"/>
      <c r="AE325" s="2"/>
      <c r="AQ325" s="2"/>
      <c r="AR325" s="2"/>
      <c r="AS325" s="2"/>
      <c r="AT325" s="2"/>
      <c r="AU325" s="2"/>
      <c r="AV325" s="2"/>
      <c r="AW325" s="2"/>
      <c r="AX325" s="2"/>
      <c r="AY325" s="2"/>
    </row>
    <row r="326" spans="1:51" x14ac:dyDescent="0.25">
      <c r="A326" s="24">
        <v>45300</v>
      </c>
      <c r="B326" s="1">
        <v>45300</v>
      </c>
      <c r="C326">
        <v>0.2</v>
      </c>
      <c r="D326">
        <v>0.3</v>
      </c>
      <c r="E326">
        <v>0.53</v>
      </c>
      <c r="F326">
        <v>1.1499999999999999</v>
      </c>
      <c r="G326">
        <v>2.77</v>
      </c>
      <c r="H326">
        <v>3</v>
      </c>
      <c r="I326">
        <v>4.57</v>
      </c>
      <c r="J326">
        <v>5.04</v>
      </c>
      <c r="K326">
        <v>5.46</v>
      </c>
      <c r="M326" s="3"/>
      <c r="N326" s="17"/>
      <c r="O326" s="17"/>
      <c r="P326" s="17"/>
      <c r="Q326" s="17"/>
      <c r="R326" s="17"/>
      <c r="S326" s="17"/>
      <c r="T326" s="17"/>
      <c r="U326" s="17"/>
      <c r="V326" s="17"/>
      <c r="AE326" s="2"/>
      <c r="AQ326" s="2"/>
      <c r="AR326" s="2"/>
      <c r="AS326" s="2"/>
      <c r="AT326" s="2"/>
      <c r="AU326" s="2"/>
      <c r="AV326" s="2"/>
      <c r="AW326" s="2"/>
      <c r="AX326" s="2"/>
      <c r="AY326" s="2"/>
    </row>
    <row r="327" spans="1:51" x14ac:dyDescent="0.25">
      <c r="A327" s="24">
        <v>45299</v>
      </c>
      <c r="B327" s="1">
        <v>45299</v>
      </c>
      <c r="C327">
        <v>0.2</v>
      </c>
      <c r="D327">
        <v>0.38</v>
      </c>
      <c r="E327">
        <v>0.67</v>
      </c>
      <c r="F327">
        <v>1.63</v>
      </c>
      <c r="G327">
        <v>2.85</v>
      </c>
      <c r="H327">
        <v>3.17</v>
      </c>
      <c r="I327">
        <v>4.5999999999999996</v>
      </c>
      <c r="J327">
        <v>5.0999999999999996</v>
      </c>
      <c r="K327">
        <v>5.48</v>
      </c>
      <c r="M327" s="3"/>
      <c r="N327" s="17"/>
      <c r="O327" s="17"/>
      <c r="P327" s="17"/>
      <c r="Q327" s="17"/>
      <c r="R327" s="17"/>
      <c r="S327" s="17"/>
      <c r="T327" s="17"/>
      <c r="U327" s="17"/>
      <c r="V327" s="17"/>
      <c r="AE327" s="2"/>
      <c r="AQ327" s="2"/>
      <c r="AR327" s="2"/>
      <c r="AS327" s="2"/>
      <c r="AT327" s="2"/>
      <c r="AU327" s="2"/>
      <c r="AV327" s="2"/>
      <c r="AW327" s="2"/>
      <c r="AX327" s="2"/>
      <c r="AY327" s="2"/>
    </row>
    <row r="328" spans="1:51" x14ac:dyDescent="0.25">
      <c r="A328" s="24">
        <v>45296</v>
      </c>
      <c r="B328" s="1">
        <v>45296</v>
      </c>
      <c r="C328">
        <v>0.2</v>
      </c>
      <c r="D328">
        <v>0.4</v>
      </c>
      <c r="E328">
        <v>0.7</v>
      </c>
      <c r="F328">
        <v>1.75</v>
      </c>
      <c r="G328">
        <v>2.92</v>
      </c>
      <c r="H328">
        <v>3.2</v>
      </c>
      <c r="I328">
        <v>4.63</v>
      </c>
      <c r="J328">
        <v>5.2</v>
      </c>
      <c r="K328">
        <v>5.56</v>
      </c>
      <c r="M328" s="3"/>
      <c r="N328" s="17"/>
      <c r="O328" s="17"/>
      <c r="P328" s="17"/>
      <c r="Q328" s="17"/>
      <c r="R328" s="17"/>
      <c r="S328" s="17"/>
      <c r="T328" s="17"/>
      <c r="U328" s="17"/>
      <c r="V328" s="17"/>
      <c r="AE328" s="2"/>
      <c r="AQ328" s="2"/>
      <c r="AR328" s="2"/>
      <c r="AS328" s="2"/>
      <c r="AT328" s="2"/>
      <c r="AU328" s="2"/>
      <c r="AV328" s="2"/>
      <c r="AW328" s="2"/>
      <c r="AX328" s="2"/>
      <c r="AY328" s="2"/>
    </row>
    <row r="329" spans="1:51" x14ac:dyDescent="0.25">
      <c r="A329" s="24">
        <v>45295</v>
      </c>
      <c r="B329" s="1">
        <v>45295</v>
      </c>
      <c r="C329">
        <v>0.25</v>
      </c>
      <c r="D329">
        <v>0.45</v>
      </c>
      <c r="E329">
        <v>0.78</v>
      </c>
      <c r="F329">
        <v>1.88</v>
      </c>
      <c r="G329">
        <v>2.95</v>
      </c>
      <c r="H329">
        <v>3.2</v>
      </c>
      <c r="I329">
        <v>4.63</v>
      </c>
      <c r="J329">
        <v>5.18</v>
      </c>
      <c r="K329">
        <v>5.52</v>
      </c>
      <c r="M329" s="3"/>
      <c r="N329" s="17"/>
      <c r="O329" s="17"/>
      <c r="P329" s="17"/>
      <c r="Q329" s="17"/>
      <c r="R329" s="17"/>
      <c r="S329" s="17"/>
      <c r="T329" s="17"/>
      <c r="U329" s="17"/>
      <c r="V329" s="17"/>
      <c r="AE329" s="2"/>
      <c r="AQ329" s="2"/>
      <c r="AR329" s="2"/>
      <c r="AS329" s="2"/>
      <c r="AT329" s="2"/>
      <c r="AU329" s="2"/>
      <c r="AV329" s="2"/>
      <c r="AW329" s="2"/>
      <c r="AX329" s="2"/>
      <c r="AY329" s="2"/>
    </row>
    <row r="330" spans="1:51" x14ac:dyDescent="0.25">
      <c r="A330" s="24">
        <v>45294</v>
      </c>
      <c r="B330" s="1">
        <v>45294</v>
      </c>
      <c r="C330">
        <v>0.48</v>
      </c>
      <c r="D330">
        <v>0.72</v>
      </c>
      <c r="E330">
        <v>1.22</v>
      </c>
      <c r="F330">
        <v>2.17</v>
      </c>
      <c r="G330">
        <v>2.95</v>
      </c>
      <c r="H330">
        <v>3.23</v>
      </c>
      <c r="I330">
        <v>4.63</v>
      </c>
      <c r="J330">
        <v>5.24</v>
      </c>
      <c r="K330">
        <v>5.6</v>
      </c>
      <c r="M330" s="3"/>
      <c r="N330" s="17"/>
      <c r="O330" s="17"/>
      <c r="P330" s="17"/>
      <c r="Q330" s="17"/>
      <c r="R330" s="17"/>
      <c r="S330" s="17"/>
      <c r="T330" s="17"/>
      <c r="U330" s="17"/>
      <c r="V330" s="17"/>
      <c r="AE330" s="2"/>
      <c r="AQ330" s="2"/>
      <c r="AR330" s="2"/>
      <c r="AS330" s="2"/>
      <c r="AT330" s="2"/>
      <c r="AU330" s="2"/>
      <c r="AV330" s="2"/>
      <c r="AW330" s="2"/>
      <c r="AX330" s="2"/>
      <c r="AY330" s="2"/>
    </row>
    <row r="331" spans="1:51" x14ac:dyDescent="0.25">
      <c r="A331" s="24">
        <v>45293</v>
      </c>
      <c r="B331" s="1">
        <v>45293</v>
      </c>
      <c r="C331">
        <v>0.95</v>
      </c>
      <c r="D331">
        <v>1.25</v>
      </c>
      <c r="E331">
        <v>1.68</v>
      </c>
      <c r="F331">
        <v>2.44</v>
      </c>
      <c r="G331">
        <v>2.96</v>
      </c>
      <c r="H331">
        <v>3.22</v>
      </c>
      <c r="I331">
        <v>4.5599999999999996</v>
      </c>
      <c r="J331">
        <v>5.23</v>
      </c>
      <c r="K331">
        <v>5.73</v>
      </c>
      <c r="M331" s="3"/>
      <c r="N331" s="17"/>
      <c r="O331" s="17"/>
      <c r="P331" s="17"/>
      <c r="Q331" s="17"/>
      <c r="R331" s="17"/>
      <c r="S331" s="17"/>
      <c r="T331" s="17"/>
      <c r="U331" s="17"/>
      <c r="V331" s="17"/>
      <c r="AE331" s="2"/>
      <c r="AQ331" s="2"/>
      <c r="AR331" s="2"/>
      <c r="AS331" s="2"/>
      <c r="AT331" s="2"/>
      <c r="AU331" s="2"/>
      <c r="AV331" s="2"/>
      <c r="AW331" s="2"/>
      <c r="AX331" s="2"/>
      <c r="AY331" s="2"/>
    </row>
    <row r="332" spans="1:51" x14ac:dyDescent="0.25">
      <c r="A332" s="24">
        <v>45289</v>
      </c>
      <c r="B332" s="1">
        <v>45289</v>
      </c>
      <c r="C332">
        <v>3.6</v>
      </c>
      <c r="D332">
        <v>3.28</v>
      </c>
      <c r="E332">
        <v>2.94</v>
      </c>
      <c r="F332">
        <v>2.56</v>
      </c>
      <c r="G332">
        <v>2.94</v>
      </c>
      <c r="H332">
        <v>3.2</v>
      </c>
      <c r="I332">
        <v>4.5999999999999996</v>
      </c>
      <c r="J332">
        <v>5.23</v>
      </c>
      <c r="K332">
        <v>5.85</v>
      </c>
      <c r="M332" s="3"/>
      <c r="N332" s="17"/>
      <c r="O332" s="17"/>
      <c r="P332" s="17"/>
      <c r="Q332" s="17"/>
      <c r="R332" s="17"/>
      <c r="S332" s="17"/>
      <c r="T332" s="17"/>
      <c r="U332" s="17"/>
      <c r="V332" s="17"/>
      <c r="AE332" s="2"/>
      <c r="AQ332" s="2"/>
      <c r="AR332" s="2"/>
      <c r="AS332" s="2"/>
      <c r="AT332" s="2"/>
      <c r="AU332" s="2"/>
      <c r="AV332" s="2"/>
      <c r="AW332" s="2"/>
      <c r="AX332" s="2"/>
      <c r="AY332" s="2"/>
    </row>
    <row r="333" spans="1:51" x14ac:dyDescent="0.25">
      <c r="A333" s="24">
        <v>45288</v>
      </c>
      <c r="B333" s="1">
        <v>45288</v>
      </c>
      <c r="C333">
        <v>0.65</v>
      </c>
      <c r="D333">
        <v>2.02</v>
      </c>
      <c r="E333">
        <v>2.08</v>
      </c>
      <c r="F333">
        <v>2.17</v>
      </c>
      <c r="G333">
        <v>2.97</v>
      </c>
      <c r="H333">
        <v>3.2</v>
      </c>
      <c r="I333">
        <v>4.63</v>
      </c>
      <c r="J333">
        <v>5.26</v>
      </c>
      <c r="K333">
        <v>5.92</v>
      </c>
      <c r="M333" s="3"/>
      <c r="N333" s="17"/>
      <c r="O333" s="17"/>
      <c r="P333" s="17"/>
      <c r="Q333" s="17"/>
      <c r="R333" s="17"/>
      <c r="S333" s="17"/>
      <c r="T333" s="17"/>
      <c r="U333" s="17"/>
      <c r="V333" s="17"/>
      <c r="AE333" s="2"/>
      <c r="AQ333" s="2"/>
      <c r="AR333" s="2"/>
      <c r="AS333" s="2"/>
      <c r="AT333" s="2"/>
      <c r="AU333" s="2"/>
      <c r="AV333" s="2"/>
      <c r="AW333" s="2"/>
      <c r="AX333" s="2"/>
      <c r="AY333" s="2"/>
    </row>
    <row r="334" spans="1:51" x14ac:dyDescent="0.25">
      <c r="A334" s="24">
        <v>45287</v>
      </c>
      <c r="B334" s="1">
        <v>45287</v>
      </c>
      <c r="C334">
        <v>0.83</v>
      </c>
      <c r="D334">
        <v>2.0499999999999998</v>
      </c>
      <c r="E334">
        <v>2.0499999999999998</v>
      </c>
      <c r="F334">
        <v>2.13</v>
      </c>
      <c r="G334">
        <v>2.93</v>
      </c>
      <c r="H334">
        <v>3.2</v>
      </c>
      <c r="I334">
        <v>4.55</v>
      </c>
      <c r="J334">
        <v>5.12</v>
      </c>
      <c r="K334">
        <v>5.92</v>
      </c>
      <c r="M334" s="3"/>
      <c r="N334" s="17"/>
      <c r="O334" s="17"/>
      <c r="P334" s="17"/>
      <c r="Q334" s="17"/>
      <c r="R334" s="17"/>
      <c r="S334" s="17"/>
      <c r="T334" s="17"/>
      <c r="U334" s="17"/>
      <c r="V334" s="17"/>
      <c r="AE334" s="2"/>
      <c r="AQ334" s="2"/>
      <c r="AR334" s="2"/>
      <c r="AS334" s="2"/>
      <c r="AT334" s="2"/>
      <c r="AU334" s="2"/>
      <c r="AV334" s="2"/>
      <c r="AW334" s="2"/>
      <c r="AX334" s="2"/>
      <c r="AY334" s="2"/>
    </row>
    <row r="335" spans="1:51" x14ac:dyDescent="0.25">
      <c r="A335" s="24">
        <v>45286</v>
      </c>
      <c r="B335" s="1">
        <v>45286</v>
      </c>
      <c r="C335">
        <v>1.05</v>
      </c>
      <c r="D335">
        <v>2</v>
      </c>
      <c r="E335">
        <v>2.02</v>
      </c>
      <c r="F335">
        <v>2.08</v>
      </c>
      <c r="G335">
        <v>2.92</v>
      </c>
      <c r="H335">
        <v>3.22</v>
      </c>
      <c r="I335">
        <v>4.63</v>
      </c>
      <c r="J335">
        <v>5.28</v>
      </c>
      <c r="K335">
        <v>5.92</v>
      </c>
      <c r="M335" s="3"/>
      <c r="N335" s="17"/>
      <c r="O335" s="17"/>
      <c r="P335" s="17"/>
      <c r="Q335" s="17"/>
      <c r="R335" s="17"/>
      <c r="S335" s="17"/>
      <c r="T335" s="17"/>
      <c r="U335" s="17"/>
      <c r="V335" s="17"/>
      <c r="AE335" s="2"/>
      <c r="AQ335" s="2"/>
      <c r="AR335" s="2"/>
      <c r="AS335" s="2"/>
      <c r="AT335" s="2"/>
      <c r="AU335" s="2"/>
      <c r="AV335" s="2"/>
      <c r="AW335" s="2"/>
      <c r="AX335" s="2"/>
      <c r="AY335" s="2"/>
    </row>
    <row r="336" spans="1:51" x14ac:dyDescent="0.25">
      <c r="A336" s="24">
        <v>45285</v>
      </c>
      <c r="B336" s="1">
        <v>45285</v>
      </c>
      <c r="C336">
        <v>0.8</v>
      </c>
      <c r="D336">
        <v>1.6</v>
      </c>
      <c r="E336">
        <v>1.76</v>
      </c>
      <c r="F336">
        <v>1.94</v>
      </c>
      <c r="G336">
        <v>2.92</v>
      </c>
      <c r="H336">
        <v>3.2</v>
      </c>
      <c r="I336">
        <v>4.5999999999999996</v>
      </c>
      <c r="J336">
        <v>5.2</v>
      </c>
      <c r="K336">
        <v>5.93</v>
      </c>
      <c r="M336" s="3"/>
      <c r="N336" s="17"/>
      <c r="O336" s="17"/>
      <c r="P336" s="17"/>
      <c r="Q336" s="17"/>
      <c r="R336" s="17"/>
      <c r="S336" s="17"/>
      <c r="T336" s="17"/>
      <c r="U336" s="17"/>
      <c r="V336" s="17"/>
      <c r="AE336" s="2"/>
      <c r="AQ336" s="2"/>
      <c r="AR336" s="2"/>
      <c r="AS336" s="2"/>
      <c r="AT336" s="2"/>
      <c r="AU336" s="2"/>
      <c r="AV336" s="2"/>
      <c r="AW336" s="2"/>
      <c r="AX336" s="2"/>
      <c r="AY336" s="2"/>
    </row>
    <row r="337" spans="1:51" x14ac:dyDescent="0.25">
      <c r="A337" s="24">
        <v>45282</v>
      </c>
      <c r="B337" s="1">
        <v>45282</v>
      </c>
      <c r="C337">
        <v>0.28999999999999998</v>
      </c>
      <c r="D337">
        <v>0.68</v>
      </c>
      <c r="E337">
        <v>1.3</v>
      </c>
      <c r="F337">
        <v>1.6</v>
      </c>
      <c r="G337">
        <v>2.93</v>
      </c>
      <c r="H337">
        <v>3.22</v>
      </c>
      <c r="I337">
        <v>4.7</v>
      </c>
      <c r="J337">
        <v>5.44</v>
      </c>
      <c r="K337">
        <v>6.02</v>
      </c>
      <c r="M337" s="3"/>
      <c r="N337" s="17"/>
      <c r="O337" s="17"/>
      <c r="P337" s="17"/>
      <c r="Q337" s="17"/>
      <c r="R337" s="17"/>
      <c r="S337" s="17"/>
      <c r="T337" s="17"/>
      <c r="U337" s="17"/>
      <c r="V337" s="17"/>
      <c r="AE337" s="2"/>
      <c r="AQ337" s="2"/>
      <c r="AR337" s="2"/>
      <c r="AS337" s="2"/>
      <c r="AT337" s="2"/>
      <c r="AU337" s="2"/>
      <c r="AV337" s="2"/>
      <c r="AW337" s="2"/>
      <c r="AX337" s="2"/>
      <c r="AY337" s="2"/>
    </row>
    <row r="338" spans="1:51" x14ac:dyDescent="0.25">
      <c r="A338" s="24">
        <v>45281</v>
      </c>
      <c r="B338" s="1">
        <v>45281</v>
      </c>
      <c r="C338">
        <v>0.25</v>
      </c>
      <c r="D338">
        <v>0.5</v>
      </c>
      <c r="E338">
        <v>1.18</v>
      </c>
      <c r="F338">
        <v>1.5</v>
      </c>
      <c r="G338">
        <v>2.9</v>
      </c>
      <c r="H338">
        <v>3.2</v>
      </c>
      <c r="I338">
        <v>4.62</v>
      </c>
      <c r="J338">
        <v>5.5</v>
      </c>
      <c r="K338">
        <v>6.05</v>
      </c>
      <c r="M338" s="3"/>
      <c r="N338" s="17"/>
      <c r="O338" s="17"/>
      <c r="P338" s="17"/>
      <c r="Q338" s="17"/>
      <c r="R338" s="17"/>
      <c r="S338" s="17"/>
      <c r="T338" s="17"/>
      <c r="U338" s="17"/>
      <c r="V338" s="17"/>
      <c r="AE338" s="2"/>
      <c r="AQ338" s="2"/>
      <c r="AR338" s="2"/>
      <c r="AS338" s="2"/>
      <c r="AT338" s="2"/>
      <c r="AU338" s="2"/>
      <c r="AV338" s="2"/>
      <c r="AW338" s="2"/>
      <c r="AX338" s="2"/>
      <c r="AY338" s="2"/>
    </row>
    <row r="339" spans="1:51" x14ac:dyDescent="0.25">
      <c r="A339" s="24">
        <v>45280</v>
      </c>
      <c r="B339" s="1">
        <v>45280</v>
      </c>
      <c r="C339">
        <v>0.24</v>
      </c>
      <c r="D339">
        <v>0.47</v>
      </c>
      <c r="E339">
        <v>1.1000000000000001</v>
      </c>
      <c r="F339">
        <v>1.49</v>
      </c>
      <c r="G339">
        <v>2.9</v>
      </c>
      <c r="H339">
        <v>3.21</v>
      </c>
      <c r="I339">
        <v>4.6100000000000003</v>
      </c>
      <c r="J339">
        <v>5.37</v>
      </c>
      <c r="K339">
        <v>5.93</v>
      </c>
      <c r="M339" s="3"/>
      <c r="N339" s="17"/>
      <c r="O339" s="17"/>
      <c r="P339" s="17"/>
      <c r="Q339" s="17"/>
      <c r="R339" s="17"/>
      <c r="S339" s="17"/>
      <c r="T339" s="17"/>
      <c r="U339" s="17"/>
      <c r="V339" s="17"/>
      <c r="AE339" s="2"/>
      <c r="AQ339" s="2"/>
      <c r="AR339" s="2"/>
      <c r="AS339" s="2"/>
      <c r="AT339" s="2"/>
      <c r="AU339" s="2"/>
      <c r="AV339" s="2"/>
      <c r="AW339" s="2"/>
      <c r="AX339" s="2"/>
      <c r="AY339" s="2"/>
    </row>
    <row r="340" spans="1:51" x14ac:dyDescent="0.25">
      <c r="A340" s="24">
        <v>45279</v>
      </c>
      <c r="B340" s="1">
        <v>45279</v>
      </c>
      <c r="C340">
        <v>0.21</v>
      </c>
      <c r="D340">
        <v>0.45</v>
      </c>
      <c r="E340">
        <v>1.04</v>
      </c>
      <c r="F340">
        <v>1.43</v>
      </c>
      <c r="G340">
        <v>2.89</v>
      </c>
      <c r="H340">
        <v>3.21</v>
      </c>
      <c r="I340">
        <v>4.67</v>
      </c>
      <c r="J340">
        <v>5.43</v>
      </c>
      <c r="K340">
        <v>5.92</v>
      </c>
      <c r="M340" s="3"/>
      <c r="N340" s="17"/>
      <c r="O340" s="17"/>
      <c r="P340" s="17"/>
      <c r="Q340" s="17"/>
      <c r="R340" s="17"/>
      <c r="S340" s="17"/>
      <c r="T340" s="17"/>
      <c r="U340" s="17"/>
      <c r="V340" s="17"/>
      <c r="AE340" s="2"/>
      <c r="AQ340" s="2"/>
      <c r="AR340" s="2"/>
      <c r="AS340" s="2"/>
      <c r="AT340" s="2"/>
      <c r="AU340" s="2"/>
      <c r="AV340" s="2"/>
      <c r="AW340" s="2"/>
      <c r="AX340" s="2"/>
      <c r="AY340" s="2"/>
    </row>
    <row r="341" spans="1:51" x14ac:dyDescent="0.25">
      <c r="A341" s="24">
        <v>45278</v>
      </c>
      <c r="B341" s="1">
        <v>45278</v>
      </c>
      <c r="C341">
        <v>0.22</v>
      </c>
      <c r="D341">
        <v>0.4</v>
      </c>
      <c r="E341">
        <v>0.84</v>
      </c>
      <c r="F341">
        <v>1.38</v>
      </c>
      <c r="G341">
        <v>2.84</v>
      </c>
      <c r="H341">
        <v>3.22</v>
      </c>
      <c r="I341">
        <v>4.66</v>
      </c>
      <c r="J341">
        <v>5.3</v>
      </c>
      <c r="K341">
        <v>5.85</v>
      </c>
      <c r="M341" s="3"/>
      <c r="N341" s="17"/>
      <c r="O341" s="17"/>
      <c r="P341" s="17"/>
      <c r="Q341" s="17"/>
      <c r="R341" s="17"/>
      <c r="S341" s="17"/>
      <c r="T341" s="17"/>
      <c r="U341" s="17"/>
      <c r="V341" s="17"/>
      <c r="AE341" s="2"/>
      <c r="AQ341" s="2"/>
      <c r="AR341" s="2"/>
      <c r="AS341" s="2"/>
      <c r="AT341" s="2"/>
      <c r="AU341" s="2"/>
      <c r="AV341" s="2"/>
      <c r="AW341" s="2"/>
      <c r="AX341" s="2"/>
      <c r="AY341" s="2"/>
    </row>
    <row r="342" spans="1:51" x14ac:dyDescent="0.25">
      <c r="A342" s="24">
        <v>45275</v>
      </c>
      <c r="B342" s="1">
        <v>45275</v>
      </c>
      <c r="C342">
        <v>0.2</v>
      </c>
      <c r="D342">
        <v>0.36</v>
      </c>
      <c r="E342">
        <v>0.6</v>
      </c>
      <c r="F342">
        <v>1.24</v>
      </c>
      <c r="G342">
        <v>2.86</v>
      </c>
      <c r="H342">
        <v>3.21</v>
      </c>
      <c r="I342">
        <v>4.6100000000000003</v>
      </c>
      <c r="J342">
        <v>5.37</v>
      </c>
      <c r="K342">
        <v>5.93</v>
      </c>
      <c r="M342" s="3"/>
      <c r="N342" s="17"/>
      <c r="O342" s="17"/>
      <c r="P342" s="17"/>
      <c r="Q342" s="17"/>
      <c r="R342" s="17"/>
      <c r="S342" s="17"/>
      <c r="T342" s="17"/>
      <c r="U342" s="17"/>
      <c r="V342" s="17"/>
      <c r="AE342" s="2"/>
      <c r="AQ342" s="2"/>
      <c r="AR342" s="2"/>
      <c r="AS342" s="2"/>
      <c r="AT342" s="2"/>
      <c r="AU342" s="2"/>
      <c r="AV342" s="2"/>
      <c r="AW342" s="2"/>
      <c r="AX342" s="2"/>
      <c r="AY342" s="2"/>
    </row>
    <row r="343" spans="1:51" x14ac:dyDescent="0.25">
      <c r="A343" s="24">
        <v>45274</v>
      </c>
      <c r="B343" s="1">
        <v>45274</v>
      </c>
      <c r="C343">
        <v>0.2</v>
      </c>
      <c r="D343">
        <v>0.34</v>
      </c>
      <c r="E343">
        <v>0.55000000000000004</v>
      </c>
      <c r="F343">
        <v>1.2</v>
      </c>
      <c r="G343">
        <v>2.85</v>
      </c>
      <c r="H343">
        <v>3.2</v>
      </c>
      <c r="I343">
        <v>4.58</v>
      </c>
      <c r="J343">
        <v>5.3</v>
      </c>
      <c r="K343">
        <v>5.92</v>
      </c>
      <c r="M343" s="3"/>
      <c r="N343" s="17"/>
      <c r="O343" s="17"/>
      <c r="P343" s="17"/>
      <c r="Q343" s="17"/>
      <c r="R343" s="17"/>
      <c r="S343" s="17"/>
      <c r="T343" s="17"/>
      <c r="U343" s="17"/>
      <c r="V343" s="17"/>
      <c r="AE343" s="2"/>
      <c r="AQ343" s="2"/>
      <c r="AR343" s="2"/>
      <c r="AS343" s="2"/>
      <c r="AT343" s="2"/>
      <c r="AU343" s="2"/>
      <c r="AV343" s="2"/>
      <c r="AW343" s="2"/>
      <c r="AX343" s="2"/>
      <c r="AY343" s="2"/>
    </row>
    <row r="344" spans="1:51" x14ac:dyDescent="0.25">
      <c r="A344" s="24">
        <v>45273</v>
      </c>
      <c r="B344" s="1">
        <v>45273</v>
      </c>
      <c r="C344">
        <v>0.2</v>
      </c>
      <c r="D344">
        <v>0.33</v>
      </c>
      <c r="E344">
        <v>0.56999999999999995</v>
      </c>
      <c r="F344">
        <v>1.22</v>
      </c>
      <c r="G344">
        <v>2.85</v>
      </c>
      <c r="H344">
        <v>3.22</v>
      </c>
      <c r="I344">
        <v>4.5999999999999996</v>
      </c>
      <c r="J344">
        <v>5.36</v>
      </c>
      <c r="K344">
        <v>5.92</v>
      </c>
      <c r="M344" s="3"/>
      <c r="N344" s="17"/>
      <c r="O344" s="17"/>
      <c r="P344" s="17"/>
      <c r="Q344" s="17"/>
      <c r="R344" s="17"/>
      <c r="S344" s="17"/>
      <c r="T344" s="17"/>
      <c r="U344" s="17"/>
      <c r="V344" s="17"/>
      <c r="AE344" s="2"/>
      <c r="AQ344" s="2"/>
      <c r="AR344" s="2"/>
      <c r="AS344" s="2"/>
      <c r="AT344" s="2"/>
      <c r="AU344" s="2"/>
      <c r="AV344" s="2"/>
      <c r="AW344" s="2"/>
      <c r="AX344" s="2"/>
      <c r="AY344" s="2"/>
    </row>
    <row r="345" spans="1:51" x14ac:dyDescent="0.25">
      <c r="A345" s="24">
        <v>45272</v>
      </c>
      <c r="B345" s="1">
        <v>45272</v>
      </c>
      <c r="C345">
        <v>0.2</v>
      </c>
      <c r="D345">
        <v>0.32</v>
      </c>
      <c r="E345">
        <v>0.56999999999999995</v>
      </c>
      <c r="F345">
        <v>1.2</v>
      </c>
      <c r="G345">
        <v>2.85</v>
      </c>
      <c r="H345">
        <v>3.23</v>
      </c>
      <c r="I345">
        <v>4.62</v>
      </c>
      <c r="J345">
        <v>5.38</v>
      </c>
      <c r="K345">
        <v>5.94</v>
      </c>
      <c r="M345" s="3"/>
      <c r="N345" s="17"/>
      <c r="O345" s="17"/>
      <c r="P345" s="17"/>
      <c r="Q345" s="17"/>
      <c r="R345" s="17"/>
      <c r="S345" s="17"/>
      <c r="T345" s="17"/>
      <c r="U345" s="17"/>
      <c r="V345" s="17"/>
      <c r="AE345" s="2"/>
      <c r="AQ345" s="2"/>
      <c r="AR345" s="2"/>
      <c r="AS345" s="2"/>
      <c r="AT345" s="2"/>
      <c r="AU345" s="2"/>
      <c r="AV345" s="2"/>
      <c r="AW345" s="2"/>
      <c r="AX345" s="2"/>
      <c r="AY345" s="2"/>
    </row>
    <row r="346" spans="1:51" x14ac:dyDescent="0.25">
      <c r="A346" s="24">
        <v>45271</v>
      </c>
      <c r="B346" s="1">
        <v>45271</v>
      </c>
      <c r="C346">
        <v>0.2</v>
      </c>
      <c r="D346">
        <v>0.33</v>
      </c>
      <c r="E346">
        <v>0.57999999999999996</v>
      </c>
      <c r="F346">
        <v>1.05</v>
      </c>
      <c r="G346">
        <v>2.8</v>
      </c>
      <c r="H346">
        <v>3.25</v>
      </c>
      <c r="I346">
        <v>4.68</v>
      </c>
      <c r="J346">
        <v>5.55</v>
      </c>
      <c r="K346">
        <v>6.05</v>
      </c>
      <c r="M346" s="3"/>
      <c r="N346" s="17"/>
      <c r="O346" s="17"/>
      <c r="P346" s="17"/>
      <c r="Q346" s="17"/>
      <c r="R346" s="17"/>
      <c r="S346" s="17"/>
      <c r="T346" s="17"/>
      <c r="U346" s="17"/>
      <c r="V346" s="17"/>
      <c r="AE346" s="2"/>
      <c r="AQ346" s="2"/>
      <c r="AR346" s="2"/>
      <c r="AS346" s="2"/>
      <c r="AT346" s="2"/>
      <c r="AU346" s="2"/>
      <c r="AV346" s="2"/>
      <c r="AW346" s="2"/>
      <c r="AX346" s="2"/>
      <c r="AY346" s="2"/>
    </row>
    <row r="347" spans="1:51" x14ac:dyDescent="0.25">
      <c r="A347" s="24">
        <v>45268</v>
      </c>
      <c r="B347" s="1">
        <v>45268</v>
      </c>
      <c r="C347">
        <v>0.2</v>
      </c>
      <c r="D347">
        <v>0.36</v>
      </c>
      <c r="E347">
        <v>0.57999999999999996</v>
      </c>
      <c r="F347">
        <v>1.1000000000000001</v>
      </c>
      <c r="G347">
        <v>2.83</v>
      </c>
      <c r="H347">
        <v>3.28</v>
      </c>
      <c r="I347">
        <v>4.63</v>
      </c>
      <c r="J347">
        <v>5.32</v>
      </c>
      <c r="K347">
        <v>5.96</v>
      </c>
      <c r="M347" s="3"/>
      <c r="N347" s="17"/>
      <c r="O347" s="17"/>
      <c r="P347" s="17"/>
      <c r="Q347" s="17"/>
      <c r="R347" s="17"/>
      <c r="S347" s="17"/>
      <c r="T347" s="17"/>
      <c r="U347" s="17"/>
      <c r="V347" s="17"/>
      <c r="AE347" s="2"/>
      <c r="AQ347" s="2"/>
      <c r="AR347" s="2"/>
      <c r="AS347" s="2"/>
      <c r="AT347" s="2"/>
      <c r="AU347" s="2"/>
      <c r="AV347" s="2"/>
      <c r="AW347" s="2"/>
      <c r="AX347" s="2"/>
      <c r="AY347" s="2"/>
    </row>
    <row r="348" spans="1:51" x14ac:dyDescent="0.25">
      <c r="A348" s="24">
        <v>45267</v>
      </c>
      <c r="B348" s="1">
        <v>45267</v>
      </c>
      <c r="C348">
        <v>0.2</v>
      </c>
      <c r="D348">
        <v>0.34</v>
      </c>
      <c r="E348">
        <v>0.56999999999999995</v>
      </c>
      <c r="F348">
        <v>1.07</v>
      </c>
      <c r="G348">
        <v>2.84</v>
      </c>
      <c r="H348">
        <v>3.24</v>
      </c>
      <c r="I348">
        <v>4.6399999999999997</v>
      </c>
      <c r="J348">
        <v>5.35</v>
      </c>
      <c r="K348">
        <v>5.85</v>
      </c>
      <c r="M348" s="3"/>
      <c r="N348" s="17"/>
      <c r="O348" s="17"/>
      <c r="P348" s="17"/>
      <c r="Q348" s="17"/>
      <c r="R348" s="17"/>
      <c r="S348" s="17"/>
      <c r="T348" s="17"/>
      <c r="U348" s="17"/>
      <c r="V348" s="17"/>
      <c r="AE348" s="2"/>
      <c r="AQ348" s="2"/>
      <c r="AR348" s="2"/>
      <c r="AS348" s="2"/>
      <c r="AT348" s="2"/>
      <c r="AU348" s="2"/>
      <c r="AV348" s="2"/>
      <c r="AW348" s="2"/>
      <c r="AX348" s="2"/>
      <c r="AY348" s="2"/>
    </row>
    <row r="349" spans="1:51" x14ac:dyDescent="0.25">
      <c r="A349" s="24">
        <v>45266</v>
      </c>
      <c r="B349" s="1">
        <v>45266</v>
      </c>
      <c r="C349">
        <v>0.2</v>
      </c>
      <c r="D349">
        <v>0.37</v>
      </c>
      <c r="E349">
        <v>0.57999999999999996</v>
      </c>
      <c r="F349">
        <v>1.04</v>
      </c>
      <c r="G349">
        <v>2.84</v>
      </c>
      <c r="H349">
        <v>3.26</v>
      </c>
      <c r="I349">
        <v>4.68</v>
      </c>
      <c r="J349">
        <v>5.63</v>
      </c>
      <c r="K349">
        <v>6.08</v>
      </c>
      <c r="M349" s="3"/>
      <c r="N349" s="17"/>
      <c r="O349" s="17"/>
      <c r="P349" s="17"/>
      <c r="Q349" s="17"/>
      <c r="R349" s="17"/>
      <c r="S349" s="17"/>
      <c r="T349" s="17"/>
      <c r="U349" s="17"/>
      <c r="V349" s="17"/>
      <c r="AE349" s="2"/>
      <c r="AQ349" s="2"/>
      <c r="AR349" s="2"/>
      <c r="AS349" s="2"/>
      <c r="AT349" s="2"/>
      <c r="AU349" s="2"/>
      <c r="AV349" s="2"/>
      <c r="AW349" s="2"/>
      <c r="AX349" s="2"/>
      <c r="AY349" s="2"/>
    </row>
    <row r="350" spans="1:51" x14ac:dyDescent="0.25">
      <c r="A350" s="24">
        <v>45265</v>
      </c>
      <c r="B350" s="1">
        <v>45265</v>
      </c>
      <c r="C350">
        <v>0.2</v>
      </c>
      <c r="D350">
        <v>0.34</v>
      </c>
      <c r="E350">
        <v>0.56999999999999995</v>
      </c>
      <c r="F350">
        <v>1.0900000000000001</v>
      </c>
      <c r="G350">
        <v>2.83</v>
      </c>
      <c r="H350">
        <v>3.23</v>
      </c>
      <c r="I350">
        <v>4.63</v>
      </c>
      <c r="J350">
        <v>5.35</v>
      </c>
      <c r="K350">
        <v>5.88</v>
      </c>
      <c r="M350" s="3"/>
      <c r="N350" s="17"/>
      <c r="O350" s="17"/>
      <c r="P350" s="17"/>
      <c r="Q350" s="17"/>
      <c r="R350" s="17"/>
      <c r="S350" s="17"/>
      <c r="T350" s="17"/>
      <c r="U350" s="17"/>
      <c r="V350" s="17"/>
      <c r="AE350" s="2"/>
      <c r="AQ350" s="2"/>
      <c r="AR350" s="2"/>
      <c r="AS350" s="2"/>
      <c r="AT350" s="2"/>
      <c r="AU350" s="2"/>
      <c r="AV350" s="2"/>
      <c r="AW350" s="2"/>
      <c r="AX350" s="2"/>
      <c r="AY350" s="2"/>
    </row>
    <row r="351" spans="1:51" x14ac:dyDescent="0.25">
      <c r="A351" s="24">
        <v>45264</v>
      </c>
      <c r="B351" s="1">
        <v>45264</v>
      </c>
      <c r="C351">
        <v>0.2</v>
      </c>
      <c r="D351">
        <v>0.38</v>
      </c>
      <c r="E351">
        <v>0.57999999999999996</v>
      </c>
      <c r="F351">
        <v>1.05</v>
      </c>
      <c r="G351">
        <v>2.88</v>
      </c>
      <c r="H351">
        <v>3.27</v>
      </c>
      <c r="I351">
        <v>4.72</v>
      </c>
      <c r="J351">
        <v>5.7</v>
      </c>
      <c r="K351">
        <v>6.12</v>
      </c>
      <c r="M351" s="3"/>
      <c r="N351" s="17"/>
      <c r="O351" s="17"/>
      <c r="P351" s="17"/>
      <c r="Q351" s="17"/>
      <c r="R351" s="17"/>
      <c r="S351" s="17"/>
      <c r="T351" s="17"/>
      <c r="U351" s="17"/>
      <c r="V351" s="17"/>
      <c r="AE351" s="2"/>
      <c r="AQ351" s="2"/>
      <c r="AR351" s="2"/>
      <c r="AS351" s="2"/>
      <c r="AT351" s="2"/>
      <c r="AU351" s="2"/>
      <c r="AV351" s="2"/>
      <c r="AW351" s="2"/>
      <c r="AX351" s="2"/>
      <c r="AY351" s="2"/>
    </row>
    <row r="352" spans="1:51" x14ac:dyDescent="0.25">
      <c r="A352" s="24">
        <v>45261</v>
      </c>
      <c r="B352" s="1">
        <v>45261</v>
      </c>
      <c r="C352">
        <v>0.2</v>
      </c>
      <c r="D352">
        <v>0.32</v>
      </c>
      <c r="E352">
        <v>0.56000000000000005</v>
      </c>
      <c r="F352">
        <v>1.04</v>
      </c>
      <c r="G352">
        <v>2.88</v>
      </c>
      <c r="H352">
        <v>3.24</v>
      </c>
      <c r="I352">
        <v>4.68</v>
      </c>
      <c r="J352">
        <v>5.68</v>
      </c>
      <c r="K352">
        <v>6.1</v>
      </c>
      <c r="M352" s="3"/>
      <c r="N352" s="17"/>
      <c r="O352" s="17"/>
      <c r="P352" s="17"/>
      <c r="Q352" s="17"/>
      <c r="R352" s="17"/>
      <c r="S352" s="17"/>
      <c r="T352" s="17"/>
      <c r="U352" s="17"/>
      <c r="V352" s="17"/>
      <c r="AE352" s="2"/>
      <c r="AQ352" s="2"/>
      <c r="AR352" s="2"/>
      <c r="AS352" s="2"/>
      <c r="AT352" s="2"/>
      <c r="AU352" s="2"/>
      <c r="AV352" s="2"/>
      <c r="AW352" s="2"/>
      <c r="AX352" s="2"/>
      <c r="AY352" s="2"/>
    </row>
    <row r="353" spans="1:51" x14ac:dyDescent="0.25">
      <c r="A353" s="24">
        <v>45260</v>
      </c>
      <c r="B353" s="1">
        <v>45260</v>
      </c>
      <c r="C353">
        <v>0.2</v>
      </c>
      <c r="D353">
        <v>0.34</v>
      </c>
      <c r="E353">
        <v>0.56000000000000005</v>
      </c>
      <c r="F353">
        <v>1</v>
      </c>
      <c r="G353">
        <v>2.9</v>
      </c>
      <c r="H353">
        <v>3.22</v>
      </c>
      <c r="I353">
        <v>4.7</v>
      </c>
      <c r="J353">
        <v>5.75</v>
      </c>
      <c r="K353">
        <v>6.1</v>
      </c>
      <c r="M353" s="3"/>
      <c r="N353" s="17"/>
      <c r="O353" s="17"/>
      <c r="P353" s="17"/>
      <c r="Q353" s="17"/>
      <c r="R353" s="17"/>
      <c r="S353" s="17"/>
      <c r="T353" s="17"/>
      <c r="U353" s="17"/>
      <c r="V353" s="17"/>
      <c r="AE353" s="2"/>
      <c r="AQ353" s="2"/>
      <c r="AR353" s="2"/>
      <c r="AS353" s="2"/>
      <c r="AT353" s="2"/>
      <c r="AU353" s="2"/>
      <c r="AV353" s="2"/>
      <c r="AW353" s="2"/>
      <c r="AX353" s="2"/>
      <c r="AY353" s="2"/>
    </row>
    <row r="354" spans="1:51" x14ac:dyDescent="0.25">
      <c r="A354" s="24">
        <v>45259</v>
      </c>
      <c r="B354" s="1">
        <v>45259</v>
      </c>
      <c r="C354">
        <v>0.2</v>
      </c>
      <c r="D354">
        <v>0.3</v>
      </c>
      <c r="E354">
        <v>0.54</v>
      </c>
      <c r="F354">
        <v>0.98</v>
      </c>
      <c r="G354">
        <v>2.9</v>
      </c>
      <c r="H354">
        <v>3.2</v>
      </c>
      <c r="I354">
        <v>4.72</v>
      </c>
      <c r="J354">
        <v>5.83</v>
      </c>
      <c r="K354">
        <v>6.18</v>
      </c>
      <c r="M354" s="3"/>
      <c r="N354" s="17"/>
      <c r="O354" s="17"/>
      <c r="P354" s="17"/>
      <c r="Q354" s="17"/>
      <c r="R354" s="17"/>
      <c r="S354" s="17"/>
      <c r="T354" s="17"/>
      <c r="U354" s="17"/>
      <c r="V354" s="17"/>
      <c r="AE354" s="2"/>
      <c r="AQ354" s="2"/>
      <c r="AR354" s="2"/>
      <c r="AS354" s="2"/>
      <c r="AT354" s="2"/>
      <c r="AU354" s="2"/>
      <c r="AV354" s="2"/>
      <c r="AW354" s="2"/>
      <c r="AX354" s="2"/>
      <c r="AY354" s="2"/>
    </row>
    <row r="355" spans="1:51" x14ac:dyDescent="0.25">
      <c r="A355" s="24">
        <v>45258</v>
      </c>
      <c r="B355" s="1">
        <v>45258</v>
      </c>
      <c r="C355">
        <v>0.2</v>
      </c>
      <c r="D355">
        <v>0.32</v>
      </c>
      <c r="E355">
        <v>0.54</v>
      </c>
      <c r="F355">
        <v>0.98</v>
      </c>
      <c r="G355">
        <v>2.86</v>
      </c>
      <c r="H355">
        <v>3.18</v>
      </c>
      <c r="I355">
        <v>4.68</v>
      </c>
      <c r="J355">
        <v>5.7</v>
      </c>
      <c r="K355">
        <v>6.1</v>
      </c>
      <c r="M355" s="3"/>
      <c r="N355" s="17"/>
      <c r="O355" s="17"/>
      <c r="P355" s="17"/>
      <c r="Q355" s="17"/>
      <c r="R355" s="17"/>
      <c r="S355" s="17"/>
      <c r="T355" s="17"/>
      <c r="U355" s="17"/>
      <c r="V355" s="17"/>
      <c r="AE355" s="2"/>
      <c r="AQ355" s="2"/>
      <c r="AR355" s="2"/>
      <c r="AS355" s="2"/>
      <c r="AT355" s="2"/>
      <c r="AU355" s="2"/>
      <c r="AV355" s="2"/>
      <c r="AW355" s="2"/>
      <c r="AX355" s="2"/>
      <c r="AY355" s="2"/>
    </row>
    <row r="356" spans="1:51" x14ac:dyDescent="0.25">
      <c r="A356" s="24">
        <v>45257</v>
      </c>
      <c r="B356" s="1">
        <v>45257</v>
      </c>
      <c r="C356">
        <v>0.2</v>
      </c>
      <c r="D356">
        <v>0.32</v>
      </c>
      <c r="E356">
        <v>0.56000000000000005</v>
      </c>
      <c r="F356">
        <v>0.98</v>
      </c>
      <c r="G356">
        <v>2.88</v>
      </c>
      <c r="H356">
        <v>3.2</v>
      </c>
      <c r="I356">
        <v>4.72</v>
      </c>
      <c r="J356">
        <v>5.58</v>
      </c>
      <c r="K356">
        <v>6</v>
      </c>
      <c r="M356" s="3"/>
      <c r="N356" s="17"/>
      <c r="O356" s="17"/>
      <c r="P356" s="17"/>
      <c r="Q356" s="17"/>
      <c r="R356" s="17"/>
      <c r="S356" s="17"/>
      <c r="T356" s="17"/>
      <c r="U356" s="17"/>
      <c r="V356" s="17"/>
      <c r="AE356" s="2"/>
      <c r="AQ356" s="2"/>
      <c r="AR356" s="2"/>
      <c r="AS356" s="2"/>
      <c r="AT356" s="2"/>
      <c r="AU356" s="2"/>
      <c r="AV356" s="2"/>
      <c r="AW356" s="2"/>
      <c r="AX356" s="2"/>
      <c r="AY356" s="2"/>
    </row>
    <row r="357" spans="1:51" x14ac:dyDescent="0.25">
      <c r="A357" s="24">
        <v>45254</v>
      </c>
      <c r="B357" s="1">
        <v>45254</v>
      </c>
      <c r="C357">
        <v>0.2</v>
      </c>
      <c r="D357">
        <v>0.3</v>
      </c>
      <c r="E357">
        <v>0.49</v>
      </c>
      <c r="F357">
        <v>0.98</v>
      </c>
      <c r="G357">
        <v>2.85</v>
      </c>
      <c r="H357">
        <v>3.2</v>
      </c>
      <c r="I357">
        <v>4.5999999999999996</v>
      </c>
      <c r="J357">
        <v>5.5</v>
      </c>
      <c r="K357">
        <v>6.04</v>
      </c>
      <c r="M357" s="3"/>
      <c r="N357" s="17"/>
      <c r="O357" s="17"/>
      <c r="P357" s="17"/>
      <c r="Q357" s="17"/>
      <c r="R357" s="17"/>
      <c r="S357" s="17"/>
      <c r="T357" s="17"/>
      <c r="U357" s="17"/>
      <c r="V357" s="17"/>
      <c r="AE357" s="2"/>
      <c r="AQ357" s="2"/>
      <c r="AR357" s="2"/>
      <c r="AS357" s="2"/>
      <c r="AT357" s="2"/>
      <c r="AU357" s="2"/>
      <c r="AV357" s="2"/>
      <c r="AW357" s="2"/>
      <c r="AX357" s="2"/>
      <c r="AY357" s="2"/>
    </row>
    <row r="358" spans="1:51" x14ac:dyDescent="0.25">
      <c r="A358" s="24">
        <v>45253</v>
      </c>
      <c r="B358" s="1">
        <v>45253</v>
      </c>
      <c r="C358">
        <v>0.2</v>
      </c>
      <c r="D358">
        <v>0.33</v>
      </c>
      <c r="E358">
        <v>0.51</v>
      </c>
      <c r="F358">
        <v>0.97</v>
      </c>
      <c r="G358">
        <v>2.9</v>
      </c>
      <c r="H358">
        <v>3.26</v>
      </c>
      <c r="I358">
        <v>4.6100000000000003</v>
      </c>
      <c r="J358">
        <v>5.52</v>
      </c>
      <c r="K358">
        <v>5.95</v>
      </c>
      <c r="M358" s="3"/>
      <c r="N358" s="17"/>
      <c r="O358" s="17"/>
      <c r="P358" s="17"/>
      <c r="Q358" s="17"/>
      <c r="R358" s="17"/>
      <c r="S358" s="17"/>
      <c r="T358" s="17"/>
      <c r="U358" s="17"/>
      <c r="V358" s="17"/>
      <c r="AE358" s="2"/>
      <c r="AQ358" s="2"/>
      <c r="AR358" s="2"/>
      <c r="AS358" s="2"/>
      <c r="AT358" s="2"/>
      <c r="AU358" s="2"/>
      <c r="AV358" s="2"/>
      <c r="AW358" s="2"/>
      <c r="AX358" s="2"/>
      <c r="AY358" s="2"/>
    </row>
    <row r="359" spans="1:51" x14ac:dyDescent="0.25">
      <c r="A359" s="24">
        <v>45252</v>
      </c>
      <c r="B359" s="1">
        <v>45252</v>
      </c>
      <c r="C359">
        <v>0.2</v>
      </c>
      <c r="D359">
        <v>0.32</v>
      </c>
      <c r="E359">
        <v>0.53</v>
      </c>
      <c r="F359">
        <v>0.98</v>
      </c>
      <c r="G359">
        <v>2.9</v>
      </c>
      <c r="H359">
        <v>3.27</v>
      </c>
      <c r="I359">
        <v>4.63</v>
      </c>
      <c r="J359">
        <v>5.6</v>
      </c>
      <c r="K359">
        <v>6.02</v>
      </c>
      <c r="M359" s="3"/>
      <c r="N359" s="17"/>
      <c r="O359" s="17"/>
      <c r="P359" s="17"/>
      <c r="Q359" s="17"/>
      <c r="R359" s="17"/>
      <c r="S359" s="17"/>
      <c r="T359" s="17"/>
      <c r="U359" s="17"/>
      <c r="V359" s="17"/>
      <c r="AE359" s="2"/>
      <c r="AQ359" s="2"/>
      <c r="AR359" s="2"/>
      <c r="AS359" s="2"/>
      <c r="AT359" s="2"/>
      <c r="AU359" s="2"/>
      <c r="AV359" s="2"/>
      <c r="AW359" s="2"/>
      <c r="AX359" s="2"/>
      <c r="AY359" s="2"/>
    </row>
    <row r="360" spans="1:51" x14ac:dyDescent="0.25">
      <c r="A360" s="24">
        <v>45251</v>
      </c>
      <c r="B360" s="1">
        <v>45251</v>
      </c>
      <c r="C360">
        <v>0.2</v>
      </c>
      <c r="D360">
        <v>0.37</v>
      </c>
      <c r="E360">
        <v>0.56000000000000005</v>
      </c>
      <c r="F360">
        <v>1</v>
      </c>
      <c r="G360">
        <v>2.93</v>
      </c>
      <c r="H360">
        <v>3.26</v>
      </c>
      <c r="I360">
        <v>4.6100000000000003</v>
      </c>
      <c r="J360">
        <v>5.5</v>
      </c>
      <c r="K360">
        <v>5.93</v>
      </c>
      <c r="M360" s="3"/>
      <c r="N360" s="17"/>
      <c r="O360" s="17"/>
      <c r="P360" s="17"/>
      <c r="Q360" s="17"/>
      <c r="R360" s="17"/>
      <c r="S360" s="17"/>
      <c r="T360" s="17"/>
      <c r="U360" s="17"/>
      <c r="V360" s="17"/>
      <c r="AE360" s="2"/>
      <c r="AQ360" s="2"/>
      <c r="AR360" s="2"/>
      <c r="AS360" s="2"/>
      <c r="AT360" s="2"/>
      <c r="AU360" s="2"/>
      <c r="AV360" s="2"/>
      <c r="AW360" s="2"/>
      <c r="AX360" s="2"/>
      <c r="AY360" s="2"/>
    </row>
    <row r="361" spans="1:51" x14ac:dyDescent="0.25">
      <c r="A361" s="24">
        <v>45250</v>
      </c>
      <c r="B361" s="1">
        <v>45250</v>
      </c>
      <c r="C361">
        <v>0.2</v>
      </c>
      <c r="D361">
        <v>0.36</v>
      </c>
      <c r="E361">
        <v>0.56000000000000005</v>
      </c>
      <c r="F361">
        <v>1.06</v>
      </c>
      <c r="G361">
        <v>2.96</v>
      </c>
      <c r="H361">
        <v>3.24</v>
      </c>
      <c r="I361">
        <v>4.6399999999999997</v>
      </c>
      <c r="J361">
        <v>5.58</v>
      </c>
      <c r="K361">
        <v>5.93</v>
      </c>
      <c r="M361" s="3"/>
      <c r="N361" s="17"/>
      <c r="O361" s="17"/>
      <c r="P361" s="17"/>
      <c r="Q361" s="17"/>
      <c r="R361" s="17"/>
      <c r="S361" s="17"/>
      <c r="T361" s="17"/>
      <c r="U361" s="17"/>
      <c r="V361" s="17"/>
      <c r="AE361" s="2"/>
      <c r="AQ361" s="2"/>
      <c r="AR361" s="2"/>
      <c r="AS361" s="2"/>
      <c r="AT361" s="2"/>
      <c r="AU361" s="2"/>
      <c r="AV361" s="2"/>
      <c r="AW361" s="2"/>
      <c r="AX361" s="2"/>
      <c r="AY361" s="2"/>
    </row>
    <row r="362" spans="1:51" x14ac:dyDescent="0.25">
      <c r="A362" s="24">
        <v>45247</v>
      </c>
      <c r="B362" s="1">
        <v>45247</v>
      </c>
      <c r="C362">
        <v>0.2</v>
      </c>
      <c r="D362">
        <v>0.4</v>
      </c>
      <c r="E362">
        <v>0.6</v>
      </c>
      <c r="F362">
        <v>1.22</v>
      </c>
      <c r="G362">
        <v>2.94</v>
      </c>
      <c r="H362">
        <v>3.28</v>
      </c>
      <c r="I362">
        <v>4.5999999999999996</v>
      </c>
      <c r="J362">
        <v>5.53</v>
      </c>
      <c r="K362">
        <v>5.98</v>
      </c>
      <c r="M362" s="3"/>
      <c r="N362" s="17"/>
      <c r="O362" s="17"/>
      <c r="P362" s="17"/>
      <c r="Q362" s="17"/>
      <c r="R362" s="17"/>
      <c r="S362" s="17"/>
      <c r="T362" s="17"/>
      <c r="U362" s="17"/>
      <c r="V362" s="17"/>
      <c r="AE362" s="2"/>
      <c r="AQ362" s="2"/>
      <c r="AR362" s="2"/>
      <c r="AS362" s="2"/>
      <c r="AT362" s="2"/>
      <c r="AU362" s="2"/>
      <c r="AV362" s="2"/>
      <c r="AW362" s="2"/>
      <c r="AX362" s="2"/>
      <c r="AY362" s="2"/>
    </row>
    <row r="363" spans="1:51" x14ac:dyDescent="0.25">
      <c r="A363" s="24">
        <v>45246</v>
      </c>
      <c r="B363" s="1">
        <v>45246</v>
      </c>
      <c r="C363">
        <v>0.25</v>
      </c>
      <c r="D363">
        <v>0.44</v>
      </c>
      <c r="E363">
        <v>0.66</v>
      </c>
      <c r="F363">
        <v>1.32</v>
      </c>
      <c r="G363">
        <v>2.94</v>
      </c>
      <c r="H363">
        <v>3.24</v>
      </c>
      <c r="I363">
        <v>4.5999999999999996</v>
      </c>
      <c r="J363">
        <v>5.53</v>
      </c>
      <c r="K363">
        <v>5.9</v>
      </c>
      <c r="M363" s="3"/>
      <c r="N363" s="17"/>
      <c r="O363" s="17"/>
      <c r="P363" s="17"/>
      <c r="Q363" s="17"/>
      <c r="R363" s="17"/>
      <c r="S363" s="17"/>
      <c r="T363" s="17"/>
      <c r="U363" s="17"/>
      <c r="V363" s="17"/>
      <c r="AE363" s="2"/>
      <c r="AQ363" s="2"/>
      <c r="AR363" s="2"/>
      <c r="AS363" s="2"/>
      <c r="AT363" s="2"/>
      <c r="AU363" s="2"/>
      <c r="AV363" s="2"/>
      <c r="AW363" s="2"/>
      <c r="AX363" s="2"/>
      <c r="AY363" s="2"/>
    </row>
    <row r="364" spans="1:51" x14ac:dyDescent="0.25">
      <c r="A364" s="24">
        <v>45245</v>
      </c>
      <c r="B364" s="1">
        <v>45245</v>
      </c>
      <c r="C364">
        <v>0.3</v>
      </c>
      <c r="D364">
        <v>0.49</v>
      </c>
      <c r="E364">
        <v>0.73</v>
      </c>
      <c r="F364">
        <v>1.33</v>
      </c>
      <c r="G364">
        <v>3</v>
      </c>
      <c r="H364">
        <v>3.34</v>
      </c>
      <c r="I364">
        <v>4.71</v>
      </c>
      <c r="J364">
        <v>5.8</v>
      </c>
      <c r="K364">
        <v>6.02</v>
      </c>
      <c r="M364" s="3"/>
      <c r="N364" s="17"/>
      <c r="O364" s="17"/>
      <c r="P364" s="17"/>
      <c r="Q364" s="17"/>
      <c r="R364" s="17"/>
      <c r="S364" s="17"/>
      <c r="T364" s="17"/>
      <c r="U364" s="17"/>
      <c r="V364" s="17"/>
      <c r="AE364" s="2"/>
      <c r="AQ364" s="2"/>
      <c r="AR364" s="2"/>
      <c r="AS364" s="2"/>
      <c r="AT364" s="2"/>
      <c r="AU364" s="2"/>
      <c r="AV364" s="2"/>
      <c r="AW364" s="2"/>
      <c r="AX364" s="2"/>
      <c r="AY364" s="2"/>
    </row>
    <row r="365" spans="1:51" x14ac:dyDescent="0.25">
      <c r="A365" s="24">
        <v>45244</v>
      </c>
      <c r="B365" s="1">
        <v>45244</v>
      </c>
      <c r="C365">
        <v>0.38</v>
      </c>
      <c r="D365">
        <v>0.55000000000000004</v>
      </c>
      <c r="E365">
        <v>0.83</v>
      </c>
      <c r="F365">
        <v>1.52</v>
      </c>
      <c r="G365">
        <v>3.08</v>
      </c>
      <c r="H365">
        <v>3.4</v>
      </c>
      <c r="I365">
        <v>4.75</v>
      </c>
      <c r="J365">
        <v>5.76</v>
      </c>
      <c r="K365">
        <v>6.02</v>
      </c>
      <c r="M365" s="3"/>
      <c r="N365" s="17"/>
      <c r="O365" s="17"/>
      <c r="P365" s="17"/>
      <c r="Q365" s="17"/>
      <c r="R365" s="17"/>
      <c r="S365" s="17"/>
      <c r="T365" s="17"/>
      <c r="U365" s="17"/>
      <c r="V365" s="17"/>
      <c r="AE365" s="2"/>
      <c r="AQ365" s="2"/>
      <c r="AR365" s="2"/>
      <c r="AS365" s="2"/>
      <c r="AT365" s="2"/>
      <c r="AU365" s="2"/>
      <c r="AV365" s="2"/>
      <c r="AW365" s="2"/>
      <c r="AX365" s="2"/>
      <c r="AY365" s="2"/>
    </row>
    <row r="366" spans="1:51" x14ac:dyDescent="0.25">
      <c r="A366" s="24">
        <v>45243</v>
      </c>
      <c r="B366" s="1">
        <v>45243</v>
      </c>
      <c r="C366">
        <v>0.56000000000000005</v>
      </c>
      <c r="D366">
        <v>0.74</v>
      </c>
      <c r="E366">
        <v>1.06</v>
      </c>
      <c r="F366">
        <v>1.7</v>
      </c>
      <c r="G366">
        <v>3.11</v>
      </c>
      <c r="H366">
        <v>3.39</v>
      </c>
      <c r="I366">
        <v>4.7699999999999996</v>
      </c>
      <c r="J366">
        <v>5.88</v>
      </c>
      <c r="K366">
        <v>6.17</v>
      </c>
      <c r="M366" s="3"/>
      <c r="N366" s="17"/>
      <c r="O366" s="17"/>
      <c r="P366" s="17"/>
      <c r="Q366" s="17"/>
      <c r="R366" s="17"/>
      <c r="S366" s="17"/>
      <c r="T366" s="17"/>
      <c r="U366" s="17"/>
      <c r="V366" s="17"/>
      <c r="AE366" s="2"/>
      <c r="AQ366" s="2"/>
      <c r="AR366" s="2"/>
      <c r="AS366" s="2"/>
      <c r="AT366" s="2"/>
      <c r="AU366" s="2"/>
      <c r="AV366" s="2"/>
      <c r="AW366" s="2"/>
      <c r="AX366" s="2"/>
      <c r="AY366" s="2"/>
    </row>
    <row r="367" spans="1:51" x14ac:dyDescent="0.25">
      <c r="A367" s="24">
        <v>45240</v>
      </c>
      <c r="B367" s="1">
        <v>45240</v>
      </c>
      <c r="C367">
        <v>0.64</v>
      </c>
      <c r="D367">
        <v>0.9</v>
      </c>
      <c r="E367">
        <v>1.2</v>
      </c>
      <c r="F367">
        <v>1.88</v>
      </c>
      <c r="G367">
        <v>3.1</v>
      </c>
      <c r="H367">
        <v>3.36</v>
      </c>
      <c r="I367">
        <v>4.78</v>
      </c>
      <c r="J367">
        <v>5.88</v>
      </c>
      <c r="K367">
        <v>6.25</v>
      </c>
      <c r="M367" s="3"/>
      <c r="N367" s="17"/>
      <c r="O367" s="17"/>
      <c r="P367" s="17"/>
      <c r="Q367" s="17"/>
      <c r="R367" s="17"/>
      <c r="S367" s="17"/>
      <c r="T367" s="17"/>
      <c r="U367" s="17"/>
      <c r="V367" s="17"/>
      <c r="AE367" s="2"/>
      <c r="AQ367" s="2"/>
      <c r="AR367" s="2"/>
      <c r="AS367" s="2"/>
      <c r="AT367" s="2"/>
      <c r="AU367" s="2"/>
      <c r="AV367" s="2"/>
      <c r="AW367" s="2"/>
      <c r="AX367" s="2"/>
      <c r="AY367" s="2"/>
    </row>
    <row r="368" spans="1:51" x14ac:dyDescent="0.25">
      <c r="A368" s="24">
        <v>45239</v>
      </c>
      <c r="B368" s="1">
        <v>45239</v>
      </c>
      <c r="C368">
        <v>0.82</v>
      </c>
      <c r="D368">
        <v>1.08</v>
      </c>
      <c r="E368">
        <v>1.37</v>
      </c>
      <c r="F368">
        <v>1.95</v>
      </c>
      <c r="G368">
        <v>3.15</v>
      </c>
      <c r="H368">
        <v>3.45</v>
      </c>
      <c r="I368">
        <v>4.7699999999999996</v>
      </c>
      <c r="J368">
        <v>5.86</v>
      </c>
      <c r="K368">
        <v>6.2</v>
      </c>
      <c r="M368" s="3"/>
      <c r="N368" s="17"/>
      <c r="O368" s="17"/>
      <c r="P368" s="17"/>
      <c r="Q368" s="17"/>
      <c r="R368" s="17"/>
      <c r="S368" s="17"/>
      <c r="T368" s="17"/>
      <c r="U368" s="17"/>
      <c r="V368" s="17"/>
      <c r="AE368" s="2"/>
      <c r="AQ368" s="2"/>
      <c r="AR368" s="2"/>
      <c r="AS368" s="2"/>
      <c r="AT368" s="2"/>
      <c r="AU368" s="2"/>
      <c r="AV368" s="2"/>
      <c r="AW368" s="2"/>
      <c r="AX368" s="2"/>
      <c r="AY368" s="2"/>
    </row>
    <row r="369" spans="1:51" x14ac:dyDescent="0.25">
      <c r="A369" s="24">
        <v>45238</v>
      </c>
      <c r="B369" s="1">
        <v>45238</v>
      </c>
      <c r="C369">
        <v>0.86</v>
      </c>
      <c r="D369">
        <v>1.2</v>
      </c>
      <c r="E369">
        <v>1.47</v>
      </c>
      <c r="F369">
        <v>2.0699999999999998</v>
      </c>
      <c r="G369">
        <v>3.21</v>
      </c>
      <c r="H369">
        <v>3.54</v>
      </c>
      <c r="I369">
        <v>4.79</v>
      </c>
      <c r="J369">
        <v>5.83</v>
      </c>
      <c r="K369">
        <v>6.03</v>
      </c>
      <c r="M369" s="3"/>
      <c r="N369" s="17"/>
      <c r="O369" s="17"/>
      <c r="P369" s="17"/>
      <c r="Q369" s="17"/>
      <c r="R369" s="17"/>
      <c r="S369" s="17"/>
      <c r="T369" s="17"/>
      <c r="U369" s="17"/>
      <c r="V369" s="17"/>
      <c r="AE369" s="2"/>
      <c r="AQ369" s="2"/>
      <c r="AR369" s="2"/>
      <c r="AS369" s="2"/>
      <c r="AT369" s="2"/>
      <c r="AU369" s="2"/>
      <c r="AV369" s="2"/>
      <c r="AW369" s="2"/>
      <c r="AX369" s="2"/>
      <c r="AY369" s="2"/>
    </row>
    <row r="370" spans="1:51" x14ac:dyDescent="0.25">
      <c r="A370" s="24">
        <v>45237</v>
      </c>
      <c r="B370" s="1">
        <v>45237</v>
      </c>
      <c r="C370">
        <v>1.02</v>
      </c>
      <c r="D370">
        <v>1.35</v>
      </c>
      <c r="E370">
        <v>1.58</v>
      </c>
      <c r="F370">
        <v>2.17</v>
      </c>
      <c r="G370">
        <v>3.23</v>
      </c>
      <c r="H370">
        <v>3.55</v>
      </c>
      <c r="I370">
        <v>4.8499999999999996</v>
      </c>
      <c r="J370">
        <v>5.9</v>
      </c>
      <c r="K370">
        <v>6.2</v>
      </c>
      <c r="M370" s="3"/>
      <c r="N370" s="17"/>
      <c r="O370" s="17"/>
      <c r="P370" s="17"/>
      <c r="Q370" s="17"/>
      <c r="R370" s="17"/>
      <c r="S370" s="17"/>
      <c r="T370" s="17"/>
      <c r="U370" s="17"/>
      <c r="V370" s="17"/>
      <c r="AE370" s="2"/>
      <c r="AQ370" s="2"/>
      <c r="AR370" s="2"/>
      <c r="AS370" s="2"/>
      <c r="AT370" s="2"/>
      <c r="AU370" s="2"/>
      <c r="AV370" s="2"/>
      <c r="AW370" s="2"/>
      <c r="AX370" s="2"/>
      <c r="AY370" s="2"/>
    </row>
    <row r="371" spans="1:51" x14ac:dyDescent="0.25">
      <c r="A371" s="24">
        <v>45236</v>
      </c>
      <c r="B371" s="1">
        <v>45236</v>
      </c>
      <c r="C371">
        <v>1</v>
      </c>
      <c r="D371">
        <v>1.32</v>
      </c>
      <c r="E371">
        <v>1.6</v>
      </c>
      <c r="F371">
        <v>2.2200000000000002</v>
      </c>
      <c r="G371">
        <v>3.24</v>
      </c>
      <c r="H371">
        <v>3.54</v>
      </c>
      <c r="I371">
        <v>4.78</v>
      </c>
      <c r="J371">
        <v>5.88</v>
      </c>
      <c r="K371">
        <v>6.08</v>
      </c>
      <c r="M371" s="3"/>
      <c r="N371" s="17"/>
      <c r="O371" s="17"/>
      <c r="P371" s="17"/>
      <c r="Q371" s="17"/>
      <c r="R371" s="17"/>
      <c r="S371" s="17"/>
      <c r="T371" s="17"/>
      <c r="U371" s="17"/>
      <c r="V371" s="17"/>
      <c r="AE371" s="2"/>
      <c r="AQ371" s="2"/>
      <c r="AR371" s="2"/>
      <c r="AS371" s="2"/>
      <c r="AT371" s="2"/>
      <c r="AU371" s="2"/>
      <c r="AV371" s="2"/>
      <c r="AW371" s="2"/>
      <c r="AX371" s="2"/>
      <c r="AY371" s="2"/>
    </row>
    <row r="372" spans="1:51" x14ac:dyDescent="0.25">
      <c r="A372" s="24">
        <v>45233</v>
      </c>
      <c r="B372" s="1">
        <v>45233</v>
      </c>
      <c r="C372">
        <v>1</v>
      </c>
      <c r="D372">
        <v>1.32</v>
      </c>
      <c r="E372">
        <v>1.6</v>
      </c>
      <c r="F372">
        <v>2.2200000000000002</v>
      </c>
      <c r="G372">
        <v>3.22</v>
      </c>
      <c r="H372">
        <v>3.54</v>
      </c>
      <c r="I372">
        <v>4.78</v>
      </c>
      <c r="J372">
        <v>5.88</v>
      </c>
      <c r="K372">
        <v>6.18</v>
      </c>
      <c r="M372" s="3"/>
      <c r="N372" s="17"/>
      <c r="O372" s="17"/>
      <c r="P372" s="17"/>
      <c r="Q372" s="17"/>
      <c r="R372" s="17"/>
      <c r="S372" s="17"/>
      <c r="T372" s="17"/>
      <c r="U372" s="17"/>
      <c r="V372" s="17"/>
      <c r="AE372" s="2"/>
      <c r="AQ372" s="2"/>
      <c r="AR372" s="2"/>
      <c r="AS372" s="2"/>
      <c r="AT372" s="2"/>
      <c r="AU372" s="2"/>
      <c r="AV372" s="2"/>
      <c r="AW372" s="2"/>
      <c r="AX372" s="2"/>
      <c r="AY372" s="2"/>
    </row>
    <row r="373" spans="1:51" x14ac:dyDescent="0.25">
      <c r="A373" s="24">
        <v>45232</v>
      </c>
      <c r="B373" s="1">
        <v>45232</v>
      </c>
      <c r="C373">
        <v>1.04</v>
      </c>
      <c r="D373">
        <v>1.39</v>
      </c>
      <c r="E373">
        <v>1.64</v>
      </c>
      <c r="F373">
        <v>2.21</v>
      </c>
      <c r="G373">
        <v>3.23</v>
      </c>
      <c r="H373">
        <v>3.53</v>
      </c>
      <c r="I373">
        <v>4.8099999999999996</v>
      </c>
      <c r="J373">
        <v>5.82</v>
      </c>
      <c r="K373">
        <v>6.12</v>
      </c>
      <c r="M373" s="3"/>
      <c r="N373" s="17"/>
      <c r="O373" s="17"/>
      <c r="P373" s="17"/>
      <c r="Q373" s="17"/>
      <c r="R373" s="17"/>
      <c r="S373" s="17"/>
      <c r="T373" s="17"/>
      <c r="U373" s="17"/>
      <c r="V373" s="17"/>
      <c r="AE373" s="2"/>
      <c r="AQ373" s="2"/>
      <c r="AR373" s="2"/>
      <c r="AS373" s="2"/>
      <c r="AT373" s="2"/>
      <c r="AU373" s="2"/>
      <c r="AV373" s="2"/>
      <c r="AW373" s="2"/>
      <c r="AX373" s="2"/>
      <c r="AY373" s="2"/>
    </row>
    <row r="374" spans="1:51" x14ac:dyDescent="0.25">
      <c r="A374" s="24">
        <v>45231</v>
      </c>
      <c r="B374" s="1">
        <v>45231</v>
      </c>
      <c r="C374">
        <v>1.17</v>
      </c>
      <c r="D374">
        <v>1.45</v>
      </c>
      <c r="E374">
        <v>1.68</v>
      </c>
      <c r="F374">
        <v>2.2999999999999998</v>
      </c>
      <c r="G374">
        <v>3.17</v>
      </c>
      <c r="H374">
        <v>3.45</v>
      </c>
      <c r="I374">
        <v>4.83</v>
      </c>
      <c r="J374">
        <v>5.82</v>
      </c>
      <c r="K374">
        <v>6.08</v>
      </c>
      <c r="M374" s="3"/>
      <c r="N374" s="17"/>
      <c r="O374" s="17"/>
      <c r="P374" s="17"/>
      <c r="Q374" s="17"/>
      <c r="R374" s="17"/>
      <c r="S374" s="17"/>
      <c r="T374" s="17"/>
      <c r="U374" s="17"/>
      <c r="V374" s="17"/>
      <c r="AE374" s="2"/>
      <c r="AQ374" s="2"/>
      <c r="AR374" s="2"/>
      <c r="AS374" s="2"/>
      <c r="AT374" s="2"/>
      <c r="AU374" s="2"/>
      <c r="AV374" s="2"/>
      <c r="AW374" s="2"/>
      <c r="AX374" s="2"/>
      <c r="AY374" s="2"/>
    </row>
    <row r="375" spans="1:51" x14ac:dyDescent="0.25">
      <c r="A375" s="24">
        <v>45230</v>
      </c>
      <c r="B375" s="1">
        <v>45230</v>
      </c>
      <c r="C375">
        <v>0.85</v>
      </c>
      <c r="D375">
        <v>1.35</v>
      </c>
      <c r="E375">
        <v>1.62</v>
      </c>
      <c r="F375">
        <v>2.35</v>
      </c>
      <c r="G375">
        <v>3.15</v>
      </c>
      <c r="H375">
        <v>3.45</v>
      </c>
      <c r="I375">
        <v>4.78</v>
      </c>
      <c r="J375">
        <v>5.9</v>
      </c>
      <c r="K375">
        <v>6.2</v>
      </c>
      <c r="M375" s="3"/>
      <c r="N375" s="17"/>
      <c r="O375" s="17"/>
      <c r="P375" s="17"/>
      <c r="Q375" s="17"/>
      <c r="R375" s="17"/>
      <c r="S375" s="17"/>
      <c r="T375" s="17"/>
      <c r="U375" s="17"/>
      <c r="V375" s="17"/>
      <c r="AE375" s="2"/>
      <c r="AQ375" s="2"/>
      <c r="AR375" s="2"/>
      <c r="AS375" s="2"/>
      <c r="AT375" s="2"/>
      <c r="AU375" s="2"/>
      <c r="AV375" s="2"/>
      <c r="AW375" s="2"/>
      <c r="AX375" s="2"/>
      <c r="AY375" s="2"/>
    </row>
    <row r="376" spans="1:51" x14ac:dyDescent="0.25">
      <c r="A376" s="24">
        <v>45229</v>
      </c>
      <c r="B376" s="1">
        <v>45229</v>
      </c>
      <c r="C376">
        <v>1</v>
      </c>
      <c r="D376">
        <v>1.38</v>
      </c>
      <c r="E376">
        <v>1.68</v>
      </c>
      <c r="F376">
        <v>2.5499999999999998</v>
      </c>
      <c r="G376">
        <v>3.1</v>
      </c>
      <c r="H376">
        <v>3.43</v>
      </c>
      <c r="I376">
        <v>4.83</v>
      </c>
      <c r="J376">
        <v>5.9</v>
      </c>
      <c r="K376">
        <v>6.14</v>
      </c>
      <c r="M376" s="3"/>
      <c r="N376" s="17"/>
      <c r="O376" s="17"/>
      <c r="P376" s="17"/>
      <c r="Q376" s="17"/>
      <c r="R376" s="17"/>
      <c r="S376" s="17"/>
      <c r="T376" s="17"/>
      <c r="U376" s="17"/>
      <c r="V376" s="17"/>
      <c r="AE376" s="2"/>
      <c r="AQ376" s="2"/>
      <c r="AR376" s="2"/>
      <c r="AS376" s="2"/>
      <c r="AT376" s="2"/>
      <c r="AU376" s="2"/>
      <c r="AV376" s="2"/>
      <c r="AW376" s="2"/>
      <c r="AX376" s="2"/>
      <c r="AY376" s="2"/>
    </row>
    <row r="377" spans="1:51" x14ac:dyDescent="0.25">
      <c r="A377" s="24">
        <v>45226</v>
      </c>
      <c r="B377" s="1">
        <v>45226</v>
      </c>
      <c r="C377">
        <v>1.36</v>
      </c>
      <c r="D377">
        <v>1.68</v>
      </c>
      <c r="E377">
        <v>1.94</v>
      </c>
      <c r="F377">
        <v>2.6</v>
      </c>
      <c r="G377">
        <v>3.12</v>
      </c>
      <c r="H377">
        <v>3.42</v>
      </c>
      <c r="I377">
        <v>4.92</v>
      </c>
      <c r="J377">
        <v>5.93</v>
      </c>
      <c r="K377">
        <v>6.18</v>
      </c>
      <c r="M377" s="3"/>
      <c r="N377" s="17"/>
      <c r="O377" s="17"/>
      <c r="P377" s="17"/>
      <c r="Q377" s="17"/>
      <c r="R377" s="17"/>
      <c r="S377" s="17"/>
      <c r="T377" s="17"/>
      <c r="U377" s="17"/>
      <c r="V377" s="17"/>
      <c r="AE377" s="2"/>
      <c r="AQ377" s="2"/>
      <c r="AR377" s="2"/>
      <c r="AS377" s="2"/>
      <c r="AT377" s="2"/>
      <c r="AU377" s="2"/>
      <c r="AV377" s="2"/>
      <c r="AW377" s="2"/>
      <c r="AX377" s="2"/>
      <c r="AY377" s="2"/>
    </row>
    <row r="378" spans="1:51" x14ac:dyDescent="0.25">
      <c r="A378" s="24">
        <v>45225</v>
      </c>
      <c r="B378" s="1">
        <v>45225</v>
      </c>
      <c r="C378">
        <v>1.8</v>
      </c>
      <c r="D378">
        <v>1.98</v>
      </c>
      <c r="E378">
        <v>2.2799999999999998</v>
      </c>
      <c r="F378">
        <v>2.75</v>
      </c>
      <c r="G378">
        <v>3.25</v>
      </c>
      <c r="H378">
        <v>3.48</v>
      </c>
      <c r="I378">
        <v>4.88</v>
      </c>
      <c r="J378">
        <v>5.94</v>
      </c>
      <c r="K378">
        <v>6.22</v>
      </c>
      <c r="M378" s="3"/>
      <c r="N378" s="17"/>
      <c r="O378" s="17"/>
      <c r="P378" s="17"/>
      <c r="Q378" s="17"/>
      <c r="R378" s="17"/>
      <c r="S378" s="17"/>
      <c r="T378" s="17"/>
      <c r="U378" s="17"/>
      <c r="V378" s="17"/>
      <c r="AE378" s="2"/>
      <c r="AQ378" s="2"/>
      <c r="AR378" s="2"/>
      <c r="AS378" s="2"/>
      <c r="AT378" s="2"/>
      <c r="AU378" s="2"/>
      <c r="AV378" s="2"/>
      <c r="AW378" s="2"/>
      <c r="AX378" s="2"/>
      <c r="AY378" s="2"/>
    </row>
    <row r="379" spans="1:51" x14ac:dyDescent="0.25">
      <c r="A379" s="24">
        <v>45224</v>
      </c>
      <c r="B379" s="1">
        <v>45224</v>
      </c>
      <c r="C379">
        <v>2.7</v>
      </c>
      <c r="D379">
        <v>2.82</v>
      </c>
      <c r="E379">
        <v>2.94</v>
      </c>
      <c r="F379">
        <v>3.18</v>
      </c>
      <c r="G379">
        <v>3.44</v>
      </c>
      <c r="H379">
        <v>3.62</v>
      </c>
      <c r="I379">
        <v>4.9000000000000004</v>
      </c>
      <c r="J379">
        <v>5.9</v>
      </c>
      <c r="K379">
        <v>6.23</v>
      </c>
      <c r="M379" s="3"/>
      <c r="N379" s="17"/>
      <c r="O379" s="17"/>
      <c r="P379" s="17"/>
      <c r="Q379" s="17"/>
      <c r="R379" s="17"/>
      <c r="S379" s="17"/>
      <c r="T379" s="17"/>
      <c r="U379" s="17"/>
      <c r="V379" s="17"/>
      <c r="AE379" s="2"/>
      <c r="AQ379" s="2"/>
      <c r="AR379" s="2"/>
      <c r="AS379" s="2"/>
      <c r="AT379" s="2"/>
      <c r="AU379" s="2"/>
      <c r="AV379" s="2"/>
      <c r="AW379" s="2"/>
      <c r="AX379" s="2"/>
      <c r="AY379" s="2"/>
    </row>
    <row r="380" spans="1:51" x14ac:dyDescent="0.25">
      <c r="A380" s="24">
        <v>45223</v>
      </c>
      <c r="B380" s="1">
        <v>45223</v>
      </c>
      <c r="C380">
        <v>2.85</v>
      </c>
      <c r="D380">
        <v>2.9</v>
      </c>
      <c r="E380">
        <v>2.95</v>
      </c>
      <c r="F380">
        <v>3.02</v>
      </c>
      <c r="G380">
        <v>3.28</v>
      </c>
      <c r="H380">
        <v>3.55</v>
      </c>
      <c r="I380">
        <v>4.88</v>
      </c>
      <c r="J380">
        <v>5.89</v>
      </c>
      <c r="K380">
        <v>6.11</v>
      </c>
      <c r="M380" s="3"/>
      <c r="N380" s="17"/>
      <c r="O380" s="17"/>
      <c r="P380" s="17"/>
      <c r="Q380" s="17"/>
      <c r="R380" s="17"/>
      <c r="S380" s="17"/>
      <c r="T380" s="17"/>
      <c r="U380" s="17"/>
      <c r="V380" s="17"/>
      <c r="AE380" s="2"/>
      <c r="AQ380" s="2"/>
      <c r="AR380" s="2"/>
      <c r="AS380" s="2"/>
      <c r="AT380" s="2"/>
      <c r="AU380" s="2"/>
      <c r="AV380" s="2"/>
      <c r="AW380" s="2"/>
      <c r="AX380" s="2"/>
      <c r="AY380" s="2"/>
    </row>
    <row r="381" spans="1:51" x14ac:dyDescent="0.25">
      <c r="A381" s="24">
        <v>45222</v>
      </c>
      <c r="B381" s="1">
        <v>45222</v>
      </c>
      <c r="C381">
        <v>2.15</v>
      </c>
      <c r="D381">
        <v>2.2000000000000002</v>
      </c>
      <c r="E381">
        <v>2.3199999999999998</v>
      </c>
      <c r="F381">
        <v>2.4500000000000002</v>
      </c>
      <c r="G381">
        <v>3.15</v>
      </c>
      <c r="H381">
        <v>3.47</v>
      </c>
      <c r="I381">
        <v>4.88</v>
      </c>
      <c r="J381">
        <v>5.86</v>
      </c>
      <c r="K381">
        <v>6.12</v>
      </c>
      <c r="M381" s="3"/>
      <c r="N381" s="17"/>
      <c r="O381" s="17"/>
      <c r="P381" s="17"/>
      <c r="Q381" s="17"/>
      <c r="R381" s="17"/>
      <c r="S381" s="17"/>
      <c r="T381" s="17"/>
      <c r="U381" s="17"/>
      <c r="V381" s="17"/>
      <c r="AE381" s="2"/>
      <c r="AQ381" s="2"/>
      <c r="AR381" s="2"/>
      <c r="AS381" s="2"/>
      <c r="AT381" s="2"/>
      <c r="AU381" s="2"/>
      <c r="AV381" s="2"/>
      <c r="AW381" s="2"/>
      <c r="AX381" s="2"/>
      <c r="AY381" s="2"/>
    </row>
    <row r="382" spans="1:51" x14ac:dyDescent="0.25">
      <c r="A382" s="24">
        <v>45219</v>
      </c>
      <c r="B382" s="1">
        <v>45219</v>
      </c>
      <c r="C382">
        <v>1.55</v>
      </c>
      <c r="D382">
        <v>1.7</v>
      </c>
      <c r="E382">
        <v>1.83</v>
      </c>
      <c r="F382">
        <v>2.0299999999999998</v>
      </c>
      <c r="G382">
        <v>3.08</v>
      </c>
      <c r="H382">
        <v>3.45</v>
      </c>
      <c r="I382">
        <v>4.88</v>
      </c>
      <c r="J382">
        <v>5.98</v>
      </c>
      <c r="K382">
        <v>6.28</v>
      </c>
      <c r="M382" s="3"/>
      <c r="N382" s="17"/>
      <c r="O382" s="17"/>
      <c r="P382" s="17"/>
      <c r="Q382" s="17"/>
      <c r="R382" s="17"/>
      <c r="S382" s="17"/>
      <c r="T382" s="17"/>
      <c r="U382" s="17"/>
      <c r="V382" s="17"/>
      <c r="AE382" s="2"/>
      <c r="AQ382" s="2"/>
      <c r="AR382" s="2"/>
      <c r="AS382" s="2"/>
      <c r="AT382" s="2"/>
      <c r="AU382" s="2"/>
      <c r="AV382" s="2"/>
      <c r="AW382" s="2"/>
      <c r="AX382" s="2"/>
      <c r="AY382" s="2"/>
    </row>
    <row r="383" spans="1:51" x14ac:dyDescent="0.25">
      <c r="A383" s="24">
        <v>45218</v>
      </c>
      <c r="B383" s="1">
        <v>45218</v>
      </c>
      <c r="C383">
        <v>0.84</v>
      </c>
      <c r="D383">
        <v>1.06</v>
      </c>
      <c r="E383">
        <v>1.32</v>
      </c>
      <c r="F383">
        <v>1.56</v>
      </c>
      <c r="G383">
        <v>3.02</v>
      </c>
      <c r="H383">
        <v>3.36</v>
      </c>
      <c r="I383">
        <v>4.8600000000000003</v>
      </c>
      <c r="J383">
        <v>5.95</v>
      </c>
      <c r="K383">
        <v>6.28</v>
      </c>
      <c r="M383" s="3"/>
      <c r="N383" s="17"/>
      <c r="O383" s="17"/>
      <c r="P383" s="17"/>
      <c r="Q383" s="17"/>
      <c r="R383" s="17"/>
      <c r="S383" s="17"/>
      <c r="T383" s="17"/>
      <c r="U383" s="17"/>
      <c r="V383" s="17"/>
      <c r="AE383" s="2"/>
      <c r="AQ383" s="2"/>
      <c r="AR383" s="2"/>
      <c r="AS383" s="2"/>
      <c r="AT383" s="2"/>
      <c r="AU383" s="2"/>
      <c r="AV383" s="2"/>
      <c r="AW383" s="2"/>
      <c r="AX383" s="2"/>
      <c r="AY383" s="2"/>
    </row>
    <row r="384" spans="1:51" x14ac:dyDescent="0.25">
      <c r="A384" s="24">
        <v>45217</v>
      </c>
      <c r="B384" s="1">
        <v>45217</v>
      </c>
      <c r="C384">
        <v>0.82</v>
      </c>
      <c r="D384">
        <v>1.07</v>
      </c>
      <c r="E384">
        <v>1.22</v>
      </c>
      <c r="F384">
        <v>1.55</v>
      </c>
      <c r="G384">
        <v>3.02</v>
      </c>
      <c r="H384">
        <v>3.35</v>
      </c>
      <c r="I384">
        <v>4.87</v>
      </c>
      <c r="J384">
        <v>5.96</v>
      </c>
      <c r="K384">
        <v>6.26</v>
      </c>
      <c r="M384" s="3"/>
      <c r="N384" s="17"/>
      <c r="O384" s="17"/>
      <c r="P384" s="17"/>
      <c r="Q384" s="17"/>
      <c r="R384" s="17"/>
      <c r="S384" s="17"/>
      <c r="T384" s="17"/>
      <c r="U384" s="17"/>
      <c r="V384" s="17"/>
      <c r="AE384" s="2"/>
      <c r="AQ384" s="2"/>
      <c r="AR384" s="2"/>
      <c r="AS384" s="2"/>
      <c r="AT384" s="2"/>
      <c r="AU384" s="2"/>
      <c r="AV384" s="2"/>
      <c r="AW384" s="2"/>
      <c r="AX384" s="2"/>
      <c r="AY384" s="2"/>
    </row>
    <row r="385" spans="1:51" x14ac:dyDescent="0.25">
      <c r="A385" s="24">
        <v>45216</v>
      </c>
      <c r="B385" s="1">
        <v>45216</v>
      </c>
      <c r="C385">
        <v>0.8</v>
      </c>
      <c r="D385">
        <v>0.97</v>
      </c>
      <c r="E385">
        <v>1.2</v>
      </c>
      <c r="F385">
        <v>1.47</v>
      </c>
      <c r="G385">
        <v>3</v>
      </c>
      <c r="H385">
        <v>3.32</v>
      </c>
      <c r="I385">
        <v>4.88</v>
      </c>
      <c r="J385">
        <v>5.9</v>
      </c>
      <c r="K385">
        <v>6.11</v>
      </c>
      <c r="M385" s="3"/>
      <c r="N385" s="17"/>
      <c r="O385" s="17"/>
      <c r="P385" s="17"/>
      <c r="Q385" s="17"/>
      <c r="R385" s="17"/>
      <c r="S385" s="17"/>
      <c r="T385" s="17"/>
      <c r="U385" s="17"/>
      <c r="V385" s="17"/>
      <c r="AE385" s="2"/>
      <c r="AQ385" s="2"/>
      <c r="AR385" s="2"/>
      <c r="AS385" s="2"/>
      <c r="AT385" s="2"/>
      <c r="AU385" s="2"/>
      <c r="AV385" s="2"/>
      <c r="AW385" s="2"/>
      <c r="AX385" s="2"/>
      <c r="AY385" s="2"/>
    </row>
    <row r="386" spans="1:51" x14ac:dyDescent="0.25">
      <c r="A386" s="24">
        <v>45215</v>
      </c>
      <c r="B386" s="1">
        <v>45215</v>
      </c>
      <c r="C386">
        <v>0.77</v>
      </c>
      <c r="D386">
        <v>0.95</v>
      </c>
      <c r="E386">
        <v>1.18</v>
      </c>
      <c r="F386">
        <v>1.48</v>
      </c>
      <c r="G386">
        <v>3.02</v>
      </c>
      <c r="H386">
        <v>3.35</v>
      </c>
      <c r="I386">
        <v>4.87</v>
      </c>
      <c r="J386">
        <v>5.94</v>
      </c>
      <c r="K386">
        <v>6.22</v>
      </c>
      <c r="M386" s="3"/>
      <c r="N386" s="17"/>
      <c r="O386" s="17"/>
      <c r="P386" s="17"/>
      <c r="Q386" s="17"/>
      <c r="R386" s="17"/>
      <c r="S386" s="17"/>
      <c r="T386" s="17"/>
      <c r="U386" s="17"/>
      <c r="V386" s="17"/>
      <c r="AE386" s="2"/>
      <c r="AQ386" s="2"/>
      <c r="AR386" s="2"/>
      <c r="AS386" s="2"/>
      <c r="AT386" s="2"/>
      <c r="AU386" s="2"/>
      <c r="AV386" s="2"/>
      <c r="AW386" s="2"/>
      <c r="AX386" s="2"/>
      <c r="AY386" s="2"/>
    </row>
    <row r="387" spans="1:51" x14ac:dyDescent="0.25">
      <c r="A387" s="24">
        <v>45212</v>
      </c>
      <c r="B387" s="1">
        <v>45212</v>
      </c>
      <c r="C387">
        <v>0.4</v>
      </c>
      <c r="D387">
        <v>0.6</v>
      </c>
      <c r="E387">
        <v>0.82</v>
      </c>
      <c r="F387">
        <v>1.28</v>
      </c>
      <c r="G387">
        <v>3</v>
      </c>
      <c r="H387">
        <v>3.3</v>
      </c>
      <c r="I387">
        <v>4.88</v>
      </c>
      <c r="J387">
        <v>5.98</v>
      </c>
      <c r="K387">
        <v>6.23</v>
      </c>
      <c r="M387" s="3"/>
      <c r="N387" s="17"/>
      <c r="O387" s="17"/>
      <c r="P387" s="17"/>
      <c r="Q387" s="17"/>
      <c r="R387" s="17"/>
      <c r="S387" s="17"/>
      <c r="T387" s="17"/>
      <c r="U387" s="17"/>
      <c r="V387" s="17"/>
      <c r="AE387" s="2"/>
      <c r="AQ387" s="2"/>
      <c r="AR387" s="2"/>
      <c r="AS387" s="2"/>
      <c r="AT387" s="2"/>
      <c r="AU387" s="2"/>
      <c r="AV387" s="2"/>
      <c r="AW387" s="2"/>
      <c r="AX387" s="2"/>
      <c r="AY387" s="2"/>
    </row>
    <row r="388" spans="1:51" x14ac:dyDescent="0.25">
      <c r="A388" s="24">
        <v>45211</v>
      </c>
      <c r="B388" s="1">
        <v>45211</v>
      </c>
      <c r="C388">
        <v>0.28000000000000003</v>
      </c>
      <c r="D388">
        <v>0.48</v>
      </c>
      <c r="E388">
        <v>0.76</v>
      </c>
      <c r="F388">
        <v>1.24</v>
      </c>
      <c r="G388">
        <v>3</v>
      </c>
      <c r="H388">
        <v>3.28</v>
      </c>
      <c r="I388">
        <v>4.88</v>
      </c>
      <c r="J388">
        <v>5.83</v>
      </c>
      <c r="K388">
        <v>5.95</v>
      </c>
      <c r="M388" s="3"/>
      <c r="N388" s="17"/>
      <c r="O388" s="17"/>
      <c r="P388" s="17"/>
      <c r="Q388" s="17"/>
      <c r="R388" s="17"/>
      <c r="S388" s="17"/>
      <c r="T388" s="17"/>
      <c r="U388" s="17"/>
      <c r="V388" s="17"/>
      <c r="AE388" s="2"/>
      <c r="AQ388" s="2"/>
      <c r="AR388" s="2"/>
      <c r="AS388" s="2"/>
      <c r="AT388" s="2"/>
      <c r="AU388" s="2"/>
      <c r="AV388" s="2"/>
      <c r="AW388" s="2"/>
      <c r="AX388" s="2"/>
      <c r="AY388" s="2"/>
    </row>
    <row r="389" spans="1:51" x14ac:dyDescent="0.25">
      <c r="A389" s="24">
        <v>45210</v>
      </c>
      <c r="B389" s="1">
        <v>45210</v>
      </c>
      <c r="C389">
        <v>0.41</v>
      </c>
      <c r="D389">
        <v>0.63</v>
      </c>
      <c r="E389">
        <v>0.93</v>
      </c>
      <c r="F389">
        <v>1.4</v>
      </c>
      <c r="G389">
        <v>3.03</v>
      </c>
      <c r="H389">
        <v>3.34</v>
      </c>
      <c r="I389">
        <v>4.91</v>
      </c>
      <c r="J389">
        <v>5.97</v>
      </c>
      <c r="K389">
        <v>6.18</v>
      </c>
      <c r="M389" s="3"/>
      <c r="N389" s="17"/>
      <c r="O389" s="17"/>
      <c r="P389" s="17"/>
      <c r="Q389" s="17"/>
      <c r="R389" s="17"/>
      <c r="S389" s="17"/>
      <c r="T389" s="17"/>
      <c r="U389" s="17"/>
      <c r="V389" s="17"/>
      <c r="AE389" s="2"/>
      <c r="AQ389" s="2"/>
      <c r="AR389" s="2"/>
      <c r="AS389" s="2"/>
      <c r="AT389" s="2"/>
      <c r="AU389" s="2"/>
      <c r="AV389" s="2"/>
      <c r="AW389" s="2"/>
      <c r="AX389" s="2"/>
      <c r="AY389" s="2"/>
    </row>
    <row r="390" spans="1:51" x14ac:dyDescent="0.25">
      <c r="A390" s="24">
        <v>45209</v>
      </c>
      <c r="B390" s="1">
        <v>45209</v>
      </c>
      <c r="C390">
        <v>0.72</v>
      </c>
      <c r="D390">
        <v>0.95</v>
      </c>
      <c r="E390">
        <v>1.22</v>
      </c>
      <c r="F390">
        <v>1.67</v>
      </c>
      <c r="G390">
        <v>3.1</v>
      </c>
      <c r="H390">
        <v>3.42</v>
      </c>
      <c r="I390">
        <v>4.9000000000000004</v>
      </c>
      <c r="J390">
        <v>5.91</v>
      </c>
      <c r="K390">
        <v>6.11</v>
      </c>
      <c r="M390" s="3"/>
      <c r="N390" s="17"/>
      <c r="O390" s="17"/>
      <c r="P390" s="17"/>
      <c r="Q390" s="17"/>
      <c r="R390" s="17"/>
      <c r="S390" s="17"/>
      <c r="T390" s="17"/>
      <c r="U390" s="17"/>
      <c r="V390" s="17"/>
      <c r="AE390" s="2"/>
      <c r="AQ390" s="2"/>
      <c r="AR390" s="2"/>
      <c r="AS390" s="2"/>
      <c r="AT390" s="2"/>
      <c r="AU390" s="2"/>
      <c r="AV390" s="2"/>
      <c r="AW390" s="2"/>
      <c r="AX390" s="2"/>
      <c r="AY390" s="2"/>
    </row>
    <row r="391" spans="1:51" x14ac:dyDescent="0.25">
      <c r="A391" s="24">
        <v>45208</v>
      </c>
      <c r="B391" s="1">
        <v>45208</v>
      </c>
      <c r="C391">
        <v>1</v>
      </c>
      <c r="D391">
        <v>1.29</v>
      </c>
      <c r="E391">
        <v>1.53</v>
      </c>
      <c r="F391">
        <v>1.83</v>
      </c>
      <c r="G391">
        <v>3.17</v>
      </c>
      <c r="H391">
        <v>3.49</v>
      </c>
      <c r="I391">
        <v>4.9000000000000004</v>
      </c>
      <c r="J391">
        <v>5.9</v>
      </c>
      <c r="K391">
        <v>6.08</v>
      </c>
      <c r="M391" s="3"/>
      <c r="N391" s="17"/>
      <c r="O391" s="17"/>
      <c r="P391" s="17"/>
      <c r="Q391" s="17"/>
      <c r="R391" s="17"/>
      <c r="S391" s="17"/>
      <c r="T391" s="17"/>
      <c r="U391" s="17"/>
      <c r="V391" s="17"/>
      <c r="AE391" s="2"/>
      <c r="AQ391" s="2"/>
      <c r="AR391" s="2"/>
      <c r="AS391" s="2"/>
      <c r="AT391" s="2"/>
      <c r="AU391" s="2"/>
      <c r="AV391" s="2"/>
      <c r="AW391" s="2"/>
      <c r="AX391" s="2"/>
      <c r="AY391" s="2"/>
    </row>
    <row r="392" spans="1:51" x14ac:dyDescent="0.25">
      <c r="A392" s="24">
        <v>45205</v>
      </c>
      <c r="B392" s="1">
        <v>45205</v>
      </c>
      <c r="C392">
        <v>1.22</v>
      </c>
      <c r="D392">
        <v>1.44</v>
      </c>
      <c r="E392">
        <v>1.66</v>
      </c>
      <c r="F392">
        <v>1.94</v>
      </c>
      <c r="G392">
        <v>3.2</v>
      </c>
      <c r="H392">
        <v>3.52</v>
      </c>
      <c r="I392">
        <v>4.9000000000000004</v>
      </c>
      <c r="J392">
        <v>5.98</v>
      </c>
      <c r="K392">
        <v>6.3</v>
      </c>
      <c r="M392" s="3"/>
      <c r="N392" s="17"/>
      <c r="O392" s="17"/>
      <c r="P392" s="17"/>
      <c r="Q392" s="17"/>
      <c r="R392" s="17"/>
      <c r="S392" s="17"/>
      <c r="T392" s="17"/>
      <c r="U392" s="17"/>
      <c r="V392" s="17"/>
      <c r="AE392" s="2"/>
      <c r="AQ392" s="2"/>
      <c r="AR392" s="2"/>
      <c r="AS392" s="2"/>
      <c r="AT392" s="2"/>
      <c r="AU392" s="2"/>
      <c r="AV392" s="2"/>
      <c r="AW392" s="2"/>
      <c r="AX392" s="2"/>
      <c r="AY392" s="2"/>
    </row>
    <row r="393" spans="1:51" x14ac:dyDescent="0.25">
      <c r="A393" s="24">
        <v>45204</v>
      </c>
      <c r="B393" s="1">
        <v>45204</v>
      </c>
      <c r="C393">
        <v>1.36</v>
      </c>
      <c r="D393">
        <v>1.59</v>
      </c>
      <c r="E393">
        <v>1.73</v>
      </c>
      <c r="F393">
        <v>1.93</v>
      </c>
      <c r="G393">
        <v>3.2</v>
      </c>
      <c r="H393">
        <v>3.53</v>
      </c>
      <c r="I393">
        <v>4.9000000000000004</v>
      </c>
      <c r="J393">
        <v>5.98</v>
      </c>
      <c r="K393">
        <v>6.23</v>
      </c>
      <c r="M393" s="3"/>
      <c r="N393" s="17"/>
      <c r="O393" s="17"/>
      <c r="P393" s="17"/>
      <c r="Q393" s="17"/>
      <c r="R393" s="17"/>
      <c r="S393" s="17"/>
      <c r="T393" s="17"/>
      <c r="U393" s="17"/>
      <c r="V393" s="17"/>
      <c r="AE393" s="2"/>
      <c r="AQ393" s="2"/>
      <c r="AR393" s="2"/>
      <c r="AS393" s="2"/>
      <c r="AT393" s="2"/>
      <c r="AU393" s="2"/>
      <c r="AV393" s="2"/>
      <c r="AW393" s="2"/>
      <c r="AX393" s="2"/>
      <c r="AY393" s="2"/>
    </row>
    <row r="394" spans="1:51" x14ac:dyDescent="0.25">
      <c r="A394" s="24">
        <v>45203</v>
      </c>
      <c r="B394" s="1">
        <v>45203</v>
      </c>
      <c r="C394">
        <v>1.1399999999999999</v>
      </c>
      <c r="D394">
        <v>1.38</v>
      </c>
      <c r="E394">
        <v>1.52</v>
      </c>
      <c r="F394">
        <v>1.74</v>
      </c>
      <c r="G394">
        <v>3.04</v>
      </c>
      <c r="H394">
        <v>3.3</v>
      </c>
      <c r="I394">
        <v>4.9400000000000004</v>
      </c>
      <c r="J394">
        <v>5.93</v>
      </c>
      <c r="K394">
        <v>6.25</v>
      </c>
      <c r="M394" s="3"/>
      <c r="N394" s="17"/>
      <c r="O394" s="17"/>
      <c r="P394" s="17"/>
      <c r="Q394" s="17"/>
      <c r="R394" s="17"/>
      <c r="S394" s="17"/>
      <c r="T394" s="17"/>
      <c r="U394" s="17"/>
      <c r="V394" s="17"/>
      <c r="AE394" s="2"/>
      <c r="AQ394" s="2"/>
      <c r="AR394" s="2"/>
      <c r="AS394" s="2"/>
      <c r="AT394" s="2"/>
      <c r="AU394" s="2"/>
      <c r="AV394" s="2"/>
      <c r="AW394" s="2"/>
      <c r="AX394" s="2"/>
      <c r="AY394" s="2"/>
    </row>
    <row r="395" spans="1:51" x14ac:dyDescent="0.25">
      <c r="A395" s="24">
        <v>45202</v>
      </c>
      <c r="B395" s="1">
        <v>45202</v>
      </c>
      <c r="C395">
        <v>0.76</v>
      </c>
      <c r="D395">
        <v>0.94</v>
      </c>
      <c r="E395">
        <v>1.07</v>
      </c>
      <c r="F395">
        <v>1.44</v>
      </c>
      <c r="G395">
        <v>2.96</v>
      </c>
      <c r="H395">
        <v>3.24</v>
      </c>
      <c r="I395">
        <v>4.93</v>
      </c>
      <c r="J395">
        <v>5.95</v>
      </c>
      <c r="K395">
        <v>6.23</v>
      </c>
      <c r="M395" s="3"/>
      <c r="N395" s="17"/>
      <c r="O395" s="17"/>
      <c r="P395" s="17"/>
      <c r="Q395" s="17"/>
      <c r="R395" s="17"/>
      <c r="S395" s="17"/>
      <c r="T395" s="17"/>
      <c r="U395" s="17"/>
      <c r="V395" s="17"/>
      <c r="AE395" s="2"/>
      <c r="AQ395" s="2"/>
      <c r="AR395" s="2"/>
      <c r="AS395" s="2"/>
      <c r="AT395" s="2"/>
      <c r="AU395" s="2"/>
      <c r="AV395" s="2"/>
      <c r="AW395" s="2"/>
      <c r="AX395" s="2"/>
      <c r="AY395" s="2"/>
    </row>
    <row r="396" spans="1:51" x14ac:dyDescent="0.25">
      <c r="A396" s="24">
        <v>45201</v>
      </c>
      <c r="B396" s="1">
        <v>45201</v>
      </c>
      <c r="C396">
        <v>0.61</v>
      </c>
      <c r="D396">
        <v>0.77</v>
      </c>
      <c r="E396">
        <v>0.87</v>
      </c>
      <c r="F396">
        <v>1.4</v>
      </c>
      <c r="G396">
        <v>2.9</v>
      </c>
      <c r="H396">
        <v>3.16</v>
      </c>
      <c r="I396">
        <v>4.8899999999999997</v>
      </c>
      <c r="J396">
        <v>5.88</v>
      </c>
      <c r="K396">
        <v>6.15</v>
      </c>
      <c r="M396" s="3"/>
      <c r="N396" s="17"/>
      <c r="O396" s="17"/>
      <c r="P396" s="17"/>
      <c r="Q396" s="17"/>
      <c r="R396" s="17"/>
      <c r="S396" s="17"/>
      <c r="T396" s="17"/>
      <c r="U396" s="17"/>
      <c r="V396" s="17"/>
      <c r="AE396" s="2"/>
      <c r="AQ396" s="2"/>
      <c r="AR396" s="2"/>
      <c r="AS396" s="2"/>
      <c r="AT396" s="2"/>
      <c r="AU396" s="2"/>
      <c r="AV396" s="2"/>
      <c r="AW396" s="2"/>
      <c r="AX396" s="2"/>
      <c r="AY396" s="2"/>
    </row>
    <row r="397" spans="1:51" x14ac:dyDescent="0.25">
      <c r="A397" s="24">
        <v>45198</v>
      </c>
      <c r="B397" s="1">
        <v>45198</v>
      </c>
      <c r="C397">
        <v>0.24</v>
      </c>
      <c r="D397">
        <v>0.48</v>
      </c>
      <c r="E397">
        <v>0.66</v>
      </c>
      <c r="F397">
        <v>1.1299999999999999</v>
      </c>
      <c r="G397">
        <v>2.78</v>
      </c>
      <c r="H397">
        <v>3.1</v>
      </c>
      <c r="I397">
        <v>4.8499999999999996</v>
      </c>
      <c r="J397">
        <v>5.98</v>
      </c>
      <c r="K397">
        <v>6.38</v>
      </c>
      <c r="M397" s="3"/>
      <c r="N397" s="17"/>
      <c r="O397" s="17"/>
      <c r="P397" s="17"/>
      <c r="Q397" s="17"/>
      <c r="R397" s="17"/>
      <c r="S397" s="17"/>
      <c r="T397" s="17"/>
      <c r="U397" s="17"/>
      <c r="V397" s="17"/>
      <c r="AE397" s="2"/>
      <c r="AQ397" s="2"/>
      <c r="AR397" s="2"/>
      <c r="AS397" s="2"/>
      <c r="AT397" s="2"/>
      <c r="AU397" s="2"/>
      <c r="AV397" s="2"/>
      <c r="AW397" s="2"/>
      <c r="AX397" s="2"/>
      <c r="AY397" s="2"/>
    </row>
    <row r="398" spans="1:51" x14ac:dyDescent="0.25">
      <c r="A398" s="24">
        <v>45197</v>
      </c>
      <c r="B398" s="1">
        <v>45197</v>
      </c>
      <c r="C398">
        <v>0.2</v>
      </c>
      <c r="D398">
        <v>0.41</v>
      </c>
      <c r="E398">
        <v>0.57999999999999996</v>
      </c>
      <c r="F398">
        <v>1.07</v>
      </c>
      <c r="G398">
        <v>2.78</v>
      </c>
      <c r="H398">
        <v>3.12</v>
      </c>
      <c r="I398">
        <v>4.88</v>
      </c>
      <c r="J398">
        <v>6.02</v>
      </c>
      <c r="K398">
        <v>6.44</v>
      </c>
      <c r="M398" s="3"/>
      <c r="N398" s="17"/>
      <c r="O398" s="17"/>
      <c r="P398" s="17"/>
      <c r="Q398" s="17"/>
      <c r="R398" s="17"/>
      <c r="S398" s="17"/>
      <c r="T398" s="17"/>
      <c r="U398" s="17"/>
      <c r="V398" s="17"/>
      <c r="AE398" s="2"/>
      <c r="AQ398" s="2"/>
      <c r="AR398" s="2"/>
      <c r="AS398" s="2"/>
      <c r="AT398" s="2"/>
      <c r="AU398" s="2"/>
      <c r="AV398" s="2"/>
      <c r="AW398" s="2"/>
      <c r="AX398" s="2"/>
      <c r="AY398" s="2"/>
    </row>
    <row r="399" spans="1:51" x14ac:dyDescent="0.25">
      <c r="A399" s="24">
        <v>45196</v>
      </c>
      <c r="B399" s="1">
        <v>45196</v>
      </c>
      <c r="C399">
        <v>0.2</v>
      </c>
      <c r="D399">
        <v>0.41</v>
      </c>
      <c r="E399">
        <v>0.55000000000000004</v>
      </c>
      <c r="F399">
        <v>1.07</v>
      </c>
      <c r="G399">
        <v>2.77</v>
      </c>
      <c r="H399">
        <v>3.1</v>
      </c>
      <c r="I399">
        <v>4.9000000000000004</v>
      </c>
      <c r="J399">
        <v>6.02</v>
      </c>
      <c r="K399">
        <v>6.44</v>
      </c>
      <c r="M399" s="3"/>
      <c r="N399" s="17"/>
      <c r="O399" s="17"/>
      <c r="P399" s="17"/>
      <c r="Q399" s="17"/>
      <c r="R399" s="17"/>
      <c r="S399" s="17"/>
      <c r="T399" s="17"/>
      <c r="U399" s="17"/>
      <c r="V399" s="17"/>
      <c r="AE399" s="2"/>
      <c r="AQ399" s="2"/>
      <c r="AR399" s="2"/>
      <c r="AS399" s="2"/>
      <c r="AT399" s="2"/>
      <c r="AU399" s="2"/>
      <c r="AV399" s="2"/>
      <c r="AW399" s="2"/>
      <c r="AX399" s="2"/>
      <c r="AY399" s="2"/>
    </row>
    <row r="400" spans="1:51" x14ac:dyDescent="0.25">
      <c r="A400" s="24">
        <v>45195</v>
      </c>
      <c r="B400" s="1">
        <v>45195</v>
      </c>
      <c r="C400">
        <v>0.2</v>
      </c>
      <c r="D400">
        <v>0.37</v>
      </c>
      <c r="E400">
        <v>0.53</v>
      </c>
      <c r="F400">
        <v>1.02</v>
      </c>
      <c r="G400">
        <v>2.7</v>
      </c>
      <c r="H400">
        <v>2.98</v>
      </c>
      <c r="I400">
        <v>4.92</v>
      </c>
      <c r="J400">
        <v>6.03</v>
      </c>
      <c r="K400">
        <v>6.45</v>
      </c>
      <c r="M400" s="3"/>
      <c r="N400" s="17"/>
      <c r="O400" s="17"/>
      <c r="P400" s="17"/>
      <c r="Q400" s="17"/>
      <c r="R400" s="17"/>
      <c r="S400" s="17"/>
      <c r="T400" s="17"/>
      <c r="U400" s="17"/>
      <c r="V400" s="17"/>
      <c r="AE400" s="2"/>
      <c r="AQ400" s="2"/>
      <c r="AR400" s="2"/>
      <c r="AS400" s="2"/>
      <c r="AT400" s="2"/>
      <c r="AU400" s="2"/>
      <c r="AV400" s="2"/>
      <c r="AW400" s="2"/>
      <c r="AX400" s="2"/>
      <c r="AY400" s="2"/>
    </row>
    <row r="401" spans="1:51" x14ac:dyDescent="0.25">
      <c r="A401" s="24">
        <v>45194</v>
      </c>
      <c r="B401" s="1">
        <v>45194</v>
      </c>
      <c r="C401">
        <v>0.19</v>
      </c>
      <c r="D401">
        <v>0.34</v>
      </c>
      <c r="E401">
        <v>0.5</v>
      </c>
      <c r="F401">
        <v>1.02</v>
      </c>
      <c r="G401">
        <v>2.7</v>
      </c>
      <c r="H401">
        <v>2.96</v>
      </c>
      <c r="I401">
        <v>4.92</v>
      </c>
      <c r="J401">
        <v>5.98</v>
      </c>
      <c r="K401">
        <v>6.38</v>
      </c>
      <c r="M401" s="3"/>
      <c r="N401" s="17"/>
      <c r="O401" s="17"/>
      <c r="P401" s="17"/>
      <c r="Q401" s="17"/>
      <c r="R401" s="17"/>
      <c r="S401" s="17"/>
      <c r="T401" s="17"/>
      <c r="U401" s="17"/>
      <c r="V401" s="17"/>
      <c r="AE401" s="2"/>
      <c r="AQ401" s="2"/>
      <c r="AR401" s="2"/>
      <c r="AS401" s="2"/>
      <c r="AT401" s="2"/>
      <c r="AU401" s="2"/>
      <c r="AV401" s="2"/>
      <c r="AW401" s="2"/>
      <c r="AX401" s="2"/>
      <c r="AY401" s="2"/>
    </row>
    <row r="402" spans="1:51" x14ac:dyDescent="0.25">
      <c r="A402" s="24">
        <v>45191</v>
      </c>
      <c r="B402" s="1">
        <v>45191</v>
      </c>
      <c r="C402">
        <v>0.21</v>
      </c>
      <c r="D402">
        <v>0.4</v>
      </c>
      <c r="E402">
        <v>0.53</v>
      </c>
      <c r="F402">
        <v>1.1000000000000001</v>
      </c>
      <c r="G402">
        <v>2.73</v>
      </c>
      <c r="H402">
        <v>3.09</v>
      </c>
      <c r="I402">
        <v>4.91</v>
      </c>
      <c r="J402">
        <v>5.92</v>
      </c>
      <c r="K402">
        <v>6.25</v>
      </c>
      <c r="M402" s="3"/>
      <c r="N402" s="17"/>
      <c r="O402" s="17"/>
      <c r="P402" s="17"/>
      <c r="Q402" s="17"/>
      <c r="R402" s="17"/>
      <c r="S402" s="17"/>
      <c r="T402" s="17"/>
      <c r="U402" s="17"/>
      <c r="V402" s="17"/>
      <c r="AE402" s="2"/>
      <c r="AQ402" s="2"/>
      <c r="AR402" s="2"/>
      <c r="AS402" s="2"/>
      <c r="AT402" s="2"/>
      <c r="AU402" s="2"/>
      <c r="AV402" s="2"/>
      <c r="AW402" s="2"/>
      <c r="AX402" s="2"/>
      <c r="AY402" s="2"/>
    </row>
    <row r="403" spans="1:51" x14ac:dyDescent="0.25">
      <c r="A403" s="24">
        <v>45190</v>
      </c>
      <c r="B403" s="1">
        <v>45190</v>
      </c>
      <c r="C403">
        <v>0.19</v>
      </c>
      <c r="D403">
        <v>0.32</v>
      </c>
      <c r="E403">
        <v>0.44</v>
      </c>
      <c r="F403">
        <v>1.02</v>
      </c>
      <c r="G403">
        <v>2.68</v>
      </c>
      <c r="H403">
        <v>3.02</v>
      </c>
      <c r="I403">
        <v>4.9000000000000004</v>
      </c>
      <c r="J403">
        <v>6</v>
      </c>
      <c r="K403">
        <v>6.38</v>
      </c>
      <c r="M403" s="3"/>
      <c r="N403" s="17"/>
      <c r="O403" s="17"/>
      <c r="P403" s="17"/>
      <c r="Q403" s="17"/>
      <c r="R403" s="17"/>
      <c r="S403" s="17"/>
      <c r="T403" s="17"/>
      <c r="U403" s="17"/>
      <c r="V403" s="17"/>
      <c r="AE403" s="2"/>
      <c r="AQ403" s="2"/>
      <c r="AR403" s="2"/>
      <c r="AS403" s="2"/>
      <c r="AT403" s="2"/>
      <c r="AU403" s="2"/>
      <c r="AV403" s="2"/>
      <c r="AW403" s="2"/>
      <c r="AX403" s="2"/>
      <c r="AY403" s="2"/>
    </row>
    <row r="404" spans="1:51" x14ac:dyDescent="0.25">
      <c r="A404" s="24">
        <v>45189</v>
      </c>
      <c r="B404" s="1">
        <v>45189</v>
      </c>
      <c r="C404">
        <v>0.19</v>
      </c>
      <c r="D404">
        <v>0.32</v>
      </c>
      <c r="E404">
        <v>0.46</v>
      </c>
      <c r="F404">
        <v>1.04</v>
      </c>
      <c r="G404">
        <v>2.66</v>
      </c>
      <c r="H404">
        <v>2.98</v>
      </c>
      <c r="I404">
        <v>4.9400000000000004</v>
      </c>
      <c r="J404">
        <v>5.93</v>
      </c>
      <c r="K404">
        <v>6.3</v>
      </c>
      <c r="M404" s="3"/>
      <c r="N404" s="17"/>
      <c r="O404" s="17"/>
      <c r="P404" s="17"/>
      <c r="Q404" s="17"/>
      <c r="R404" s="17"/>
      <c r="S404" s="17"/>
      <c r="T404" s="17"/>
      <c r="U404" s="17"/>
      <c r="V404" s="17"/>
      <c r="AE404" s="2"/>
      <c r="AQ404" s="2"/>
      <c r="AR404" s="2"/>
      <c r="AS404" s="2"/>
      <c r="AT404" s="2"/>
      <c r="AU404" s="2"/>
      <c r="AV404" s="2"/>
      <c r="AW404" s="2"/>
      <c r="AX404" s="2"/>
      <c r="AY404" s="2"/>
    </row>
    <row r="405" spans="1:51" x14ac:dyDescent="0.25">
      <c r="A405" s="24">
        <v>45188</v>
      </c>
      <c r="B405" s="1">
        <v>45188</v>
      </c>
      <c r="C405">
        <v>0.19</v>
      </c>
      <c r="D405">
        <v>0.34</v>
      </c>
      <c r="E405">
        <v>0.48</v>
      </c>
      <c r="F405">
        <v>1.07</v>
      </c>
      <c r="G405">
        <v>2.7</v>
      </c>
      <c r="H405">
        <v>3.04</v>
      </c>
      <c r="I405">
        <v>4.96</v>
      </c>
      <c r="J405">
        <v>5.97</v>
      </c>
      <c r="K405">
        <v>6.37</v>
      </c>
      <c r="M405" s="3"/>
      <c r="N405" s="17"/>
      <c r="O405" s="17"/>
      <c r="P405" s="17"/>
      <c r="Q405" s="17"/>
      <c r="R405" s="17"/>
      <c r="S405" s="17"/>
      <c r="T405" s="17"/>
      <c r="U405" s="17"/>
      <c r="V405" s="17"/>
      <c r="AE405" s="2"/>
      <c r="AQ405" s="2"/>
      <c r="AR405" s="2"/>
      <c r="AS405" s="2"/>
      <c r="AT405" s="2"/>
      <c r="AU405" s="2"/>
      <c r="AV405" s="2"/>
      <c r="AW405" s="2"/>
      <c r="AX405" s="2"/>
      <c r="AY405" s="2"/>
    </row>
    <row r="406" spans="1:51" x14ac:dyDescent="0.25">
      <c r="A406" s="24">
        <v>45187</v>
      </c>
      <c r="B406" s="1">
        <v>45187</v>
      </c>
      <c r="C406">
        <v>0.2</v>
      </c>
      <c r="D406">
        <v>0.34</v>
      </c>
      <c r="E406">
        <v>0.48</v>
      </c>
      <c r="F406">
        <v>1.1000000000000001</v>
      </c>
      <c r="G406">
        <v>2.68</v>
      </c>
      <c r="H406">
        <v>3.03</v>
      </c>
      <c r="I406">
        <v>4.93</v>
      </c>
      <c r="J406">
        <v>5.99</v>
      </c>
      <c r="K406">
        <v>6.38</v>
      </c>
      <c r="M406" s="3"/>
      <c r="N406" s="17"/>
      <c r="O406" s="17"/>
      <c r="P406" s="17"/>
      <c r="Q406" s="17"/>
      <c r="R406" s="17"/>
      <c r="S406" s="17"/>
      <c r="T406" s="17"/>
      <c r="U406" s="17"/>
      <c r="V406" s="17"/>
      <c r="AE406" s="2"/>
      <c r="AQ406" s="2"/>
      <c r="AR406" s="2"/>
      <c r="AS406" s="2"/>
      <c r="AT406" s="2"/>
      <c r="AU406" s="2"/>
      <c r="AV406" s="2"/>
      <c r="AW406" s="2"/>
      <c r="AX406" s="2"/>
      <c r="AY406" s="2"/>
    </row>
    <row r="407" spans="1:51" x14ac:dyDescent="0.25">
      <c r="A407" s="24">
        <v>45184</v>
      </c>
      <c r="B407" s="1">
        <v>45184</v>
      </c>
      <c r="C407">
        <v>0.2</v>
      </c>
      <c r="D407">
        <v>0.35</v>
      </c>
      <c r="E407">
        <v>0.49</v>
      </c>
      <c r="F407">
        <v>1.1000000000000001</v>
      </c>
      <c r="G407">
        <v>2.73</v>
      </c>
      <c r="H407">
        <v>3.07</v>
      </c>
      <c r="I407">
        <v>4.9400000000000004</v>
      </c>
      <c r="J407">
        <v>5.88</v>
      </c>
      <c r="K407">
        <v>6.22</v>
      </c>
      <c r="M407" s="3"/>
      <c r="N407" s="17"/>
      <c r="O407" s="17"/>
      <c r="P407" s="17"/>
      <c r="Q407" s="17"/>
      <c r="R407" s="17"/>
      <c r="S407" s="17"/>
      <c r="T407" s="17"/>
      <c r="U407" s="17"/>
      <c r="V407" s="17"/>
      <c r="AE407" s="2"/>
      <c r="AQ407" s="2"/>
      <c r="AR407" s="2"/>
      <c r="AS407" s="2"/>
      <c r="AT407" s="2"/>
      <c r="AU407" s="2"/>
      <c r="AV407" s="2"/>
      <c r="AW407" s="2"/>
      <c r="AX407" s="2"/>
      <c r="AY407" s="2"/>
    </row>
    <row r="408" spans="1:51" x14ac:dyDescent="0.25">
      <c r="A408" s="24">
        <v>45183</v>
      </c>
      <c r="B408" s="1">
        <v>45183</v>
      </c>
      <c r="C408">
        <v>0.2</v>
      </c>
      <c r="D408">
        <v>0.34</v>
      </c>
      <c r="E408">
        <v>0.48</v>
      </c>
      <c r="F408">
        <v>1.1200000000000001</v>
      </c>
      <c r="G408">
        <v>2.76</v>
      </c>
      <c r="H408">
        <v>3.04</v>
      </c>
      <c r="I408">
        <v>4.9800000000000004</v>
      </c>
      <c r="J408">
        <v>6</v>
      </c>
      <c r="K408">
        <v>6.38</v>
      </c>
      <c r="M408" s="3"/>
      <c r="N408" s="17"/>
      <c r="O408" s="17"/>
      <c r="P408" s="17"/>
      <c r="Q408" s="17"/>
      <c r="R408" s="17"/>
      <c r="S408" s="17"/>
      <c r="T408" s="17"/>
      <c r="U408" s="17"/>
      <c r="V408" s="17"/>
      <c r="AE408" s="2"/>
      <c r="AQ408" s="2"/>
      <c r="AR408" s="2"/>
      <c r="AS408" s="2"/>
      <c r="AT408" s="2"/>
      <c r="AU408" s="2"/>
      <c r="AV408" s="2"/>
      <c r="AW408" s="2"/>
      <c r="AX408" s="2"/>
      <c r="AY408" s="2"/>
    </row>
    <row r="409" spans="1:51" x14ac:dyDescent="0.25">
      <c r="A409" s="24">
        <v>45182</v>
      </c>
      <c r="B409" s="1">
        <v>45182</v>
      </c>
      <c r="C409">
        <v>0.2</v>
      </c>
      <c r="D409">
        <v>0.38</v>
      </c>
      <c r="E409">
        <v>0.51</v>
      </c>
      <c r="F409">
        <v>1.18</v>
      </c>
      <c r="G409">
        <v>2.8</v>
      </c>
      <c r="H409">
        <v>3.1</v>
      </c>
      <c r="I409">
        <v>4.9800000000000004</v>
      </c>
      <c r="J409">
        <v>5.93</v>
      </c>
      <c r="K409">
        <v>6.29</v>
      </c>
      <c r="M409" s="3"/>
      <c r="N409" s="17"/>
      <c r="O409" s="17"/>
      <c r="P409" s="17"/>
      <c r="Q409" s="17"/>
      <c r="R409" s="17"/>
      <c r="S409" s="17"/>
      <c r="T409" s="17"/>
      <c r="U409" s="17"/>
      <c r="V409" s="17"/>
      <c r="AE409" s="2"/>
      <c r="AQ409" s="2"/>
      <c r="AR409" s="2"/>
      <c r="AS409" s="2"/>
      <c r="AT409" s="2"/>
      <c r="AU409" s="2"/>
      <c r="AV409" s="2"/>
      <c r="AW409" s="2"/>
      <c r="AX409" s="2"/>
      <c r="AY409" s="2"/>
    </row>
    <row r="410" spans="1:51" x14ac:dyDescent="0.25">
      <c r="A410" s="24">
        <v>45181</v>
      </c>
      <c r="B410" s="1">
        <v>45181</v>
      </c>
      <c r="C410">
        <v>0.2</v>
      </c>
      <c r="D410">
        <v>0.38</v>
      </c>
      <c r="E410">
        <v>0.51</v>
      </c>
      <c r="F410">
        <v>1.2</v>
      </c>
      <c r="G410">
        <v>2.8</v>
      </c>
      <c r="H410">
        <v>3.1</v>
      </c>
      <c r="I410">
        <v>4.97</v>
      </c>
      <c r="J410">
        <v>5.93</v>
      </c>
      <c r="K410">
        <v>6.27</v>
      </c>
      <c r="M410" s="3"/>
      <c r="N410" s="17"/>
      <c r="O410" s="17"/>
      <c r="P410" s="17"/>
      <c r="Q410" s="17"/>
      <c r="R410" s="17"/>
      <c r="S410" s="17"/>
      <c r="T410" s="17"/>
      <c r="U410" s="17"/>
      <c r="V410" s="17"/>
      <c r="AE410" s="2"/>
      <c r="AQ410" s="2"/>
      <c r="AR410" s="2"/>
      <c r="AS410" s="2"/>
      <c r="AT410" s="2"/>
      <c r="AU410" s="2"/>
      <c r="AV410" s="2"/>
      <c r="AW410" s="2"/>
      <c r="AX410" s="2"/>
      <c r="AY410" s="2"/>
    </row>
    <row r="411" spans="1:51" x14ac:dyDescent="0.25">
      <c r="A411" s="24">
        <v>45180</v>
      </c>
      <c r="B411" s="1">
        <v>45180</v>
      </c>
      <c r="C411">
        <v>0.2</v>
      </c>
      <c r="D411">
        <v>0.4</v>
      </c>
      <c r="E411">
        <v>0.52</v>
      </c>
      <c r="F411">
        <v>1.28</v>
      </c>
      <c r="G411">
        <v>2.82</v>
      </c>
      <c r="H411">
        <v>3.18</v>
      </c>
      <c r="I411">
        <v>5.04</v>
      </c>
      <c r="J411">
        <v>6</v>
      </c>
      <c r="K411">
        <v>6.38</v>
      </c>
      <c r="M411" s="3"/>
      <c r="N411" s="17"/>
      <c r="O411" s="17"/>
      <c r="P411" s="17"/>
      <c r="Q411" s="17"/>
      <c r="R411" s="17"/>
      <c r="S411" s="17"/>
      <c r="T411" s="17"/>
      <c r="U411" s="17"/>
      <c r="V411" s="17"/>
      <c r="AE411" s="2"/>
      <c r="AQ411" s="2"/>
      <c r="AR411" s="2"/>
      <c r="AS411" s="2"/>
      <c r="AT411" s="2"/>
      <c r="AU411" s="2"/>
      <c r="AV411" s="2"/>
      <c r="AW411" s="2"/>
      <c r="AX411" s="2"/>
      <c r="AY411" s="2"/>
    </row>
    <row r="412" spans="1:51" x14ac:dyDescent="0.25">
      <c r="A412" s="24">
        <v>45177</v>
      </c>
      <c r="B412" s="1">
        <v>45177</v>
      </c>
      <c r="C412">
        <v>0.2</v>
      </c>
      <c r="D412">
        <v>0.4</v>
      </c>
      <c r="E412">
        <v>0.54</v>
      </c>
      <c r="F412">
        <v>1.32</v>
      </c>
      <c r="G412">
        <v>2.88</v>
      </c>
      <c r="H412">
        <v>3.2</v>
      </c>
      <c r="I412">
        <v>5.1100000000000003</v>
      </c>
      <c r="J412">
        <v>6.05</v>
      </c>
      <c r="K412">
        <v>6.43</v>
      </c>
      <c r="M412" s="3"/>
      <c r="N412" s="17"/>
      <c r="O412" s="17"/>
      <c r="P412" s="17"/>
      <c r="Q412" s="17"/>
      <c r="R412" s="17"/>
      <c r="S412" s="17"/>
      <c r="T412" s="17"/>
      <c r="U412" s="17"/>
      <c r="V412" s="17"/>
      <c r="AE412" s="2"/>
      <c r="AQ412" s="2"/>
      <c r="AR412" s="2"/>
      <c r="AS412" s="2"/>
      <c r="AT412" s="2"/>
      <c r="AU412" s="2"/>
      <c r="AV412" s="2"/>
      <c r="AW412" s="2"/>
      <c r="AX412" s="2"/>
      <c r="AY412" s="2"/>
    </row>
    <row r="413" spans="1:51" x14ac:dyDescent="0.25">
      <c r="A413" s="24">
        <v>45176</v>
      </c>
      <c r="B413" s="1">
        <v>45176</v>
      </c>
      <c r="C413">
        <v>0.2</v>
      </c>
      <c r="D413">
        <v>0.44</v>
      </c>
      <c r="E413">
        <v>0.59</v>
      </c>
      <c r="F413">
        <v>1.44</v>
      </c>
      <c r="G413">
        <v>2.97</v>
      </c>
      <c r="H413">
        <v>3.24</v>
      </c>
      <c r="I413">
        <v>5.1100000000000003</v>
      </c>
      <c r="J413">
        <v>6.06</v>
      </c>
      <c r="K413">
        <v>6.45</v>
      </c>
      <c r="M413" s="3"/>
      <c r="N413" s="17"/>
      <c r="O413" s="17"/>
      <c r="P413" s="17"/>
      <c r="Q413" s="17"/>
      <c r="R413" s="17"/>
      <c r="S413" s="17"/>
      <c r="T413" s="17"/>
      <c r="U413" s="17"/>
      <c r="V413" s="17"/>
      <c r="AE413" s="2"/>
      <c r="AQ413" s="2"/>
      <c r="AR413" s="2"/>
      <c r="AS413" s="2"/>
      <c r="AT413" s="2"/>
      <c r="AU413" s="2"/>
      <c r="AV413" s="2"/>
      <c r="AW413" s="2"/>
      <c r="AX413" s="2"/>
      <c r="AY413" s="2"/>
    </row>
    <row r="414" spans="1:51" x14ac:dyDescent="0.25">
      <c r="A414" s="24">
        <v>45175</v>
      </c>
      <c r="B414" s="1">
        <v>45175</v>
      </c>
      <c r="C414">
        <v>0.2</v>
      </c>
      <c r="D414">
        <v>0.42</v>
      </c>
      <c r="E414">
        <v>0.57999999999999996</v>
      </c>
      <c r="F414">
        <v>1.42</v>
      </c>
      <c r="G414">
        <v>2.94</v>
      </c>
      <c r="H414">
        <v>3.21</v>
      </c>
      <c r="I414">
        <v>5.04</v>
      </c>
      <c r="J414">
        <v>6.02</v>
      </c>
      <c r="K414">
        <v>6.4</v>
      </c>
      <c r="M414" s="3"/>
      <c r="N414" s="17"/>
      <c r="O414" s="17"/>
      <c r="P414" s="17"/>
      <c r="Q414" s="17"/>
      <c r="R414" s="17"/>
      <c r="S414" s="17"/>
      <c r="T414" s="17"/>
      <c r="U414" s="17"/>
      <c r="V414" s="17"/>
      <c r="AE414" s="2"/>
      <c r="AQ414" s="2"/>
      <c r="AR414" s="2"/>
      <c r="AS414" s="2"/>
      <c r="AT414" s="2"/>
      <c r="AU414" s="2"/>
      <c r="AV414" s="2"/>
      <c r="AW414" s="2"/>
      <c r="AX414" s="2"/>
      <c r="AY414" s="2"/>
    </row>
    <row r="415" spans="1:51" x14ac:dyDescent="0.25">
      <c r="A415" s="24">
        <v>45174</v>
      </c>
      <c r="B415" s="1">
        <v>45174</v>
      </c>
      <c r="C415">
        <v>0.21</v>
      </c>
      <c r="D415">
        <v>0.42</v>
      </c>
      <c r="E415">
        <v>0.6</v>
      </c>
      <c r="F415">
        <v>1.42</v>
      </c>
      <c r="G415">
        <v>2.98</v>
      </c>
      <c r="H415">
        <v>3.26</v>
      </c>
      <c r="I415">
        <v>5.17</v>
      </c>
      <c r="J415">
        <v>6.09</v>
      </c>
      <c r="K415">
        <v>6.48</v>
      </c>
      <c r="M415" s="3"/>
      <c r="N415" s="17"/>
      <c r="O415" s="17"/>
      <c r="P415" s="17"/>
      <c r="Q415" s="17"/>
      <c r="R415" s="17"/>
      <c r="S415" s="17"/>
      <c r="T415" s="17"/>
      <c r="U415" s="17"/>
      <c r="V415" s="17"/>
      <c r="AE415" s="2"/>
      <c r="AQ415" s="2"/>
      <c r="AR415" s="2"/>
      <c r="AS415" s="2"/>
      <c r="AT415" s="2"/>
      <c r="AU415" s="2"/>
      <c r="AV415" s="2"/>
      <c r="AW415" s="2"/>
      <c r="AX415" s="2"/>
      <c r="AY415" s="2"/>
    </row>
    <row r="416" spans="1:51" x14ac:dyDescent="0.25">
      <c r="A416" s="24">
        <v>45169</v>
      </c>
      <c r="B416" s="1">
        <v>45169</v>
      </c>
      <c r="C416">
        <v>0.28999999999999998</v>
      </c>
      <c r="D416">
        <v>0.4</v>
      </c>
      <c r="E416">
        <v>0.56999999999999995</v>
      </c>
      <c r="F416">
        <v>1.37</v>
      </c>
      <c r="G416">
        <v>2.95</v>
      </c>
      <c r="H416">
        <v>3.22</v>
      </c>
      <c r="I416">
        <v>5.08</v>
      </c>
      <c r="J416">
        <v>6</v>
      </c>
      <c r="K416">
        <v>6.42</v>
      </c>
      <c r="M416" s="3"/>
      <c r="N416" s="17"/>
      <c r="O416" s="17"/>
      <c r="P416" s="17"/>
      <c r="Q416" s="17"/>
      <c r="R416" s="17"/>
      <c r="S416" s="17"/>
      <c r="T416" s="17"/>
      <c r="U416" s="17"/>
      <c r="V416" s="17"/>
      <c r="AE416" s="2"/>
      <c r="AQ416" s="2"/>
      <c r="AR416" s="2"/>
      <c r="AS416" s="2"/>
      <c r="AT416" s="2"/>
      <c r="AU416" s="2"/>
      <c r="AV416" s="2"/>
      <c r="AW416" s="2"/>
      <c r="AX416" s="2"/>
      <c r="AY416" s="2"/>
    </row>
    <row r="417" spans="1:51" x14ac:dyDescent="0.25">
      <c r="A417" s="24">
        <v>45168</v>
      </c>
      <c r="B417" s="1">
        <v>45168</v>
      </c>
      <c r="C417">
        <v>0.2</v>
      </c>
      <c r="D417">
        <v>0.4</v>
      </c>
      <c r="E417">
        <v>0.57999999999999996</v>
      </c>
      <c r="F417">
        <v>1.41</v>
      </c>
      <c r="G417">
        <v>3.02</v>
      </c>
      <c r="H417">
        <v>3.28</v>
      </c>
      <c r="I417">
        <v>5.13</v>
      </c>
      <c r="J417">
        <v>6.07</v>
      </c>
      <c r="K417">
        <v>6.5</v>
      </c>
      <c r="M417" s="3"/>
      <c r="N417" s="17"/>
      <c r="O417" s="17"/>
      <c r="P417" s="17"/>
      <c r="Q417" s="17"/>
      <c r="R417" s="17"/>
      <c r="S417" s="17"/>
      <c r="T417" s="17"/>
      <c r="U417" s="17"/>
      <c r="V417" s="17"/>
      <c r="AE417" s="2"/>
      <c r="AQ417" s="2"/>
      <c r="AR417" s="2"/>
      <c r="AS417" s="2"/>
      <c r="AT417" s="2"/>
      <c r="AU417" s="2"/>
      <c r="AV417" s="2"/>
      <c r="AW417" s="2"/>
      <c r="AX417" s="2"/>
      <c r="AY417" s="2"/>
    </row>
    <row r="418" spans="1:51" x14ac:dyDescent="0.25">
      <c r="A418" s="24">
        <v>45167</v>
      </c>
      <c r="B418" s="1">
        <v>45167</v>
      </c>
      <c r="C418">
        <v>0.2</v>
      </c>
      <c r="D418">
        <v>0.4</v>
      </c>
      <c r="E418">
        <v>0.6</v>
      </c>
      <c r="F418">
        <v>1.42</v>
      </c>
      <c r="G418">
        <v>3.02</v>
      </c>
      <c r="H418">
        <v>3.3</v>
      </c>
      <c r="I418">
        <v>5.13</v>
      </c>
      <c r="J418">
        <v>6.04</v>
      </c>
      <c r="K418">
        <v>6.43</v>
      </c>
      <c r="M418" s="3"/>
      <c r="N418" s="17"/>
      <c r="O418" s="17"/>
      <c r="P418" s="17"/>
      <c r="Q418" s="17"/>
      <c r="R418" s="17"/>
      <c r="S418" s="17"/>
      <c r="T418" s="17"/>
      <c r="U418" s="17"/>
      <c r="V418" s="17"/>
      <c r="AE418" s="2"/>
      <c r="AQ418" s="2"/>
      <c r="AR418" s="2"/>
      <c r="AS418" s="2"/>
      <c r="AT418" s="2"/>
      <c r="AU418" s="2"/>
      <c r="AV418" s="2"/>
      <c r="AW418" s="2"/>
      <c r="AX418" s="2"/>
      <c r="AY418" s="2"/>
    </row>
    <row r="419" spans="1:51" x14ac:dyDescent="0.25">
      <c r="A419" s="24">
        <v>45166</v>
      </c>
      <c r="B419" s="1">
        <v>45166</v>
      </c>
      <c r="C419">
        <v>0.2</v>
      </c>
      <c r="D419">
        <v>0.42</v>
      </c>
      <c r="E419">
        <v>0.57999999999999996</v>
      </c>
      <c r="F419">
        <v>1.44</v>
      </c>
      <c r="G419">
        <v>3.03</v>
      </c>
      <c r="H419">
        <v>3.28</v>
      </c>
      <c r="I419">
        <v>5.15</v>
      </c>
      <c r="J419">
        <v>6.09</v>
      </c>
      <c r="K419">
        <v>6.5</v>
      </c>
      <c r="M419" s="3"/>
      <c r="N419" s="17"/>
      <c r="O419" s="17"/>
      <c r="P419" s="17"/>
      <c r="Q419" s="17"/>
      <c r="R419" s="17"/>
      <c r="S419" s="17"/>
      <c r="T419" s="17"/>
      <c r="U419" s="17"/>
      <c r="V419" s="17"/>
      <c r="AE419" s="2"/>
      <c r="AQ419" s="2"/>
      <c r="AR419" s="2"/>
      <c r="AS419" s="2"/>
      <c r="AT419" s="2"/>
      <c r="AU419" s="2"/>
      <c r="AV419" s="2"/>
      <c r="AW419" s="2"/>
      <c r="AX419" s="2"/>
      <c r="AY419" s="2"/>
    </row>
    <row r="420" spans="1:51" x14ac:dyDescent="0.25">
      <c r="A420" s="24">
        <v>45163</v>
      </c>
      <c r="B420" s="1">
        <v>45163</v>
      </c>
      <c r="C420">
        <v>0.2</v>
      </c>
      <c r="D420">
        <v>0.39</v>
      </c>
      <c r="E420">
        <v>0.56000000000000005</v>
      </c>
      <c r="F420">
        <v>1.46</v>
      </c>
      <c r="G420">
        <v>3.02</v>
      </c>
      <c r="H420">
        <v>3.32</v>
      </c>
      <c r="I420">
        <v>5.24</v>
      </c>
      <c r="J420">
        <v>6.11</v>
      </c>
      <c r="K420">
        <v>6.53</v>
      </c>
      <c r="M420" s="3"/>
      <c r="N420" s="17"/>
      <c r="O420" s="17"/>
      <c r="P420" s="17"/>
      <c r="Q420" s="17"/>
      <c r="R420" s="17"/>
      <c r="S420" s="17"/>
      <c r="T420" s="17"/>
      <c r="U420" s="17"/>
      <c r="V420" s="17"/>
      <c r="AE420" s="2"/>
      <c r="AQ420" s="2"/>
      <c r="AR420" s="2"/>
      <c r="AS420" s="2"/>
      <c r="AT420" s="2"/>
      <c r="AU420" s="2"/>
      <c r="AV420" s="2"/>
      <c r="AW420" s="2"/>
      <c r="AX420" s="2"/>
      <c r="AY420" s="2"/>
    </row>
    <row r="421" spans="1:51" x14ac:dyDescent="0.25">
      <c r="A421" s="24">
        <v>45162</v>
      </c>
      <c r="B421" s="1">
        <v>45162</v>
      </c>
      <c r="C421">
        <v>0.2</v>
      </c>
      <c r="D421">
        <v>0.4</v>
      </c>
      <c r="E421">
        <v>0.57999999999999996</v>
      </c>
      <c r="F421">
        <v>1.48</v>
      </c>
      <c r="G421">
        <v>3.05</v>
      </c>
      <c r="H421">
        <v>3.4</v>
      </c>
      <c r="I421">
        <v>5.23</v>
      </c>
      <c r="J421">
        <v>6.11</v>
      </c>
      <c r="K421">
        <v>6.5</v>
      </c>
      <c r="M421" s="3"/>
      <c r="N421" s="17"/>
      <c r="O421" s="17"/>
      <c r="P421" s="17"/>
      <c r="Q421" s="17"/>
      <c r="R421" s="17"/>
      <c r="S421" s="17"/>
      <c r="T421" s="17"/>
      <c r="U421" s="17"/>
      <c r="V421" s="17"/>
      <c r="AE421" s="2"/>
      <c r="AQ421" s="2"/>
      <c r="AR421" s="2"/>
      <c r="AS421" s="2"/>
      <c r="AT421" s="2"/>
      <c r="AU421" s="2"/>
      <c r="AV421" s="2"/>
      <c r="AW421" s="2"/>
      <c r="AX421" s="2"/>
      <c r="AY421" s="2"/>
    </row>
    <row r="422" spans="1:51" x14ac:dyDescent="0.25">
      <c r="A422" s="24">
        <v>45161</v>
      </c>
      <c r="B422" s="1">
        <v>45161</v>
      </c>
      <c r="C422">
        <v>0.2</v>
      </c>
      <c r="D422">
        <v>0.39</v>
      </c>
      <c r="E422">
        <v>0.61</v>
      </c>
      <c r="F422">
        <v>1.49</v>
      </c>
      <c r="G422">
        <v>3.07</v>
      </c>
      <c r="H422">
        <v>3.38</v>
      </c>
      <c r="I422">
        <v>5.17</v>
      </c>
      <c r="J422">
        <v>6.1</v>
      </c>
      <c r="K422">
        <v>6.53</v>
      </c>
      <c r="M422" s="3"/>
      <c r="N422" s="17"/>
      <c r="O422" s="17"/>
      <c r="P422" s="17"/>
      <c r="Q422" s="17"/>
      <c r="R422" s="17"/>
      <c r="S422" s="17"/>
      <c r="T422" s="17"/>
      <c r="U422" s="17"/>
      <c r="V422" s="17"/>
      <c r="AE422" s="2"/>
      <c r="AQ422" s="2"/>
      <c r="AR422" s="2"/>
      <c r="AS422" s="2"/>
      <c r="AT422" s="2"/>
      <c r="AU422" s="2"/>
      <c r="AV422" s="2"/>
      <c r="AW422" s="2"/>
      <c r="AX422" s="2"/>
      <c r="AY422" s="2"/>
    </row>
    <row r="423" spans="1:51" x14ac:dyDescent="0.25">
      <c r="A423" s="24">
        <v>45160</v>
      </c>
      <c r="B423" s="1">
        <v>45160</v>
      </c>
      <c r="C423">
        <v>0.2</v>
      </c>
      <c r="D423">
        <v>0.39</v>
      </c>
      <c r="E423">
        <v>0.6</v>
      </c>
      <c r="F423">
        <v>1.51</v>
      </c>
      <c r="G423">
        <v>3.07</v>
      </c>
      <c r="H423">
        <v>3.41</v>
      </c>
      <c r="I423">
        <v>5.14</v>
      </c>
      <c r="J423">
        <v>6.12</v>
      </c>
      <c r="K423">
        <v>6.55</v>
      </c>
      <c r="M423" s="3"/>
      <c r="N423" s="17"/>
      <c r="O423" s="17"/>
      <c r="P423" s="17"/>
      <c r="Q423" s="17"/>
      <c r="R423" s="17"/>
      <c r="S423" s="17"/>
      <c r="T423" s="17"/>
      <c r="U423" s="17"/>
      <c r="V423" s="17"/>
      <c r="AE423" s="2"/>
      <c r="AQ423" s="2"/>
      <c r="AR423" s="2"/>
      <c r="AS423" s="2"/>
      <c r="AT423" s="2"/>
      <c r="AU423" s="2"/>
      <c r="AV423" s="2"/>
      <c r="AW423" s="2"/>
      <c r="AX423" s="2"/>
      <c r="AY423" s="2"/>
    </row>
    <row r="424" spans="1:51" x14ac:dyDescent="0.25">
      <c r="A424" s="24">
        <v>45159</v>
      </c>
      <c r="B424" s="1">
        <v>45159</v>
      </c>
      <c r="C424">
        <v>0.21</v>
      </c>
      <c r="D424">
        <v>0.43</v>
      </c>
      <c r="E424">
        <v>0.64</v>
      </c>
      <c r="F424">
        <v>1.59</v>
      </c>
      <c r="G424">
        <v>3.16</v>
      </c>
      <c r="H424">
        <v>3.48</v>
      </c>
      <c r="I424">
        <v>5.36</v>
      </c>
      <c r="J424">
        <v>6.16</v>
      </c>
      <c r="K424">
        <v>6.56</v>
      </c>
      <c r="M424" s="3"/>
      <c r="N424" s="17"/>
      <c r="O424" s="17"/>
      <c r="P424" s="17"/>
      <c r="Q424" s="17"/>
      <c r="R424" s="17"/>
      <c r="S424" s="17"/>
      <c r="T424" s="17"/>
      <c r="U424" s="17"/>
      <c r="V424" s="17"/>
      <c r="AE424" s="2"/>
      <c r="AQ424" s="2"/>
      <c r="AR424" s="2"/>
      <c r="AS424" s="2"/>
      <c r="AT424" s="2"/>
      <c r="AU424" s="2"/>
      <c r="AV424" s="2"/>
      <c r="AW424" s="2"/>
      <c r="AX424" s="2"/>
      <c r="AY424" s="2"/>
    </row>
    <row r="425" spans="1:51" x14ac:dyDescent="0.25">
      <c r="A425" s="24">
        <v>45156</v>
      </c>
      <c r="B425" s="1">
        <v>45156</v>
      </c>
      <c r="C425">
        <v>0.2</v>
      </c>
      <c r="D425">
        <v>0.4</v>
      </c>
      <c r="E425">
        <v>0.63</v>
      </c>
      <c r="F425">
        <v>1.63</v>
      </c>
      <c r="G425">
        <v>3.15</v>
      </c>
      <c r="H425">
        <v>3.5</v>
      </c>
      <c r="I425">
        <v>5.25</v>
      </c>
      <c r="J425">
        <v>6.14</v>
      </c>
      <c r="K425">
        <v>6.62</v>
      </c>
      <c r="M425" s="3"/>
      <c r="N425" s="17"/>
      <c r="O425" s="17"/>
      <c r="P425" s="17"/>
      <c r="Q425" s="17"/>
      <c r="R425" s="17"/>
      <c r="S425" s="17"/>
      <c r="T425" s="17"/>
      <c r="U425" s="17"/>
      <c r="V425" s="17"/>
      <c r="AE425" s="2"/>
      <c r="AQ425" s="2"/>
      <c r="AR425" s="2"/>
      <c r="AS425" s="2"/>
      <c r="AT425" s="2"/>
      <c r="AU425" s="2"/>
      <c r="AV425" s="2"/>
      <c r="AW425" s="2"/>
      <c r="AX425" s="2"/>
      <c r="AY425" s="2"/>
    </row>
    <row r="426" spans="1:51" x14ac:dyDescent="0.25">
      <c r="A426" s="24">
        <v>45155</v>
      </c>
      <c r="B426" s="1">
        <v>45155</v>
      </c>
      <c r="C426">
        <v>0.22</v>
      </c>
      <c r="D426">
        <v>0.42</v>
      </c>
      <c r="E426">
        <v>0.63</v>
      </c>
      <c r="F426">
        <v>1.65</v>
      </c>
      <c r="G426">
        <v>3.2</v>
      </c>
      <c r="H426">
        <v>3.55</v>
      </c>
      <c r="I426">
        <v>5.3</v>
      </c>
      <c r="J426">
        <v>6.18</v>
      </c>
      <c r="K426">
        <v>6.62</v>
      </c>
      <c r="M426" s="3"/>
      <c r="N426" s="17"/>
      <c r="O426" s="17"/>
      <c r="P426" s="17"/>
      <c r="Q426" s="17"/>
      <c r="R426" s="17"/>
      <c r="S426" s="17"/>
      <c r="T426" s="17"/>
      <c r="U426" s="17"/>
      <c r="V426" s="17"/>
      <c r="AE426" s="2"/>
      <c r="AQ426" s="2"/>
      <c r="AR426" s="2"/>
      <c r="AS426" s="2"/>
      <c r="AT426" s="2"/>
      <c r="AU426" s="2"/>
      <c r="AV426" s="2"/>
      <c r="AW426" s="2"/>
      <c r="AX426" s="2"/>
      <c r="AY426" s="2"/>
    </row>
    <row r="427" spans="1:51" x14ac:dyDescent="0.25">
      <c r="A427" s="24">
        <v>45154</v>
      </c>
      <c r="B427" s="1">
        <v>45154</v>
      </c>
      <c r="C427">
        <v>0.23</v>
      </c>
      <c r="D427">
        <v>0.46</v>
      </c>
      <c r="E427">
        <v>0.66</v>
      </c>
      <c r="F427">
        <v>1.67</v>
      </c>
      <c r="G427">
        <v>3.2</v>
      </c>
      <c r="H427">
        <v>3.56</v>
      </c>
      <c r="I427">
        <v>5.3</v>
      </c>
      <c r="J427">
        <v>6.15</v>
      </c>
      <c r="K427">
        <v>6.62</v>
      </c>
      <c r="M427" s="3"/>
      <c r="N427" s="17"/>
      <c r="O427" s="17"/>
      <c r="P427" s="17"/>
      <c r="Q427" s="17"/>
      <c r="R427" s="17"/>
      <c r="S427" s="17"/>
      <c r="T427" s="17"/>
      <c r="U427" s="17"/>
      <c r="V427" s="17"/>
      <c r="AE427" s="2"/>
      <c r="AQ427" s="2"/>
      <c r="AR427" s="2"/>
      <c r="AS427" s="2"/>
      <c r="AT427" s="2"/>
      <c r="AU427" s="2"/>
      <c r="AV427" s="2"/>
      <c r="AW427" s="2"/>
      <c r="AX427" s="2"/>
      <c r="AY427" s="2"/>
    </row>
    <row r="428" spans="1:51" x14ac:dyDescent="0.25">
      <c r="A428" s="24">
        <v>45153</v>
      </c>
      <c r="B428" s="1">
        <v>45153</v>
      </c>
      <c r="C428">
        <v>0.22</v>
      </c>
      <c r="D428">
        <v>0.45</v>
      </c>
      <c r="E428">
        <v>0.65</v>
      </c>
      <c r="F428">
        <v>1.67</v>
      </c>
      <c r="G428">
        <v>3.2</v>
      </c>
      <c r="H428">
        <v>3.55</v>
      </c>
      <c r="I428">
        <v>5.3</v>
      </c>
      <c r="J428">
        <v>6.14</v>
      </c>
      <c r="K428">
        <v>6.56</v>
      </c>
      <c r="M428" s="3"/>
      <c r="N428" s="17"/>
      <c r="O428" s="17"/>
      <c r="P428" s="17"/>
      <c r="Q428" s="17"/>
      <c r="R428" s="17"/>
      <c r="S428" s="17"/>
      <c r="T428" s="17"/>
      <c r="U428" s="17"/>
      <c r="V428" s="17"/>
      <c r="AE428" s="2"/>
      <c r="AQ428" s="2"/>
      <c r="AR428" s="2"/>
      <c r="AS428" s="2"/>
      <c r="AT428" s="2"/>
      <c r="AU428" s="2"/>
      <c r="AV428" s="2"/>
      <c r="AW428" s="2"/>
      <c r="AX428" s="2"/>
      <c r="AY428" s="2"/>
    </row>
    <row r="429" spans="1:51" x14ac:dyDescent="0.25">
      <c r="A429" s="24">
        <v>45152</v>
      </c>
      <c r="B429" s="1">
        <v>45152</v>
      </c>
      <c r="C429">
        <v>0.21</v>
      </c>
      <c r="D429">
        <v>0.45</v>
      </c>
      <c r="E429">
        <v>0.65</v>
      </c>
      <c r="F429">
        <v>1.7</v>
      </c>
      <c r="G429">
        <v>3.25</v>
      </c>
      <c r="H429">
        <v>3.55</v>
      </c>
      <c r="I429">
        <v>5.33</v>
      </c>
      <c r="J429">
        <v>6.22</v>
      </c>
      <c r="K429">
        <v>6.6</v>
      </c>
      <c r="M429" s="3"/>
      <c r="N429" s="17"/>
      <c r="O429" s="17"/>
      <c r="P429" s="17"/>
      <c r="Q429" s="17"/>
      <c r="R429" s="17"/>
      <c r="S429" s="17"/>
      <c r="T429" s="17"/>
      <c r="U429" s="17"/>
      <c r="V429" s="17"/>
      <c r="AE429" s="2"/>
      <c r="AQ429" s="2"/>
      <c r="AR429" s="2"/>
      <c r="AS429" s="2"/>
      <c r="AT429" s="2"/>
      <c r="AU429" s="2"/>
      <c r="AV429" s="2"/>
      <c r="AW429" s="2"/>
      <c r="AX429" s="2"/>
      <c r="AY429" s="2"/>
    </row>
    <row r="430" spans="1:51" x14ac:dyDescent="0.25">
      <c r="A430" s="24">
        <v>45149</v>
      </c>
      <c r="B430" s="1">
        <v>45149</v>
      </c>
      <c r="C430">
        <v>0.21</v>
      </c>
      <c r="D430">
        <v>0.44</v>
      </c>
      <c r="E430">
        <v>0.67</v>
      </c>
      <c r="F430">
        <v>1.74</v>
      </c>
      <c r="G430">
        <v>3.2</v>
      </c>
      <c r="H430">
        <v>3.54</v>
      </c>
      <c r="I430">
        <v>5.42</v>
      </c>
      <c r="J430">
        <v>6.25</v>
      </c>
      <c r="K430">
        <v>6.7</v>
      </c>
      <c r="M430" s="3"/>
      <c r="N430" s="17"/>
      <c r="O430" s="17"/>
      <c r="P430" s="17"/>
      <c r="Q430" s="17"/>
      <c r="R430" s="17"/>
      <c r="S430" s="17"/>
      <c r="T430" s="17"/>
      <c r="U430" s="17"/>
      <c r="V430" s="17"/>
      <c r="AE430" s="2"/>
      <c r="AQ430" s="2"/>
      <c r="AR430" s="2"/>
      <c r="AS430" s="2"/>
      <c r="AT430" s="2"/>
      <c r="AU430" s="2"/>
      <c r="AV430" s="2"/>
      <c r="AW430" s="2"/>
      <c r="AX430" s="2"/>
      <c r="AY430" s="2"/>
    </row>
    <row r="431" spans="1:51" x14ac:dyDescent="0.25">
      <c r="A431" s="24">
        <v>45148</v>
      </c>
      <c r="B431" s="1">
        <v>45148</v>
      </c>
      <c r="C431">
        <v>0.25</v>
      </c>
      <c r="D431">
        <v>0.45</v>
      </c>
      <c r="E431">
        <v>0.68</v>
      </c>
      <c r="F431">
        <v>1.75</v>
      </c>
      <c r="G431">
        <v>3.27</v>
      </c>
      <c r="H431">
        <v>3.68</v>
      </c>
      <c r="I431">
        <v>5.32</v>
      </c>
      <c r="J431">
        <v>6.26</v>
      </c>
      <c r="K431">
        <v>6.68</v>
      </c>
      <c r="M431" s="3"/>
      <c r="N431" s="17"/>
      <c r="O431" s="17"/>
      <c r="P431" s="17"/>
      <c r="Q431" s="17"/>
      <c r="R431" s="17"/>
      <c r="S431" s="17"/>
      <c r="T431" s="17"/>
      <c r="U431" s="17"/>
      <c r="V431" s="17"/>
      <c r="AE431" s="2"/>
      <c r="AQ431" s="2"/>
      <c r="AR431" s="2"/>
      <c r="AS431" s="2"/>
      <c r="AT431" s="2"/>
      <c r="AU431" s="2"/>
      <c r="AV431" s="2"/>
      <c r="AW431" s="2"/>
      <c r="AX431" s="2"/>
      <c r="AY431" s="2"/>
    </row>
    <row r="432" spans="1:51" x14ac:dyDescent="0.25">
      <c r="A432" s="24">
        <v>45147</v>
      </c>
      <c r="B432" s="1">
        <v>45147</v>
      </c>
      <c r="C432">
        <v>0.23</v>
      </c>
      <c r="D432">
        <v>0.48</v>
      </c>
      <c r="E432">
        <v>0.69</v>
      </c>
      <c r="F432">
        <v>1.88</v>
      </c>
      <c r="G432">
        <v>3.2</v>
      </c>
      <c r="H432">
        <v>3.63</v>
      </c>
      <c r="I432">
        <v>5.43</v>
      </c>
      <c r="J432">
        <v>6.2</v>
      </c>
      <c r="K432">
        <v>6.72</v>
      </c>
      <c r="M432" s="3"/>
      <c r="N432" s="17"/>
      <c r="O432" s="17"/>
      <c r="P432" s="17"/>
      <c r="Q432" s="17"/>
      <c r="R432" s="17"/>
      <c r="S432" s="17"/>
      <c r="T432" s="17"/>
      <c r="U432" s="17"/>
      <c r="V432" s="17"/>
      <c r="AE432" s="2"/>
      <c r="AQ432" s="2"/>
      <c r="AR432" s="2"/>
      <c r="AS432" s="2"/>
      <c r="AT432" s="2"/>
      <c r="AU432" s="2"/>
      <c r="AV432" s="2"/>
      <c r="AW432" s="2"/>
      <c r="AX432" s="2"/>
      <c r="AY432" s="2"/>
    </row>
    <row r="433" spans="1:51" x14ac:dyDescent="0.25">
      <c r="A433" s="24">
        <v>45146</v>
      </c>
      <c r="B433" s="1">
        <v>45146</v>
      </c>
      <c r="C433">
        <v>0.22</v>
      </c>
      <c r="D433">
        <v>0.49</v>
      </c>
      <c r="E433">
        <v>0.7</v>
      </c>
      <c r="F433">
        <v>1.88</v>
      </c>
      <c r="G433">
        <v>3.28</v>
      </c>
      <c r="H433">
        <v>3.74</v>
      </c>
      <c r="I433">
        <v>5.44</v>
      </c>
      <c r="J433">
        <v>6.33</v>
      </c>
      <c r="K433">
        <v>6.83</v>
      </c>
      <c r="M433" s="3"/>
      <c r="N433" s="17"/>
      <c r="O433" s="17"/>
      <c r="P433" s="17"/>
      <c r="Q433" s="17"/>
      <c r="R433" s="17"/>
      <c r="S433" s="17"/>
      <c r="T433" s="17"/>
      <c r="U433" s="17"/>
      <c r="V433" s="17"/>
      <c r="AE433" s="2"/>
      <c r="AQ433" s="2"/>
      <c r="AR433" s="2"/>
      <c r="AS433" s="2"/>
      <c r="AT433" s="2"/>
      <c r="AU433" s="2"/>
      <c r="AV433" s="2"/>
      <c r="AW433" s="2"/>
      <c r="AX433" s="2"/>
      <c r="AY433" s="2"/>
    </row>
    <row r="434" spans="1:51" x14ac:dyDescent="0.25">
      <c r="A434" s="24">
        <v>45145</v>
      </c>
      <c r="B434" s="1">
        <v>45145</v>
      </c>
      <c r="C434">
        <v>0.26</v>
      </c>
      <c r="D434">
        <v>0.52</v>
      </c>
      <c r="E434">
        <v>0.74</v>
      </c>
      <c r="F434">
        <v>1.9</v>
      </c>
      <c r="G434">
        <v>3.32</v>
      </c>
      <c r="H434">
        <v>3.86</v>
      </c>
      <c r="I434">
        <v>5.42</v>
      </c>
      <c r="J434">
        <v>6.35</v>
      </c>
      <c r="K434">
        <v>6.78</v>
      </c>
      <c r="M434" s="3"/>
      <c r="N434" s="17"/>
      <c r="O434" s="17"/>
      <c r="P434" s="17"/>
      <c r="Q434" s="17"/>
      <c r="R434" s="17"/>
      <c r="S434" s="17"/>
      <c r="T434" s="17"/>
      <c r="U434" s="17"/>
      <c r="V434" s="17"/>
      <c r="AE434" s="2"/>
      <c r="AQ434" s="2"/>
      <c r="AR434" s="2"/>
      <c r="AS434" s="2"/>
      <c r="AT434" s="2"/>
      <c r="AU434" s="2"/>
      <c r="AV434" s="2"/>
      <c r="AW434" s="2"/>
      <c r="AX434" s="2"/>
      <c r="AY434" s="2"/>
    </row>
    <row r="435" spans="1:51" x14ac:dyDescent="0.25">
      <c r="A435" s="24">
        <v>45142</v>
      </c>
      <c r="B435" s="1">
        <v>45142</v>
      </c>
      <c r="C435">
        <v>0.26</v>
      </c>
      <c r="D435">
        <v>0.46</v>
      </c>
      <c r="E435">
        <v>0.7</v>
      </c>
      <c r="F435">
        <v>1.9</v>
      </c>
      <c r="G435">
        <v>3.29</v>
      </c>
      <c r="H435">
        <v>3.77</v>
      </c>
      <c r="I435">
        <v>5.39</v>
      </c>
      <c r="J435">
        <v>6.34</v>
      </c>
      <c r="K435">
        <v>6.78</v>
      </c>
      <c r="M435" s="3"/>
      <c r="N435" s="17"/>
      <c r="O435" s="17"/>
      <c r="P435" s="17"/>
      <c r="Q435" s="17"/>
      <c r="R435" s="17"/>
      <c r="S435" s="17"/>
      <c r="T435" s="17"/>
      <c r="U435" s="17"/>
      <c r="V435" s="17"/>
      <c r="AE435" s="2"/>
      <c r="AQ435" s="2"/>
      <c r="AR435" s="2"/>
      <c r="AS435" s="2"/>
      <c r="AT435" s="2"/>
      <c r="AU435" s="2"/>
      <c r="AV435" s="2"/>
      <c r="AW435" s="2"/>
      <c r="AX435" s="2"/>
      <c r="AY435" s="2"/>
    </row>
    <row r="436" spans="1:51" x14ac:dyDescent="0.25">
      <c r="A436" s="24">
        <v>45141</v>
      </c>
      <c r="B436" s="1">
        <v>45141</v>
      </c>
      <c r="C436">
        <v>0.27</v>
      </c>
      <c r="D436">
        <v>0.46</v>
      </c>
      <c r="E436">
        <v>0.72</v>
      </c>
      <c r="F436">
        <v>1.92</v>
      </c>
      <c r="G436">
        <v>3.4</v>
      </c>
      <c r="H436">
        <v>3.9</v>
      </c>
      <c r="I436">
        <v>5.45</v>
      </c>
      <c r="J436">
        <v>6.48</v>
      </c>
      <c r="K436">
        <v>6.76</v>
      </c>
      <c r="M436" s="3"/>
      <c r="N436" s="17"/>
      <c r="O436" s="17"/>
      <c r="P436" s="17"/>
      <c r="Q436" s="17"/>
      <c r="R436" s="17"/>
      <c r="S436" s="17"/>
      <c r="T436" s="17"/>
      <c r="U436" s="17"/>
      <c r="V436" s="17"/>
      <c r="AE436" s="2"/>
      <c r="AQ436" s="2"/>
      <c r="AR436" s="2"/>
      <c r="AS436" s="2"/>
      <c r="AT436" s="2"/>
      <c r="AU436" s="2"/>
      <c r="AV436" s="2"/>
      <c r="AW436" s="2"/>
      <c r="AX436" s="2"/>
      <c r="AY436" s="2"/>
    </row>
    <row r="437" spans="1:51" x14ac:dyDescent="0.25">
      <c r="A437" s="24">
        <v>45140</v>
      </c>
      <c r="B437" s="1">
        <v>45140</v>
      </c>
      <c r="C437">
        <v>0.26</v>
      </c>
      <c r="D437">
        <v>0.47</v>
      </c>
      <c r="E437">
        <v>0.7</v>
      </c>
      <c r="F437">
        <v>1.88</v>
      </c>
      <c r="G437">
        <v>3.42</v>
      </c>
      <c r="H437">
        <v>3.94</v>
      </c>
      <c r="I437">
        <v>5.44</v>
      </c>
      <c r="J437">
        <v>6.5</v>
      </c>
      <c r="K437">
        <v>6.85</v>
      </c>
      <c r="M437" s="3"/>
      <c r="N437" s="17"/>
      <c r="O437" s="17"/>
      <c r="P437" s="17"/>
      <c r="Q437" s="17"/>
      <c r="R437" s="17"/>
      <c r="S437" s="17"/>
      <c r="T437" s="17"/>
      <c r="U437" s="17"/>
      <c r="V437" s="17"/>
      <c r="AE437" s="2"/>
      <c r="AQ437" s="2"/>
      <c r="AR437" s="2"/>
      <c r="AS437" s="2"/>
      <c r="AT437" s="2"/>
      <c r="AU437" s="2"/>
      <c r="AV437" s="2"/>
      <c r="AW437" s="2"/>
      <c r="AX437" s="2"/>
      <c r="AY437" s="2"/>
    </row>
    <row r="438" spans="1:51" x14ac:dyDescent="0.25">
      <c r="A438" s="24">
        <v>45139</v>
      </c>
      <c r="B438" s="1">
        <v>45139</v>
      </c>
      <c r="C438">
        <v>0.22</v>
      </c>
      <c r="D438">
        <v>0.45</v>
      </c>
      <c r="E438">
        <v>0.67</v>
      </c>
      <c r="F438">
        <v>1.88</v>
      </c>
      <c r="G438">
        <v>3.4</v>
      </c>
      <c r="H438">
        <v>3.93</v>
      </c>
      <c r="I438">
        <v>5.47</v>
      </c>
      <c r="J438">
        <v>6.46</v>
      </c>
      <c r="K438">
        <v>6.84</v>
      </c>
      <c r="M438" s="3"/>
      <c r="N438" s="17"/>
      <c r="O438" s="17"/>
      <c r="P438" s="17"/>
      <c r="Q438" s="17"/>
      <c r="R438" s="17"/>
      <c r="S438" s="17"/>
      <c r="T438" s="17"/>
      <c r="U438" s="17"/>
      <c r="V438" s="17"/>
      <c r="AE438" s="2"/>
      <c r="AQ438" s="2"/>
      <c r="AR438" s="2"/>
      <c r="AS438" s="2"/>
      <c r="AT438" s="2"/>
      <c r="AU438" s="2"/>
      <c r="AV438" s="2"/>
      <c r="AW438" s="2"/>
      <c r="AX438" s="2"/>
      <c r="AY438" s="2"/>
    </row>
    <row r="439" spans="1:51" x14ac:dyDescent="0.25">
      <c r="A439" s="24">
        <v>45138</v>
      </c>
      <c r="B439" s="1">
        <v>45138</v>
      </c>
      <c r="C439">
        <v>0.24</v>
      </c>
      <c r="D439">
        <v>0.43</v>
      </c>
      <c r="E439">
        <v>0.64</v>
      </c>
      <c r="F439">
        <v>1.93</v>
      </c>
      <c r="G439">
        <v>3.4</v>
      </c>
      <c r="H439">
        <v>3.91</v>
      </c>
      <c r="I439">
        <v>5.44</v>
      </c>
      <c r="J439">
        <v>6.47</v>
      </c>
      <c r="K439">
        <v>6.72</v>
      </c>
      <c r="M439" s="3"/>
      <c r="N439" s="17"/>
      <c r="O439" s="17"/>
      <c r="P439" s="17"/>
      <c r="Q439" s="17"/>
      <c r="R439" s="17"/>
      <c r="S439" s="17"/>
      <c r="T439" s="17"/>
      <c r="U439" s="17"/>
      <c r="V439" s="17"/>
      <c r="AE439" s="2"/>
      <c r="AQ439" s="2"/>
      <c r="AR439" s="2"/>
      <c r="AS439" s="2"/>
      <c r="AT439" s="2"/>
      <c r="AU439" s="2"/>
      <c r="AV439" s="2"/>
      <c r="AW439" s="2"/>
      <c r="AX439" s="2"/>
      <c r="AY439" s="2"/>
    </row>
    <row r="440" spans="1:51" x14ac:dyDescent="0.25">
      <c r="A440" s="24">
        <v>45135</v>
      </c>
      <c r="B440" s="1">
        <v>45135</v>
      </c>
      <c r="C440">
        <v>0.23</v>
      </c>
      <c r="D440">
        <v>0.47</v>
      </c>
      <c r="E440">
        <v>0.7</v>
      </c>
      <c r="F440">
        <v>1.93</v>
      </c>
      <c r="G440">
        <v>3.45</v>
      </c>
      <c r="H440">
        <v>3.97</v>
      </c>
      <c r="I440">
        <v>5.48</v>
      </c>
      <c r="J440">
        <v>6.49</v>
      </c>
      <c r="K440">
        <v>6.79</v>
      </c>
      <c r="M440" s="3"/>
      <c r="N440" s="17"/>
      <c r="O440" s="17"/>
      <c r="P440" s="17"/>
      <c r="Q440" s="17"/>
      <c r="R440" s="17"/>
      <c r="S440" s="17"/>
      <c r="T440" s="17"/>
      <c r="U440" s="17"/>
      <c r="V440" s="17"/>
      <c r="AE440" s="2"/>
      <c r="AQ440" s="2"/>
      <c r="AR440" s="2"/>
      <c r="AS440" s="2"/>
      <c r="AT440" s="2"/>
      <c r="AU440" s="2"/>
      <c r="AV440" s="2"/>
      <c r="AW440" s="2"/>
      <c r="AX440" s="2"/>
      <c r="AY440" s="2"/>
    </row>
    <row r="441" spans="1:51" x14ac:dyDescent="0.25">
      <c r="A441" s="24">
        <v>45134</v>
      </c>
      <c r="B441" s="1">
        <v>45134</v>
      </c>
      <c r="C441">
        <v>0.22</v>
      </c>
      <c r="D441">
        <v>0.43</v>
      </c>
      <c r="E441">
        <v>0.67</v>
      </c>
      <c r="F441">
        <v>1.94</v>
      </c>
      <c r="G441">
        <v>3.49</v>
      </c>
      <c r="H441">
        <v>4</v>
      </c>
      <c r="I441">
        <v>5.49</v>
      </c>
      <c r="J441">
        <v>6.5</v>
      </c>
      <c r="K441">
        <v>6.82</v>
      </c>
      <c r="M441" s="3"/>
      <c r="N441" s="17"/>
      <c r="O441" s="17"/>
      <c r="P441" s="17"/>
      <c r="Q441" s="17"/>
      <c r="R441" s="17"/>
      <c r="S441" s="17"/>
      <c r="T441" s="17"/>
      <c r="U441" s="17"/>
      <c r="V441" s="17"/>
      <c r="AE441" s="2"/>
      <c r="AQ441" s="2"/>
      <c r="AR441" s="2"/>
      <c r="AS441" s="2"/>
      <c r="AT441" s="2"/>
      <c r="AU441" s="2"/>
      <c r="AV441" s="2"/>
      <c r="AW441" s="2"/>
      <c r="AX441" s="2"/>
      <c r="AY441" s="2"/>
    </row>
    <row r="442" spans="1:51" x14ac:dyDescent="0.25">
      <c r="A442" s="24">
        <v>45133</v>
      </c>
      <c r="B442" s="1">
        <v>45133</v>
      </c>
      <c r="C442">
        <v>0.24</v>
      </c>
      <c r="D442">
        <v>0.47</v>
      </c>
      <c r="E442">
        <v>0.68</v>
      </c>
      <c r="F442">
        <v>2</v>
      </c>
      <c r="G442">
        <v>3.48</v>
      </c>
      <c r="H442">
        <v>4.0199999999999996</v>
      </c>
      <c r="I442">
        <v>5.55</v>
      </c>
      <c r="J442">
        <v>6.52</v>
      </c>
      <c r="K442">
        <v>6.84</v>
      </c>
      <c r="M442" s="3"/>
      <c r="N442" s="17"/>
      <c r="O442" s="17"/>
      <c r="P442" s="17"/>
      <c r="Q442" s="17"/>
      <c r="R442" s="17"/>
      <c r="S442" s="17"/>
      <c r="T442" s="17"/>
      <c r="U442" s="17"/>
      <c r="V442" s="17"/>
      <c r="AE442" s="2"/>
      <c r="AQ442" s="2"/>
      <c r="AR442" s="2"/>
      <c r="AS442" s="2"/>
      <c r="AT442" s="2"/>
      <c r="AU442" s="2"/>
      <c r="AV442" s="2"/>
      <c r="AW442" s="2"/>
      <c r="AX442" s="2"/>
      <c r="AY442" s="2"/>
    </row>
    <row r="443" spans="1:51" x14ac:dyDescent="0.25">
      <c r="A443" s="24">
        <v>45132</v>
      </c>
      <c r="B443" s="1">
        <v>45132</v>
      </c>
      <c r="C443">
        <v>0.25</v>
      </c>
      <c r="D443">
        <v>0.44</v>
      </c>
      <c r="E443">
        <v>0.64</v>
      </c>
      <c r="F443">
        <v>1.99</v>
      </c>
      <c r="G443">
        <v>3.47</v>
      </c>
      <c r="H443">
        <v>4.01</v>
      </c>
      <c r="I443">
        <v>5.45</v>
      </c>
      <c r="J443">
        <v>6.52</v>
      </c>
      <c r="K443">
        <v>6.8</v>
      </c>
      <c r="M443" s="3"/>
      <c r="N443" s="17"/>
      <c r="O443" s="17"/>
      <c r="P443" s="17"/>
      <c r="Q443" s="17"/>
      <c r="R443" s="17"/>
      <c r="S443" s="17"/>
      <c r="T443" s="17"/>
      <c r="U443" s="17"/>
      <c r="V443" s="17"/>
      <c r="AE443" s="2"/>
      <c r="AQ443" s="2"/>
      <c r="AR443" s="2"/>
      <c r="AS443" s="2"/>
      <c r="AT443" s="2"/>
      <c r="AU443" s="2"/>
      <c r="AV443" s="2"/>
      <c r="AW443" s="2"/>
      <c r="AX443" s="2"/>
      <c r="AY443" s="2"/>
    </row>
    <row r="444" spans="1:51" x14ac:dyDescent="0.25">
      <c r="A444" s="24">
        <v>45131</v>
      </c>
      <c r="B444" s="1">
        <v>45131</v>
      </c>
      <c r="C444">
        <v>0.2</v>
      </c>
      <c r="D444">
        <v>0.4</v>
      </c>
      <c r="E444">
        <v>0.6</v>
      </c>
      <c r="F444">
        <v>1.97</v>
      </c>
      <c r="G444">
        <v>3.48</v>
      </c>
      <c r="H444">
        <v>4.0199999999999996</v>
      </c>
      <c r="I444">
        <v>5.57</v>
      </c>
      <c r="J444">
        <v>6.58</v>
      </c>
      <c r="K444">
        <v>6.88</v>
      </c>
      <c r="M444" s="3"/>
      <c r="N444" s="17"/>
      <c r="O444" s="17"/>
      <c r="P444" s="17"/>
      <c r="Q444" s="17"/>
      <c r="R444" s="17"/>
      <c r="S444" s="17"/>
      <c r="T444" s="17"/>
      <c r="U444" s="17"/>
      <c r="V444" s="17"/>
      <c r="AE444" s="2"/>
      <c r="AQ444" s="2"/>
      <c r="AR444" s="2"/>
      <c r="AS444" s="2"/>
      <c r="AT444" s="2"/>
      <c r="AU444" s="2"/>
      <c r="AV444" s="2"/>
      <c r="AW444" s="2"/>
      <c r="AX444" s="2"/>
      <c r="AY444" s="2"/>
    </row>
    <row r="445" spans="1:51" x14ac:dyDescent="0.25">
      <c r="A445" s="24">
        <v>45128</v>
      </c>
      <c r="B445" s="1">
        <v>45128</v>
      </c>
      <c r="C445">
        <v>0.22</v>
      </c>
      <c r="D445">
        <v>0.43</v>
      </c>
      <c r="E445">
        <v>0.62</v>
      </c>
      <c r="F445">
        <v>2.0299999999999998</v>
      </c>
      <c r="G445">
        <v>3.48</v>
      </c>
      <c r="H445">
        <v>4.05</v>
      </c>
      <c r="I445">
        <v>5.52</v>
      </c>
      <c r="J445">
        <v>6.54</v>
      </c>
      <c r="K445">
        <v>6.8</v>
      </c>
      <c r="M445" s="3"/>
      <c r="N445" s="17"/>
      <c r="O445" s="17"/>
      <c r="P445" s="17"/>
      <c r="Q445" s="17"/>
      <c r="R445" s="17"/>
      <c r="S445" s="17"/>
      <c r="T445" s="17"/>
      <c r="U445" s="17"/>
      <c r="V445" s="17"/>
      <c r="AE445" s="2"/>
      <c r="AQ445" s="2"/>
      <c r="AR445" s="2"/>
      <c r="AS445" s="2"/>
      <c r="AT445" s="2"/>
      <c r="AU445" s="2"/>
      <c r="AV445" s="2"/>
      <c r="AW445" s="2"/>
      <c r="AX445" s="2"/>
      <c r="AY445" s="2"/>
    </row>
    <row r="446" spans="1:51" x14ac:dyDescent="0.25">
      <c r="A446" s="24">
        <v>45127</v>
      </c>
      <c r="B446" s="1">
        <v>45127</v>
      </c>
      <c r="C446">
        <v>0.28999999999999998</v>
      </c>
      <c r="D446">
        <v>0.47</v>
      </c>
      <c r="E446">
        <v>0.73</v>
      </c>
      <c r="F446">
        <v>2</v>
      </c>
      <c r="G446">
        <v>3.5</v>
      </c>
      <c r="H446">
        <v>4.03</v>
      </c>
      <c r="I446">
        <v>5.54</v>
      </c>
      <c r="J446">
        <v>6.55</v>
      </c>
      <c r="K446">
        <v>6.83</v>
      </c>
      <c r="M446" s="3"/>
      <c r="N446" s="17"/>
      <c r="O446" s="17"/>
      <c r="P446" s="17"/>
      <c r="Q446" s="17"/>
      <c r="R446" s="17"/>
      <c r="S446" s="17"/>
      <c r="T446" s="17"/>
      <c r="U446" s="17"/>
      <c r="V446" s="17"/>
      <c r="AE446" s="2"/>
      <c r="AQ446" s="2"/>
      <c r="AR446" s="2"/>
      <c r="AS446" s="2"/>
      <c r="AT446" s="2"/>
      <c r="AU446" s="2"/>
      <c r="AV446" s="2"/>
      <c r="AW446" s="2"/>
      <c r="AX446" s="2"/>
      <c r="AY446" s="2"/>
    </row>
    <row r="447" spans="1:51" x14ac:dyDescent="0.25">
      <c r="A447" s="24">
        <v>45126</v>
      </c>
      <c r="B447" s="1">
        <v>45126</v>
      </c>
      <c r="C447">
        <v>0.39</v>
      </c>
      <c r="D447">
        <v>0.6</v>
      </c>
      <c r="E447">
        <v>0.89</v>
      </c>
      <c r="F447">
        <v>2.11</v>
      </c>
      <c r="G447">
        <v>3.53</v>
      </c>
      <c r="H447">
        <v>4.09</v>
      </c>
      <c r="I447">
        <v>5.57</v>
      </c>
      <c r="J447">
        <v>6.57</v>
      </c>
      <c r="K447">
        <v>6.8</v>
      </c>
      <c r="M447" s="3"/>
      <c r="N447" s="17"/>
      <c r="O447" s="17"/>
      <c r="P447" s="17"/>
      <c r="Q447" s="17"/>
      <c r="R447" s="17"/>
      <c r="S447" s="17"/>
      <c r="T447" s="17"/>
      <c r="U447" s="17"/>
      <c r="V447" s="17"/>
      <c r="AE447" s="2"/>
      <c r="AQ447" s="2"/>
      <c r="AR447" s="2"/>
      <c r="AS447" s="2"/>
      <c r="AT447" s="2"/>
      <c r="AU447" s="2"/>
      <c r="AV447" s="2"/>
      <c r="AW447" s="2"/>
      <c r="AX447" s="2"/>
      <c r="AY447" s="2"/>
    </row>
    <row r="448" spans="1:51" x14ac:dyDescent="0.25">
      <c r="A448" s="24">
        <v>45125</v>
      </c>
      <c r="B448" s="1">
        <v>45125</v>
      </c>
      <c r="C448">
        <v>0.56000000000000005</v>
      </c>
      <c r="D448">
        <v>0.78</v>
      </c>
      <c r="E448">
        <v>1</v>
      </c>
      <c r="F448">
        <v>2.12</v>
      </c>
      <c r="G448">
        <v>3.5</v>
      </c>
      <c r="H448">
        <v>4.08</v>
      </c>
      <c r="I448">
        <v>5.54</v>
      </c>
      <c r="J448">
        <v>6.55</v>
      </c>
      <c r="K448">
        <v>6.8</v>
      </c>
      <c r="M448" s="3"/>
      <c r="N448" s="17"/>
      <c r="O448" s="17"/>
      <c r="P448" s="17"/>
      <c r="Q448" s="17"/>
      <c r="R448" s="17"/>
      <c r="S448" s="17"/>
      <c r="T448" s="17"/>
      <c r="U448" s="17"/>
      <c r="V448" s="17"/>
      <c r="AE448" s="2"/>
      <c r="AQ448" s="2"/>
      <c r="AR448" s="2"/>
      <c r="AS448" s="2"/>
      <c r="AT448" s="2"/>
      <c r="AU448" s="2"/>
      <c r="AV448" s="2"/>
      <c r="AW448" s="2"/>
      <c r="AX448" s="2"/>
      <c r="AY448" s="2"/>
    </row>
    <row r="449" spans="1:51" x14ac:dyDescent="0.25">
      <c r="A449" s="24">
        <v>45124</v>
      </c>
      <c r="B449" s="1">
        <v>45124</v>
      </c>
      <c r="C449">
        <v>0.21</v>
      </c>
      <c r="D449">
        <v>0.36</v>
      </c>
      <c r="E449">
        <v>0.64</v>
      </c>
      <c r="F449">
        <v>2.21</v>
      </c>
      <c r="G449">
        <v>3.6</v>
      </c>
      <c r="H449">
        <v>4.07</v>
      </c>
      <c r="I449">
        <v>5.49</v>
      </c>
      <c r="J449">
        <v>6.55</v>
      </c>
      <c r="K449">
        <v>6.78</v>
      </c>
      <c r="M449" s="3"/>
      <c r="N449" s="17"/>
      <c r="O449" s="17"/>
      <c r="P449" s="17"/>
      <c r="Q449" s="17"/>
      <c r="R449" s="17"/>
      <c r="S449" s="17"/>
      <c r="T449" s="17"/>
      <c r="U449" s="17"/>
      <c r="V449" s="17"/>
      <c r="AE449" s="2"/>
      <c r="AQ449" s="2"/>
      <c r="AR449" s="2"/>
      <c r="AS449" s="2"/>
      <c r="AT449" s="2"/>
      <c r="AU449" s="2"/>
      <c r="AV449" s="2"/>
      <c r="AW449" s="2"/>
      <c r="AX449" s="2"/>
      <c r="AY449" s="2"/>
    </row>
    <row r="450" spans="1:51" x14ac:dyDescent="0.25">
      <c r="A450" s="24">
        <v>45121</v>
      </c>
      <c r="B450" s="1">
        <v>45121</v>
      </c>
      <c r="C450">
        <v>0.2</v>
      </c>
      <c r="D450">
        <v>0.4</v>
      </c>
      <c r="E450">
        <v>0.64</v>
      </c>
      <c r="F450">
        <v>2.2400000000000002</v>
      </c>
      <c r="G450">
        <v>3.64</v>
      </c>
      <c r="H450">
        <v>4.18</v>
      </c>
      <c r="I450">
        <v>5.6</v>
      </c>
      <c r="J450">
        <v>6.63</v>
      </c>
      <c r="K450">
        <v>6.88</v>
      </c>
      <c r="M450" s="3"/>
      <c r="N450" s="17"/>
      <c r="O450" s="17"/>
      <c r="P450" s="17"/>
      <c r="Q450" s="17"/>
      <c r="R450" s="17"/>
      <c r="S450" s="17"/>
      <c r="T450" s="17"/>
      <c r="U450" s="17"/>
      <c r="V450" s="17"/>
      <c r="AE450" s="2"/>
      <c r="AQ450" s="2"/>
      <c r="AR450" s="2"/>
      <c r="AS450" s="2"/>
      <c r="AT450" s="2"/>
      <c r="AU450" s="2"/>
      <c r="AV450" s="2"/>
      <c r="AW450" s="2"/>
      <c r="AX450" s="2"/>
      <c r="AY450" s="2"/>
    </row>
    <row r="451" spans="1:51" x14ac:dyDescent="0.25">
      <c r="A451" s="24">
        <v>45120</v>
      </c>
      <c r="B451" s="1">
        <v>45120</v>
      </c>
      <c r="C451">
        <v>0.21</v>
      </c>
      <c r="D451">
        <v>0.39</v>
      </c>
      <c r="E451">
        <v>0.69</v>
      </c>
      <c r="F451">
        <v>2.29</v>
      </c>
      <c r="G451">
        <v>3.9</v>
      </c>
      <c r="H451">
        <v>4.2699999999999996</v>
      </c>
      <c r="I451">
        <v>5.66</v>
      </c>
      <c r="J451">
        <v>6.65</v>
      </c>
      <c r="K451">
        <v>6.92</v>
      </c>
      <c r="M451" s="3"/>
      <c r="N451" s="17"/>
      <c r="O451" s="17"/>
      <c r="P451" s="17"/>
      <c r="Q451" s="17"/>
      <c r="R451" s="17"/>
      <c r="S451" s="17"/>
      <c r="T451" s="17"/>
      <c r="U451" s="17"/>
      <c r="V451" s="17"/>
      <c r="AE451" s="2"/>
      <c r="AQ451" s="2"/>
      <c r="AR451" s="2"/>
      <c r="AS451" s="2"/>
      <c r="AT451" s="2"/>
      <c r="AU451" s="2"/>
      <c r="AV451" s="2"/>
      <c r="AW451" s="2"/>
      <c r="AX451" s="2"/>
      <c r="AY451" s="2"/>
    </row>
    <row r="452" spans="1:51" x14ac:dyDescent="0.25">
      <c r="A452" s="24">
        <v>45119</v>
      </c>
      <c r="B452" s="1">
        <v>45119</v>
      </c>
      <c r="C452">
        <v>0.24</v>
      </c>
      <c r="D452">
        <v>0.43</v>
      </c>
      <c r="E452">
        <v>0.81</v>
      </c>
      <c r="F452">
        <v>2.4700000000000002</v>
      </c>
      <c r="G452">
        <v>3.9</v>
      </c>
      <c r="H452">
        <v>4.33</v>
      </c>
      <c r="I452">
        <v>5.67</v>
      </c>
      <c r="J452">
        <v>6.65</v>
      </c>
      <c r="K452">
        <v>6.94</v>
      </c>
      <c r="M452" s="3"/>
      <c r="N452" s="17"/>
      <c r="O452" s="17"/>
      <c r="P452" s="17"/>
      <c r="Q452" s="17"/>
      <c r="R452" s="17"/>
      <c r="S452" s="17"/>
      <c r="T452" s="17"/>
      <c r="U452" s="17"/>
      <c r="V452" s="17"/>
      <c r="AE452" s="2"/>
      <c r="AQ452" s="2"/>
      <c r="AR452" s="2"/>
      <c r="AS452" s="2"/>
      <c r="AT452" s="2"/>
      <c r="AU452" s="2"/>
      <c r="AV452" s="2"/>
      <c r="AW452" s="2"/>
      <c r="AX452" s="2"/>
      <c r="AY452" s="2"/>
    </row>
    <row r="453" spans="1:51" x14ac:dyDescent="0.25">
      <c r="A453" s="24">
        <v>45118</v>
      </c>
      <c r="B453" s="1">
        <v>45118</v>
      </c>
      <c r="C453">
        <v>0.37</v>
      </c>
      <c r="D453">
        <v>0.6</v>
      </c>
      <c r="E453">
        <v>0.97</v>
      </c>
      <c r="F453">
        <v>2.7</v>
      </c>
      <c r="G453">
        <v>4.12</v>
      </c>
      <c r="H453">
        <v>4.47</v>
      </c>
      <c r="I453">
        <v>5.75</v>
      </c>
      <c r="J453">
        <v>6.7</v>
      </c>
      <c r="K453">
        <v>7.03</v>
      </c>
      <c r="M453" s="3"/>
      <c r="N453" s="17"/>
      <c r="O453" s="17"/>
      <c r="P453" s="17"/>
      <c r="Q453" s="17"/>
      <c r="R453" s="17"/>
      <c r="S453" s="17"/>
      <c r="T453" s="17"/>
      <c r="U453" s="17"/>
      <c r="V453" s="17"/>
      <c r="AE453" s="2"/>
      <c r="AQ453" s="2"/>
      <c r="AR453" s="2"/>
      <c r="AS453" s="2"/>
      <c r="AT453" s="2"/>
      <c r="AU453" s="2"/>
      <c r="AV453" s="2"/>
      <c r="AW453" s="2"/>
      <c r="AX453" s="2"/>
      <c r="AY453" s="2"/>
    </row>
    <row r="454" spans="1:51" x14ac:dyDescent="0.25">
      <c r="A454" s="24">
        <v>45117</v>
      </c>
      <c r="B454" s="1">
        <v>45117</v>
      </c>
      <c r="C454">
        <v>0.41</v>
      </c>
      <c r="D454">
        <v>0.74</v>
      </c>
      <c r="E454">
        <v>1.1399999999999999</v>
      </c>
      <c r="F454">
        <v>2.74</v>
      </c>
      <c r="G454">
        <v>4.17</v>
      </c>
      <c r="H454">
        <v>4.51</v>
      </c>
      <c r="I454">
        <v>5.71</v>
      </c>
      <c r="J454">
        <v>6.67</v>
      </c>
      <c r="K454">
        <v>6.98</v>
      </c>
      <c r="M454" s="3"/>
      <c r="N454" s="17"/>
      <c r="O454" s="17"/>
      <c r="P454" s="17"/>
      <c r="Q454" s="17"/>
      <c r="R454" s="17"/>
      <c r="S454" s="17"/>
      <c r="T454" s="17"/>
      <c r="U454" s="17"/>
      <c r="V454" s="17"/>
      <c r="AE454" s="2"/>
      <c r="AQ454" s="2"/>
      <c r="AR454" s="2"/>
      <c r="AS454" s="2"/>
      <c r="AT454" s="2"/>
      <c r="AU454" s="2"/>
      <c r="AV454" s="2"/>
      <c r="AW454" s="2"/>
      <c r="AX454" s="2"/>
      <c r="AY454" s="2"/>
    </row>
    <row r="455" spans="1:51" x14ac:dyDescent="0.25">
      <c r="A455" s="24">
        <v>45114</v>
      </c>
      <c r="B455" s="1">
        <v>45114</v>
      </c>
      <c r="C455">
        <v>0.48</v>
      </c>
      <c r="D455">
        <v>0.82</v>
      </c>
      <c r="E455">
        <v>1.3</v>
      </c>
      <c r="F455">
        <v>2.85</v>
      </c>
      <c r="G455">
        <v>4.1500000000000004</v>
      </c>
      <c r="H455">
        <v>4.53</v>
      </c>
      <c r="I455">
        <v>5.62</v>
      </c>
      <c r="J455">
        <v>6.62</v>
      </c>
      <c r="K455">
        <v>6.88</v>
      </c>
      <c r="M455" s="3"/>
      <c r="N455" s="17"/>
      <c r="O455" s="17"/>
      <c r="P455" s="17"/>
      <c r="Q455" s="17"/>
      <c r="R455" s="17"/>
      <c r="S455" s="17"/>
      <c r="T455" s="17"/>
      <c r="U455" s="17"/>
      <c r="V455" s="17"/>
      <c r="AE455" s="2"/>
      <c r="AQ455" s="2"/>
      <c r="AR455" s="2"/>
      <c r="AS455" s="2"/>
      <c r="AT455" s="2"/>
      <c r="AU455" s="2"/>
      <c r="AV455" s="2"/>
      <c r="AW455" s="2"/>
      <c r="AX455" s="2"/>
      <c r="AY455" s="2"/>
    </row>
    <row r="456" spans="1:51" x14ac:dyDescent="0.25">
      <c r="A456" s="24">
        <v>45113</v>
      </c>
      <c r="B456" s="1">
        <v>45113</v>
      </c>
      <c r="C456">
        <v>0.61</v>
      </c>
      <c r="D456">
        <v>0.97</v>
      </c>
      <c r="E456">
        <v>1.43</v>
      </c>
      <c r="F456">
        <v>2.91</v>
      </c>
      <c r="G456">
        <v>4.26</v>
      </c>
      <c r="H456">
        <v>4.59</v>
      </c>
      <c r="I456">
        <v>5.69</v>
      </c>
      <c r="J456">
        <v>6.68</v>
      </c>
      <c r="K456">
        <v>6.92</v>
      </c>
      <c r="M456" s="3"/>
      <c r="N456" s="17"/>
      <c r="O456" s="17"/>
      <c r="P456" s="17"/>
      <c r="Q456" s="17"/>
      <c r="R456" s="17"/>
      <c r="S456" s="17"/>
      <c r="T456" s="17"/>
      <c r="U456" s="17"/>
      <c r="V456" s="17"/>
      <c r="AE456" s="2"/>
      <c r="AQ456" s="2"/>
      <c r="AR456" s="2"/>
      <c r="AS456" s="2"/>
      <c r="AT456" s="2"/>
      <c r="AU456" s="2"/>
      <c r="AV456" s="2"/>
      <c r="AW456" s="2"/>
      <c r="AX456" s="2"/>
      <c r="AY456" s="2"/>
    </row>
    <row r="457" spans="1:51" x14ac:dyDescent="0.25">
      <c r="A457" s="24">
        <v>45112</v>
      </c>
      <c r="B457" s="1">
        <v>45112</v>
      </c>
      <c r="C457">
        <v>0.7</v>
      </c>
      <c r="D457">
        <v>1.05</v>
      </c>
      <c r="E457">
        <v>1.45</v>
      </c>
      <c r="F457">
        <v>2.93</v>
      </c>
      <c r="G457">
        <v>4.33</v>
      </c>
      <c r="H457">
        <v>4.67</v>
      </c>
      <c r="I457">
        <v>5.75</v>
      </c>
      <c r="J457">
        <v>6.7</v>
      </c>
      <c r="K457">
        <v>6.97</v>
      </c>
      <c r="M457" s="3"/>
      <c r="N457" s="17"/>
      <c r="O457" s="17"/>
      <c r="P457" s="17"/>
      <c r="Q457" s="17"/>
      <c r="R457" s="17"/>
      <c r="S457" s="17"/>
      <c r="T457" s="17"/>
      <c r="U457" s="17"/>
      <c r="V457" s="17"/>
      <c r="AE457" s="2"/>
      <c r="AQ457" s="2"/>
      <c r="AR457" s="2"/>
      <c r="AS457" s="2"/>
      <c r="AT457" s="2"/>
      <c r="AU457" s="2"/>
      <c r="AV457" s="2"/>
      <c r="AW457" s="2"/>
      <c r="AX457" s="2"/>
      <c r="AY457" s="2"/>
    </row>
    <row r="458" spans="1:51" x14ac:dyDescent="0.25">
      <c r="A458" s="24">
        <v>45111</v>
      </c>
      <c r="B458" s="1">
        <v>45111</v>
      </c>
      <c r="C458">
        <v>0.73</v>
      </c>
      <c r="D458">
        <v>1.08</v>
      </c>
      <c r="E458">
        <v>1.52</v>
      </c>
      <c r="F458">
        <v>2.97</v>
      </c>
      <c r="G458">
        <v>4.38</v>
      </c>
      <c r="H458">
        <v>4.72</v>
      </c>
      <c r="I458">
        <v>5.77</v>
      </c>
      <c r="J458">
        <v>6.7</v>
      </c>
      <c r="K458">
        <v>6.98</v>
      </c>
      <c r="M458" s="3"/>
      <c r="N458" s="17"/>
      <c r="O458" s="17"/>
      <c r="P458" s="17"/>
      <c r="Q458" s="17"/>
      <c r="R458" s="17"/>
      <c r="S458" s="17"/>
      <c r="T458" s="17"/>
      <c r="U458" s="17"/>
      <c r="V458" s="17"/>
      <c r="AE458" s="2"/>
      <c r="AQ458" s="2"/>
      <c r="AR458" s="2"/>
      <c r="AS458" s="2"/>
      <c r="AT458" s="2"/>
      <c r="AU458" s="2"/>
      <c r="AV458" s="2"/>
      <c r="AW458" s="2"/>
      <c r="AX458" s="2"/>
      <c r="AY458" s="2"/>
    </row>
    <row r="459" spans="1:51" x14ac:dyDescent="0.25">
      <c r="A459" s="24">
        <v>45110</v>
      </c>
      <c r="B459" s="1">
        <v>45110</v>
      </c>
      <c r="C459">
        <v>0.67</v>
      </c>
      <c r="D459">
        <v>1.03</v>
      </c>
      <c r="E459">
        <v>1.52</v>
      </c>
      <c r="F459">
        <v>2.95</v>
      </c>
      <c r="G459">
        <v>4.32</v>
      </c>
      <c r="H459">
        <v>4.68</v>
      </c>
      <c r="I459">
        <v>5.8</v>
      </c>
      <c r="J459">
        <v>6.72</v>
      </c>
      <c r="K459">
        <v>7.03</v>
      </c>
      <c r="M459" s="3"/>
      <c r="N459" s="17"/>
      <c r="O459" s="17"/>
      <c r="P459" s="17"/>
      <c r="Q459" s="17"/>
      <c r="R459" s="17"/>
      <c r="S459" s="17"/>
      <c r="T459" s="17"/>
      <c r="U459" s="17"/>
      <c r="V459" s="17"/>
      <c r="AE459" s="2"/>
      <c r="AQ459" s="2"/>
      <c r="AR459" s="2"/>
      <c r="AS459" s="2"/>
      <c r="AT459" s="2"/>
      <c r="AU459" s="2"/>
      <c r="AV459" s="2"/>
      <c r="AW459" s="2"/>
      <c r="AX459" s="2"/>
      <c r="AY459" s="2"/>
    </row>
    <row r="460" spans="1:51" x14ac:dyDescent="0.25">
      <c r="A460" s="24">
        <v>45107</v>
      </c>
      <c r="B460" s="1">
        <v>45107</v>
      </c>
      <c r="C460">
        <v>0.48</v>
      </c>
      <c r="D460">
        <v>1.05</v>
      </c>
      <c r="E460">
        <v>1.55</v>
      </c>
      <c r="F460">
        <v>2.97</v>
      </c>
      <c r="G460">
        <v>4.38</v>
      </c>
      <c r="H460">
        <v>4.7300000000000004</v>
      </c>
      <c r="I460">
        <v>5.82</v>
      </c>
      <c r="J460">
        <v>6.74</v>
      </c>
      <c r="K460">
        <v>7.07</v>
      </c>
      <c r="M460" s="3"/>
      <c r="N460" s="17"/>
      <c r="O460" s="17"/>
      <c r="P460" s="17"/>
      <c r="Q460" s="17"/>
      <c r="R460" s="17"/>
      <c r="S460" s="17"/>
      <c r="T460" s="17"/>
      <c r="U460" s="17"/>
      <c r="V460" s="17"/>
      <c r="AE460" s="2"/>
      <c r="AQ460" s="2"/>
      <c r="AR460" s="2"/>
      <c r="AS460" s="2"/>
      <c r="AT460" s="2"/>
      <c r="AU460" s="2"/>
      <c r="AV460" s="2"/>
      <c r="AW460" s="2"/>
      <c r="AX460" s="2"/>
      <c r="AY460" s="2"/>
    </row>
    <row r="461" spans="1:51" x14ac:dyDescent="0.25">
      <c r="A461" s="24">
        <v>45106</v>
      </c>
      <c r="B461" s="1">
        <v>45106</v>
      </c>
      <c r="C461">
        <v>0.48</v>
      </c>
      <c r="D461">
        <v>1.03</v>
      </c>
      <c r="E461">
        <v>1.57</v>
      </c>
      <c r="F461">
        <v>2.95</v>
      </c>
      <c r="G461">
        <v>4.38</v>
      </c>
      <c r="H461">
        <v>4.7300000000000004</v>
      </c>
      <c r="I461">
        <v>5.83</v>
      </c>
      <c r="J461">
        <v>6.74</v>
      </c>
      <c r="K461">
        <v>7.08</v>
      </c>
      <c r="M461" s="3"/>
      <c r="N461" s="17"/>
      <c r="O461" s="17"/>
      <c r="P461" s="17"/>
      <c r="Q461" s="17"/>
      <c r="R461" s="17"/>
      <c r="S461" s="17"/>
      <c r="T461" s="17"/>
      <c r="U461" s="17"/>
      <c r="V461" s="17"/>
      <c r="AE461" s="2"/>
      <c r="AQ461" s="2"/>
      <c r="AR461" s="2"/>
      <c r="AS461" s="2"/>
      <c r="AT461" s="2"/>
      <c r="AU461" s="2"/>
      <c r="AV461" s="2"/>
      <c r="AW461" s="2"/>
      <c r="AX461" s="2"/>
      <c r="AY461" s="2"/>
    </row>
    <row r="462" spans="1:51" x14ac:dyDescent="0.25">
      <c r="A462" s="24">
        <v>45105</v>
      </c>
      <c r="B462" s="1">
        <v>45105</v>
      </c>
      <c r="C462">
        <v>0.82</v>
      </c>
      <c r="D462">
        <v>1.27</v>
      </c>
      <c r="E462">
        <v>1.7</v>
      </c>
      <c r="F462">
        <v>2.95</v>
      </c>
      <c r="G462">
        <v>4.3499999999999996</v>
      </c>
      <c r="H462">
        <v>4.7699999999999996</v>
      </c>
      <c r="I462">
        <v>5.87</v>
      </c>
      <c r="J462">
        <v>6.8</v>
      </c>
      <c r="K462">
        <v>7.2</v>
      </c>
      <c r="M462" s="3"/>
      <c r="N462" s="17"/>
      <c r="O462" s="17"/>
      <c r="P462" s="17"/>
      <c r="Q462" s="17"/>
      <c r="R462" s="17"/>
      <c r="S462" s="17"/>
      <c r="T462" s="17"/>
      <c r="U462" s="17"/>
      <c r="V462" s="17"/>
      <c r="AE462" s="2"/>
      <c r="AQ462" s="2"/>
      <c r="AR462" s="2"/>
      <c r="AS462" s="2"/>
      <c r="AT462" s="2"/>
      <c r="AU462" s="2"/>
      <c r="AV462" s="2"/>
      <c r="AW462" s="2"/>
      <c r="AX462" s="2"/>
      <c r="AY462" s="2"/>
    </row>
    <row r="463" spans="1:51" x14ac:dyDescent="0.25">
      <c r="A463" s="24">
        <v>45104</v>
      </c>
      <c r="B463" s="1">
        <v>45104</v>
      </c>
      <c r="C463">
        <v>0.98</v>
      </c>
      <c r="D463">
        <v>1.38</v>
      </c>
      <c r="E463">
        <v>1.8</v>
      </c>
      <c r="F463">
        <v>3</v>
      </c>
      <c r="G463">
        <v>4.3499999999999996</v>
      </c>
      <c r="H463">
        <v>4.7699999999999996</v>
      </c>
      <c r="I463">
        <v>5.9</v>
      </c>
      <c r="J463">
        <v>6.8</v>
      </c>
      <c r="K463">
        <v>7.23</v>
      </c>
      <c r="M463" s="3"/>
      <c r="N463" s="17"/>
      <c r="O463" s="17"/>
      <c r="P463" s="17"/>
      <c r="Q463" s="17"/>
      <c r="R463" s="17"/>
      <c r="S463" s="17"/>
      <c r="T463" s="17"/>
      <c r="U463" s="17"/>
      <c r="V463" s="17"/>
      <c r="AE463" s="2"/>
      <c r="AQ463" s="2"/>
      <c r="AR463" s="2"/>
      <c r="AS463" s="2"/>
      <c r="AT463" s="2"/>
      <c r="AU463" s="2"/>
      <c r="AV463" s="2"/>
      <c r="AW463" s="2"/>
      <c r="AX463" s="2"/>
      <c r="AY463" s="2"/>
    </row>
    <row r="464" spans="1:51" x14ac:dyDescent="0.25">
      <c r="A464" s="24">
        <v>45103</v>
      </c>
      <c r="B464" s="1">
        <v>45103</v>
      </c>
      <c r="C464">
        <v>1.1000000000000001</v>
      </c>
      <c r="D464">
        <v>1.45</v>
      </c>
      <c r="E464">
        <v>1.88</v>
      </c>
      <c r="F464">
        <v>3</v>
      </c>
      <c r="G464">
        <v>4.42</v>
      </c>
      <c r="H464">
        <v>4.83</v>
      </c>
      <c r="I464">
        <v>5.9</v>
      </c>
      <c r="J464">
        <v>6.8</v>
      </c>
      <c r="K464">
        <v>7.2</v>
      </c>
      <c r="M464" s="3"/>
      <c r="N464" s="17"/>
      <c r="O464" s="17"/>
      <c r="P464" s="17"/>
      <c r="Q464" s="17"/>
      <c r="R464" s="17"/>
      <c r="S464" s="17"/>
      <c r="T464" s="17"/>
      <c r="U464" s="17"/>
      <c r="V464" s="17"/>
      <c r="AE464" s="2"/>
      <c r="AQ464" s="2"/>
      <c r="AR464" s="2"/>
      <c r="AS464" s="2"/>
      <c r="AT464" s="2"/>
      <c r="AU464" s="2"/>
      <c r="AV464" s="2"/>
      <c r="AW464" s="2"/>
      <c r="AX464" s="2"/>
      <c r="AY464" s="2"/>
    </row>
    <row r="465" spans="1:51" x14ac:dyDescent="0.25">
      <c r="A465" s="24">
        <v>45100</v>
      </c>
      <c r="B465" s="1">
        <v>45100</v>
      </c>
      <c r="C465">
        <v>1.08</v>
      </c>
      <c r="D465">
        <v>1.37</v>
      </c>
      <c r="E465">
        <v>1.85</v>
      </c>
      <c r="F465">
        <v>3.03</v>
      </c>
      <c r="G465">
        <v>4.4000000000000004</v>
      </c>
      <c r="H465">
        <v>4.7699999999999996</v>
      </c>
      <c r="I465">
        <v>5.9</v>
      </c>
      <c r="J465">
        <v>6.76</v>
      </c>
      <c r="K465">
        <v>7.13</v>
      </c>
      <c r="M465" s="3"/>
      <c r="N465" s="17"/>
      <c r="O465" s="17"/>
      <c r="P465" s="17"/>
      <c r="Q465" s="17"/>
      <c r="R465" s="17"/>
      <c r="S465" s="17"/>
      <c r="T465" s="17"/>
      <c r="U465" s="17"/>
      <c r="V465" s="17"/>
      <c r="AE465" s="2"/>
      <c r="AQ465" s="2"/>
      <c r="AR465" s="2"/>
      <c r="AS465" s="2"/>
      <c r="AT465" s="2"/>
      <c r="AU465" s="2"/>
      <c r="AV465" s="2"/>
      <c r="AW465" s="2"/>
      <c r="AX465" s="2"/>
      <c r="AY465" s="2"/>
    </row>
    <row r="466" spans="1:51" x14ac:dyDescent="0.25">
      <c r="A466" s="24">
        <v>45099</v>
      </c>
      <c r="B466" s="1">
        <v>45099</v>
      </c>
      <c r="C466">
        <v>1</v>
      </c>
      <c r="D466">
        <v>1.32</v>
      </c>
      <c r="E466">
        <v>1.78</v>
      </c>
      <c r="F466">
        <v>3</v>
      </c>
      <c r="G466">
        <v>4.4000000000000004</v>
      </c>
      <c r="H466">
        <v>4.78</v>
      </c>
      <c r="I466">
        <v>5.92</v>
      </c>
      <c r="J466">
        <v>6.74</v>
      </c>
      <c r="K466">
        <v>7.13</v>
      </c>
      <c r="M466" s="3"/>
      <c r="N466" s="17"/>
      <c r="O466" s="17"/>
      <c r="P466" s="17"/>
      <c r="Q466" s="17"/>
      <c r="R466" s="17"/>
      <c r="S466" s="17"/>
      <c r="T466" s="17"/>
      <c r="U466" s="17"/>
      <c r="V466" s="17"/>
      <c r="AE466" s="2"/>
      <c r="AQ466" s="2"/>
      <c r="AR466" s="2"/>
      <c r="AS466" s="2"/>
      <c r="AT466" s="2"/>
      <c r="AU466" s="2"/>
      <c r="AV466" s="2"/>
      <c r="AW466" s="2"/>
      <c r="AX466" s="2"/>
      <c r="AY466" s="2"/>
    </row>
    <row r="467" spans="1:51" x14ac:dyDescent="0.25">
      <c r="A467" s="24">
        <v>45098</v>
      </c>
      <c r="B467" s="1">
        <v>45098</v>
      </c>
      <c r="C467">
        <v>0.63</v>
      </c>
      <c r="D467">
        <v>0.95</v>
      </c>
      <c r="E467">
        <v>1.5</v>
      </c>
      <c r="F467">
        <v>3</v>
      </c>
      <c r="G467">
        <v>4.42</v>
      </c>
      <c r="H467">
        <v>4.83</v>
      </c>
      <c r="I467">
        <v>5.92</v>
      </c>
      <c r="J467">
        <v>6.74</v>
      </c>
      <c r="K467">
        <v>7.13</v>
      </c>
      <c r="M467" s="3"/>
      <c r="N467" s="17"/>
      <c r="O467" s="17"/>
      <c r="P467" s="17"/>
      <c r="Q467" s="17"/>
      <c r="R467" s="17"/>
      <c r="S467" s="17"/>
      <c r="T467" s="17"/>
      <c r="U467" s="17"/>
      <c r="V467" s="17"/>
      <c r="AE467" s="2"/>
      <c r="AQ467" s="2"/>
      <c r="AR467" s="2"/>
      <c r="AS467" s="2"/>
      <c r="AT467" s="2"/>
      <c r="AU467" s="2"/>
      <c r="AV467" s="2"/>
      <c r="AW467" s="2"/>
      <c r="AX467" s="2"/>
      <c r="AY467" s="2"/>
    </row>
    <row r="468" spans="1:51" x14ac:dyDescent="0.25">
      <c r="A468" s="24">
        <v>45097</v>
      </c>
      <c r="B468" s="1">
        <v>45097</v>
      </c>
      <c r="C468">
        <v>0.62</v>
      </c>
      <c r="D468">
        <v>0.97</v>
      </c>
      <c r="E468">
        <v>1.48</v>
      </c>
      <c r="F468">
        <v>3</v>
      </c>
      <c r="G468">
        <v>4.45</v>
      </c>
      <c r="H468">
        <v>4.83</v>
      </c>
      <c r="I468">
        <v>5.92</v>
      </c>
      <c r="J468">
        <v>6.74</v>
      </c>
      <c r="K468">
        <v>7.13</v>
      </c>
      <c r="M468" s="3"/>
      <c r="N468" s="17"/>
      <c r="O468" s="17"/>
      <c r="P468" s="17"/>
      <c r="Q468" s="17"/>
      <c r="R468" s="17"/>
      <c r="S468" s="17"/>
      <c r="T468" s="17"/>
      <c r="U468" s="17"/>
      <c r="V468" s="17"/>
      <c r="AE468" s="2"/>
      <c r="AQ468" s="2"/>
      <c r="AR468" s="2"/>
      <c r="AS468" s="2"/>
      <c r="AT468" s="2"/>
      <c r="AU468" s="2"/>
      <c r="AV468" s="2"/>
      <c r="AW468" s="2"/>
      <c r="AX468" s="2"/>
      <c r="AY468" s="2"/>
    </row>
    <row r="469" spans="1:51" x14ac:dyDescent="0.25">
      <c r="A469" s="24">
        <v>45096</v>
      </c>
      <c r="B469" s="1">
        <v>45096</v>
      </c>
      <c r="C469">
        <v>0.78</v>
      </c>
      <c r="D469">
        <v>1.02</v>
      </c>
      <c r="E469">
        <v>1.53</v>
      </c>
      <c r="F469">
        <v>3.05</v>
      </c>
      <c r="G469">
        <v>4.47</v>
      </c>
      <c r="H469">
        <v>4.87</v>
      </c>
      <c r="I469">
        <v>6</v>
      </c>
      <c r="J469">
        <v>6.78</v>
      </c>
      <c r="K469">
        <v>7.13</v>
      </c>
      <c r="M469" s="3"/>
      <c r="N469" s="17"/>
      <c r="O469" s="17"/>
      <c r="P469" s="17"/>
      <c r="Q469" s="17"/>
      <c r="R469" s="17"/>
      <c r="S469" s="17"/>
      <c r="T469" s="17"/>
      <c r="U469" s="17"/>
      <c r="V469" s="17"/>
      <c r="AE469" s="2"/>
      <c r="AQ469" s="2"/>
      <c r="AR469" s="2"/>
      <c r="AS469" s="2"/>
      <c r="AT469" s="2"/>
      <c r="AU469" s="2"/>
      <c r="AV469" s="2"/>
      <c r="AW469" s="2"/>
      <c r="AX469" s="2"/>
      <c r="AY469" s="2"/>
    </row>
    <row r="470" spans="1:51" x14ac:dyDescent="0.25">
      <c r="A470" s="24">
        <v>45093</v>
      </c>
      <c r="B470" s="1">
        <v>45093</v>
      </c>
      <c r="C470">
        <v>1.01</v>
      </c>
      <c r="D470">
        <v>1.37</v>
      </c>
      <c r="E470">
        <v>1.86</v>
      </c>
      <c r="F470">
        <v>3.21</v>
      </c>
      <c r="G470">
        <v>4.47</v>
      </c>
      <c r="H470">
        <v>4.9400000000000004</v>
      </c>
      <c r="I470">
        <v>6</v>
      </c>
      <c r="J470">
        <v>6.75</v>
      </c>
      <c r="K470">
        <v>7.18</v>
      </c>
      <c r="M470" s="3"/>
      <c r="N470" s="17"/>
      <c r="O470" s="17"/>
      <c r="P470" s="17"/>
      <c r="Q470" s="17"/>
      <c r="R470" s="17"/>
      <c r="S470" s="17"/>
      <c r="T470" s="17"/>
      <c r="U470" s="17"/>
      <c r="V470" s="17"/>
      <c r="AE470" s="2"/>
      <c r="AQ470" s="2"/>
      <c r="AR470" s="2"/>
      <c r="AS470" s="2"/>
      <c r="AT470" s="2"/>
      <c r="AU470" s="2"/>
      <c r="AV470" s="2"/>
      <c r="AW470" s="2"/>
      <c r="AX470" s="2"/>
      <c r="AY470" s="2"/>
    </row>
    <row r="471" spans="1:51" x14ac:dyDescent="0.25">
      <c r="A471" s="24">
        <v>45092</v>
      </c>
      <c r="B471" s="1">
        <v>45092</v>
      </c>
      <c r="C471">
        <v>1.37</v>
      </c>
      <c r="D471">
        <v>1.69</v>
      </c>
      <c r="E471">
        <v>2.2000000000000002</v>
      </c>
      <c r="F471">
        <v>3.46</v>
      </c>
      <c r="G471">
        <v>4.51</v>
      </c>
      <c r="H471">
        <v>4.99</v>
      </c>
      <c r="I471">
        <v>6.04</v>
      </c>
      <c r="J471">
        <v>6.87</v>
      </c>
      <c r="K471">
        <v>7.32</v>
      </c>
      <c r="M471" s="3"/>
      <c r="N471" s="17"/>
      <c r="O471" s="17"/>
      <c r="P471" s="17"/>
      <c r="Q471" s="17"/>
      <c r="R471" s="17"/>
      <c r="S471" s="17"/>
      <c r="T471" s="17"/>
      <c r="U471" s="17"/>
      <c r="V471" s="17"/>
      <c r="AE471" s="2"/>
      <c r="AQ471" s="2"/>
      <c r="AR471" s="2"/>
      <c r="AS471" s="2"/>
      <c r="AT471" s="2"/>
      <c r="AU471" s="2"/>
      <c r="AV471" s="2"/>
      <c r="AW471" s="2"/>
      <c r="AX471" s="2"/>
      <c r="AY471" s="2"/>
    </row>
    <row r="472" spans="1:51" x14ac:dyDescent="0.25">
      <c r="A472" s="24">
        <v>45091</v>
      </c>
      <c r="B472" s="1">
        <v>45091</v>
      </c>
      <c r="C472">
        <v>1.73</v>
      </c>
      <c r="D472">
        <v>2</v>
      </c>
      <c r="E472">
        <v>2.4700000000000002</v>
      </c>
      <c r="F472">
        <v>3.62</v>
      </c>
      <c r="G472">
        <v>4.62</v>
      </c>
      <c r="H472">
        <v>5.0199999999999996</v>
      </c>
      <c r="I472">
        <v>6.15</v>
      </c>
      <c r="J472">
        <v>6.9</v>
      </c>
      <c r="K472">
        <v>7.38</v>
      </c>
      <c r="M472" s="3"/>
      <c r="N472" s="17"/>
      <c r="O472" s="17"/>
      <c r="P472" s="17"/>
      <c r="Q472" s="17"/>
      <c r="R472" s="17"/>
      <c r="S472" s="17"/>
      <c r="T472" s="17"/>
      <c r="U472" s="17"/>
      <c r="V472" s="17"/>
      <c r="AE472" s="2"/>
      <c r="AQ472" s="2"/>
      <c r="AR472" s="2"/>
      <c r="AS472" s="2"/>
      <c r="AT472" s="2"/>
      <c r="AU472" s="2"/>
      <c r="AV472" s="2"/>
      <c r="AW472" s="2"/>
      <c r="AX472" s="2"/>
      <c r="AY472" s="2"/>
    </row>
    <row r="473" spans="1:51" x14ac:dyDescent="0.25">
      <c r="A473" s="24">
        <v>45090</v>
      </c>
      <c r="B473" s="1">
        <v>45090</v>
      </c>
      <c r="C473">
        <v>1.99</v>
      </c>
      <c r="D473">
        <v>2.29</v>
      </c>
      <c r="E473">
        <v>2.7</v>
      </c>
      <c r="F473">
        <v>3.69</v>
      </c>
      <c r="G473">
        <v>4.71</v>
      </c>
      <c r="H473">
        <v>5.07</v>
      </c>
      <c r="I473">
        <v>6.19</v>
      </c>
      <c r="J473">
        <v>6.92</v>
      </c>
      <c r="K473">
        <v>7.4</v>
      </c>
      <c r="M473" s="3"/>
      <c r="N473" s="17"/>
      <c r="O473" s="17"/>
      <c r="P473" s="17"/>
      <c r="Q473" s="17"/>
      <c r="R473" s="17"/>
      <c r="S473" s="17"/>
      <c r="T473" s="17"/>
      <c r="U473" s="17"/>
      <c r="V473" s="17"/>
      <c r="AE473" s="2"/>
      <c r="AQ473" s="2"/>
      <c r="AR473" s="2"/>
      <c r="AS473" s="2"/>
      <c r="AT473" s="2"/>
      <c r="AU473" s="2"/>
      <c r="AV473" s="2"/>
      <c r="AW473" s="2"/>
      <c r="AX473" s="2"/>
      <c r="AY473" s="2"/>
    </row>
    <row r="474" spans="1:51" x14ac:dyDescent="0.25">
      <c r="A474" s="24">
        <v>45089</v>
      </c>
      <c r="B474" s="1">
        <v>45089</v>
      </c>
      <c r="C474">
        <v>2.41</v>
      </c>
      <c r="D474">
        <v>2.66</v>
      </c>
      <c r="E474">
        <v>3.04</v>
      </c>
      <c r="F474">
        <v>3.94</v>
      </c>
      <c r="G474">
        <v>4.8600000000000003</v>
      </c>
      <c r="H474">
        <v>5.21</v>
      </c>
      <c r="I474">
        <v>6.33</v>
      </c>
      <c r="J474">
        <v>7.03</v>
      </c>
      <c r="K474">
        <v>7.56</v>
      </c>
      <c r="M474" s="3"/>
      <c r="N474" s="17"/>
      <c r="O474" s="17"/>
      <c r="P474" s="17"/>
      <c r="Q474" s="17"/>
      <c r="R474" s="17"/>
      <c r="S474" s="17"/>
      <c r="T474" s="17"/>
      <c r="U474" s="17"/>
      <c r="V474" s="17"/>
      <c r="AE474" s="2"/>
      <c r="AQ474" s="2"/>
      <c r="AR474" s="2"/>
      <c r="AS474" s="2"/>
      <c r="AT474" s="2"/>
      <c r="AU474" s="2"/>
      <c r="AV474" s="2"/>
      <c r="AW474" s="2"/>
      <c r="AX474" s="2"/>
      <c r="AY474" s="2"/>
    </row>
    <row r="475" spans="1:51" x14ac:dyDescent="0.25">
      <c r="A475" s="24">
        <v>45086</v>
      </c>
      <c r="B475" s="1">
        <v>45086</v>
      </c>
      <c r="C475">
        <v>2.67</v>
      </c>
      <c r="D475">
        <v>2.9</v>
      </c>
      <c r="E475">
        <v>3.18</v>
      </c>
      <c r="F475">
        <v>4.05</v>
      </c>
      <c r="G475">
        <v>4.82</v>
      </c>
      <c r="H475">
        <v>5.23</v>
      </c>
      <c r="I475">
        <v>6.33</v>
      </c>
      <c r="J475">
        <v>6.96</v>
      </c>
      <c r="K475">
        <v>7.45</v>
      </c>
      <c r="M475" s="3"/>
      <c r="N475" s="17"/>
      <c r="O475" s="17"/>
      <c r="P475" s="17"/>
      <c r="Q475" s="17"/>
      <c r="R475" s="17"/>
      <c r="S475" s="17"/>
      <c r="T475" s="17"/>
      <c r="U475" s="17"/>
      <c r="V475" s="17"/>
      <c r="AE475" s="2"/>
      <c r="AQ475" s="2"/>
      <c r="AR475" s="2"/>
      <c r="AS475" s="2"/>
      <c r="AT475" s="2"/>
      <c r="AU475" s="2"/>
      <c r="AV475" s="2"/>
      <c r="AW475" s="2"/>
      <c r="AX475" s="2"/>
      <c r="AY475" s="2"/>
    </row>
    <row r="476" spans="1:51" x14ac:dyDescent="0.25">
      <c r="A476" s="24">
        <v>45085</v>
      </c>
      <c r="B476" s="1">
        <v>45085</v>
      </c>
      <c r="C476">
        <v>3.09</v>
      </c>
      <c r="D476">
        <v>3.29</v>
      </c>
      <c r="E476">
        <v>3.53</v>
      </c>
      <c r="F476">
        <v>4.21</v>
      </c>
      <c r="G476">
        <v>4.97</v>
      </c>
      <c r="H476">
        <v>5.3</v>
      </c>
      <c r="I476">
        <v>6.36</v>
      </c>
      <c r="J476">
        <v>6.98</v>
      </c>
      <c r="K476">
        <v>7.5</v>
      </c>
      <c r="M476" s="3"/>
      <c r="N476" s="17"/>
      <c r="O476" s="17"/>
      <c r="P476" s="17"/>
      <c r="Q476" s="17"/>
      <c r="R476" s="17"/>
      <c r="S476" s="17"/>
      <c r="T476" s="17"/>
      <c r="U476" s="17"/>
      <c r="V476" s="17"/>
      <c r="AE476" s="2"/>
      <c r="AQ476" s="2"/>
      <c r="AR476" s="2"/>
      <c r="AS476" s="2"/>
      <c r="AT476" s="2"/>
      <c r="AU476" s="2"/>
      <c r="AV476" s="2"/>
      <c r="AW476" s="2"/>
      <c r="AX476" s="2"/>
      <c r="AY476" s="2"/>
    </row>
    <row r="477" spans="1:51" x14ac:dyDescent="0.25">
      <c r="A477" s="24">
        <v>45084</v>
      </c>
      <c r="B477" s="1">
        <v>45084</v>
      </c>
      <c r="C477">
        <v>3.57</v>
      </c>
      <c r="D477">
        <v>3.81</v>
      </c>
      <c r="E477">
        <v>4.04</v>
      </c>
      <c r="F477">
        <v>4.47</v>
      </c>
      <c r="G477">
        <v>5.13</v>
      </c>
      <c r="H477">
        <v>5.41</v>
      </c>
      <c r="I477">
        <v>6.36</v>
      </c>
      <c r="J477">
        <v>6.97</v>
      </c>
      <c r="K477">
        <v>7.52</v>
      </c>
      <c r="M477" s="3"/>
      <c r="N477" s="17"/>
      <c r="O477" s="17"/>
      <c r="P477" s="17"/>
      <c r="Q477" s="17"/>
      <c r="R477" s="17"/>
      <c r="S477" s="17"/>
      <c r="T477" s="17"/>
      <c r="U477" s="17"/>
      <c r="V477" s="17"/>
      <c r="AE477" s="2"/>
      <c r="AQ477" s="2"/>
      <c r="AR477" s="2"/>
      <c r="AS477" s="2"/>
      <c r="AT477" s="2"/>
      <c r="AU477" s="2"/>
      <c r="AV477" s="2"/>
      <c r="AW477" s="2"/>
      <c r="AX477" s="2"/>
      <c r="AY477" s="2"/>
    </row>
    <row r="478" spans="1:51" x14ac:dyDescent="0.25">
      <c r="A478" s="24">
        <v>45083</v>
      </c>
      <c r="B478" s="1">
        <v>45083</v>
      </c>
      <c r="C478">
        <v>3.77</v>
      </c>
      <c r="D478">
        <v>3.99</v>
      </c>
      <c r="E478">
        <v>4.2</v>
      </c>
      <c r="F478">
        <v>4.54</v>
      </c>
      <c r="G478">
        <v>5.2</v>
      </c>
      <c r="H478">
        <v>5.47</v>
      </c>
      <c r="I478">
        <v>6.44</v>
      </c>
      <c r="J478">
        <v>7.07</v>
      </c>
      <c r="K478">
        <v>7.58</v>
      </c>
      <c r="M478" s="3"/>
      <c r="N478" s="17"/>
      <c r="O478" s="17"/>
      <c r="P478" s="17"/>
      <c r="Q478" s="17"/>
      <c r="R478" s="17"/>
      <c r="S478" s="17"/>
      <c r="T478" s="17"/>
      <c r="U478" s="17"/>
      <c r="V478" s="17"/>
      <c r="AE478" s="2"/>
      <c r="AQ478" s="2"/>
      <c r="AR478" s="2"/>
      <c r="AS478" s="2"/>
      <c r="AT478" s="2"/>
      <c r="AU478" s="2"/>
      <c r="AV478" s="2"/>
      <c r="AW478" s="2"/>
      <c r="AX478" s="2"/>
      <c r="AY478" s="2"/>
    </row>
    <row r="479" spans="1:51" x14ac:dyDescent="0.25">
      <c r="A479" s="24">
        <v>45082</v>
      </c>
      <c r="B479" s="1">
        <v>45082</v>
      </c>
      <c r="C479">
        <v>3.91</v>
      </c>
      <c r="D479">
        <v>4.0999999999999996</v>
      </c>
      <c r="E479">
        <v>4.2699999999999996</v>
      </c>
      <c r="F479">
        <v>4.59</v>
      </c>
      <c r="G479">
        <v>5.2</v>
      </c>
      <c r="H479">
        <v>5.5</v>
      </c>
      <c r="I479">
        <v>6.5</v>
      </c>
      <c r="J479">
        <v>7.07</v>
      </c>
      <c r="K479">
        <v>7.58</v>
      </c>
      <c r="M479" s="3"/>
      <c r="N479" s="17"/>
      <c r="O479" s="17"/>
      <c r="P479" s="17"/>
      <c r="Q479" s="17"/>
      <c r="R479" s="17"/>
      <c r="S479" s="17"/>
      <c r="T479" s="17"/>
      <c r="U479" s="17"/>
      <c r="V479" s="17"/>
      <c r="AE479" s="2"/>
      <c r="AQ479" s="2"/>
      <c r="AR479" s="2"/>
      <c r="AS479" s="2"/>
      <c r="AT479" s="2"/>
      <c r="AU479" s="2"/>
      <c r="AV479" s="2"/>
      <c r="AW479" s="2"/>
      <c r="AX479" s="2"/>
      <c r="AY479" s="2"/>
    </row>
    <row r="480" spans="1:51" x14ac:dyDescent="0.25">
      <c r="A480" s="24">
        <v>45079</v>
      </c>
      <c r="B480" s="1">
        <v>45079</v>
      </c>
      <c r="C480">
        <v>4.01</v>
      </c>
      <c r="D480">
        <v>4.17</v>
      </c>
      <c r="E480">
        <v>4.29</v>
      </c>
      <c r="F480">
        <v>4.59</v>
      </c>
      <c r="G480">
        <v>5.14</v>
      </c>
      <c r="H480">
        <v>5.47</v>
      </c>
      <c r="I480">
        <v>6.53</v>
      </c>
      <c r="J480">
        <v>7.13</v>
      </c>
      <c r="K480">
        <v>7.6</v>
      </c>
      <c r="M480" s="3"/>
      <c r="N480" s="17"/>
      <c r="O480" s="17"/>
      <c r="P480" s="17"/>
      <c r="Q480" s="17"/>
      <c r="R480" s="17"/>
      <c r="S480" s="17"/>
      <c r="T480" s="17"/>
      <c r="U480" s="17"/>
      <c r="V480" s="17"/>
      <c r="AE480" s="2"/>
      <c r="AQ480" s="2"/>
      <c r="AR480" s="2"/>
      <c r="AS480" s="2"/>
      <c r="AT480" s="2"/>
      <c r="AU480" s="2"/>
      <c r="AV480" s="2"/>
      <c r="AW480" s="2"/>
      <c r="AX480" s="2"/>
      <c r="AY480" s="2"/>
    </row>
    <row r="481" spans="1:51" x14ac:dyDescent="0.25">
      <c r="A481" s="24">
        <v>45078</v>
      </c>
      <c r="B481" s="1">
        <v>45078</v>
      </c>
      <c r="C481">
        <v>4.0599999999999996</v>
      </c>
      <c r="D481">
        <v>4.2</v>
      </c>
      <c r="E481">
        <v>4.3</v>
      </c>
      <c r="F481">
        <v>4.5999999999999996</v>
      </c>
      <c r="G481">
        <v>5.14</v>
      </c>
      <c r="H481">
        <v>5.56</v>
      </c>
      <c r="I481">
        <v>6.68</v>
      </c>
      <c r="J481">
        <v>7.28</v>
      </c>
      <c r="K481">
        <v>7.76</v>
      </c>
      <c r="M481" s="3"/>
      <c r="N481" s="17"/>
      <c r="O481" s="17"/>
      <c r="P481" s="17"/>
      <c r="Q481" s="17"/>
      <c r="R481" s="17"/>
      <c r="S481" s="17"/>
      <c r="T481" s="17"/>
      <c r="U481" s="17"/>
      <c r="V481" s="17"/>
      <c r="AE481" s="2"/>
      <c r="AQ481" s="2"/>
      <c r="AR481" s="2"/>
      <c r="AS481" s="2"/>
      <c r="AT481" s="2"/>
      <c r="AU481" s="2"/>
      <c r="AV481" s="2"/>
      <c r="AW481" s="2"/>
      <c r="AX481" s="2"/>
      <c r="AY481" s="2"/>
    </row>
    <row r="482" spans="1:51" x14ac:dyDescent="0.25">
      <c r="A482" s="24">
        <v>45077</v>
      </c>
      <c r="B482" s="1">
        <v>45077</v>
      </c>
      <c r="C482">
        <v>3.98</v>
      </c>
      <c r="D482">
        <v>4.16</v>
      </c>
      <c r="E482">
        <v>4.32</v>
      </c>
      <c r="F482">
        <v>4.58</v>
      </c>
      <c r="G482">
        <v>5.16</v>
      </c>
      <c r="H482">
        <v>5.62</v>
      </c>
      <c r="I482">
        <v>6.72</v>
      </c>
      <c r="J482">
        <v>7.18</v>
      </c>
      <c r="K482">
        <v>7.68</v>
      </c>
      <c r="M482" s="3"/>
      <c r="N482" s="17"/>
      <c r="O482" s="17"/>
      <c r="P482" s="17"/>
      <c r="Q482" s="17"/>
      <c r="R482" s="17"/>
      <c r="S482" s="17"/>
      <c r="T482" s="17"/>
      <c r="U482" s="17"/>
      <c r="V482" s="17"/>
      <c r="AE482" s="2"/>
      <c r="AQ482" s="2"/>
      <c r="AR482" s="2"/>
      <c r="AS482" s="2"/>
      <c r="AT482" s="2"/>
      <c r="AU482" s="2"/>
      <c r="AV482" s="2"/>
      <c r="AW482" s="2"/>
      <c r="AX482" s="2"/>
      <c r="AY482" s="2"/>
    </row>
    <row r="483" spans="1:51" x14ac:dyDescent="0.25">
      <c r="A483" s="24">
        <v>45076</v>
      </c>
      <c r="B483" s="1">
        <v>45076</v>
      </c>
      <c r="C483">
        <v>3.77</v>
      </c>
      <c r="D483">
        <v>4.07</v>
      </c>
      <c r="E483">
        <v>4.25</v>
      </c>
      <c r="F483">
        <v>4.53</v>
      </c>
      <c r="G483">
        <v>5.13</v>
      </c>
      <c r="H483">
        <v>5.5</v>
      </c>
      <c r="I483">
        <v>6.58</v>
      </c>
      <c r="J483">
        <v>7.2</v>
      </c>
      <c r="K483">
        <v>7.68</v>
      </c>
      <c r="M483" s="3"/>
      <c r="N483" s="17"/>
      <c r="O483" s="17"/>
      <c r="P483" s="17"/>
      <c r="Q483" s="17"/>
      <c r="R483" s="17"/>
      <c r="S483" s="17"/>
      <c r="T483" s="17"/>
      <c r="U483" s="17"/>
      <c r="V483" s="17"/>
      <c r="AE483" s="2"/>
      <c r="AQ483" s="2"/>
      <c r="AR483" s="2"/>
      <c r="AS483" s="2"/>
      <c r="AT483" s="2"/>
      <c r="AU483" s="2"/>
      <c r="AV483" s="2"/>
      <c r="AW483" s="2"/>
      <c r="AX483" s="2"/>
      <c r="AY483" s="2"/>
    </row>
    <row r="484" spans="1:51" x14ac:dyDescent="0.25">
      <c r="A484" s="24">
        <v>45075</v>
      </c>
      <c r="B484" s="1">
        <v>45075</v>
      </c>
      <c r="C484">
        <v>3.97</v>
      </c>
      <c r="D484">
        <v>4.18</v>
      </c>
      <c r="E484">
        <v>4.37</v>
      </c>
      <c r="F484">
        <v>4.6500000000000004</v>
      </c>
      <c r="G484">
        <v>5.2</v>
      </c>
      <c r="H484">
        <v>5.57</v>
      </c>
      <c r="I484">
        <v>6.67</v>
      </c>
      <c r="J484">
        <v>7.14</v>
      </c>
      <c r="K484">
        <v>7.6</v>
      </c>
      <c r="M484" s="3"/>
      <c r="N484" s="17"/>
      <c r="O484" s="17"/>
      <c r="P484" s="17"/>
      <c r="Q484" s="17"/>
      <c r="R484" s="17"/>
      <c r="S484" s="17"/>
      <c r="T484" s="17"/>
      <c r="U484" s="17"/>
      <c r="V484" s="17"/>
      <c r="AE484" s="2"/>
      <c r="AQ484" s="2"/>
      <c r="AR484" s="2"/>
      <c r="AS484" s="2"/>
      <c r="AT484" s="2"/>
      <c r="AU484" s="2"/>
      <c r="AV484" s="2"/>
      <c r="AW484" s="2"/>
      <c r="AX484" s="2"/>
      <c r="AY484" s="2"/>
    </row>
    <row r="485" spans="1:51" x14ac:dyDescent="0.25">
      <c r="A485" s="24">
        <v>45072</v>
      </c>
      <c r="B485" s="1">
        <v>45072</v>
      </c>
      <c r="C485">
        <v>4.08</v>
      </c>
      <c r="D485">
        <v>4.2699999999999996</v>
      </c>
      <c r="E485">
        <v>4.4000000000000004</v>
      </c>
      <c r="F485">
        <v>4.67</v>
      </c>
      <c r="G485">
        <v>5.23</v>
      </c>
      <c r="H485">
        <v>5.63</v>
      </c>
      <c r="I485">
        <v>6.73</v>
      </c>
      <c r="J485">
        <v>7.19</v>
      </c>
      <c r="K485">
        <v>7.67</v>
      </c>
      <c r="M485" s="3"/>
      <c r="N485" s="17"/>
      <c r="O485" s="17"/>
      <c r="P485" s="17"/>
      <c r="Q485" s="17"/>
      <c r="R485" s="17"/>
      <c r="S485" s="17"/>
      <c r="T485" s="17"/>
      <c r="U485" s="17"/>
      <c r="V485" s="17"/>
      <c r="AE485" s="2"/>
      <c r="AQ485" s="2"/>
      <c r="AR485" s="2"/>
      <c r="AS485" s="2"/>
      <c r="AT485" s="2"/>
      <c r="AU485" s="2"/>
      <c r="AV485" s="2"/>
      <c r="AW485" s="2"/>
      <c r="AX485" s="2"/>
      <c r="AY485" s="2"/>
    </row>
    <row r="486" spans="1:51" x14ac:dyDescent="0.25">
      <c r="A486" s="24">
        <v>45071</v>
      </c>
      <c r="B486" s="1">
        <v>45071</v>
      </c>
      <c r="C486">
        <v>4.18</v>
      </c>
      <c r="D486">
        <v>4.32</v>
      </c>
      <c r="E486">
        <v>4.47</v>
      </c>
      <c r="F486">
        <v>4.72</v>
      </c>
      <c r="G486">
        <v>5.28</v>
      </c>
      <c r="H486">
        <v>5.63</v>
      </c>
      <c r="I486">
        <v>6.73</v>
      </c>
      <c r="J486">
        <v>7.19</v>
      </c>
      <c r="K486">
        <v>7.67</v>
      </c>
      <c r="M486" s="3"/>
      <c r="N486" s="17"/>
      <c r="O486" s="17"/>
      <c r="P486" s="17"/>
      <c r="Q486" s="17"/>
      <c r="R486" s="17"/>
      <c r="S486" s="17"/>
      <c r="T486" s="17"/>
      <c r="U486" s="17"/>
      <c r="V486" s="17"/>
      <c r="AE486" s="2"/>
      <c r="AQ486" s="2"/>
      <c r="AR486" s="2"/>
      <c r="AS486" s="2"/>
      <c r="AT486" s="2"/>
      <c r="AU486" s="2"/>
      <c r="AV486" s="2"/>
      <c r="AW486" s="2"/>
      <c r="AX486" s="2"/>
      <c r="AY486" s="2"/>
    </row>
    <row r="487" spans="1:51" x14ac:dyDescent="0.25">
      <c r="A487" s="24">
        <v>45070</v>
      </c>
      <c r="B487" s="1">
        <v>45070</v>
      </c>
      <c r="C487">
        <v>4.34</v>
      </c>
      <c r="D487">
        <v>4.5</v>
      </c>
      <c r="E487">
        <v>4.58</v>
      </c>
      <c r="F487">
        <v>4.8</v>
      </c>
      <c r="G487">
        <v>5.33</v>
      </c>
      <c r="H487">
        <v>5.68</v>
      </c>
      <c r="I487">
        <v>6.8</v>
      </c>
      <c r="J487">
        <v>7.22</v>
      </c>
      <c r="K487">
        <v>7.7</v>
      </c>
      <c r="M487" s="3"/>
      <c r="N487" s="17"/>
      <c r="O487" s="17"/>
      <c r="P487" s="17"/>
      <c r="Q487" s="17"/>
      <c r="R487" s="17"/>
      <c r="S487" s="17"/>
      <c r="T487" s="17"/>
      <c r="U487" s="17"/>
      <c r="V487" s="17"/>
      <c r="AE487" s="2"/>
      <c r="AQ487" s="2"/>
      <c r="AR487" s="2"/>
      <c r="AS487" s="2"/>
      <c r="AT487" s="2"/>
      <c r="AU487" s="2"/>
      <c r="AV487" s="2"/>
      <c r="AW487" s="2"/>
      <c r="AX487" s="2"/>
      <c r="AY487" s="2"/>
    </row>
    <row r="488" spans="1:51" x14ac:dyDescent="0.25">
      <c r="A488" s="24">
        <v>45069</v>
      </c>
      <c r="B488" s="1">
        <v>45069</v>
      </c>
      <c r="C488">
        <v>4.38</v>
      </c>
      <c r="D488">
        <v>4.5199999999999996</v>
      </c>
      <c r="E488">
        <v>4.66</v>
      </c>
      <c r="F488">
        <v>4.88</v>
      </c>
      <c r="G488">
        <v>5.36</v>
      </c>
      <c r="H488">
        <v>5.74</v>
      </c>
      <c r="I488">
        <v>6.92</v>
      </c>
      <c r="J488">
        <v>7.28</v>
      </c>
      <c r="K488">
        <v>7.86</v>
      </c>
      <c r="M488" s="3"/>
      <c r="N488" s="17"/>
      <c r="O488" s="17"/>
      <c r="P488" s="17"/>
      <c r="Q488" s="17"/>
      <c r="R488" s="17"/>
      <c r="S488" s="17"/>
      <c r="T488" s="17"/>
      <c r="U488" s="17"/>
      <c r="V488" s="17"/>
      <c r="AE488" s="2"/>
      <c r="AQ488" s="2"/>
      <c r="AR488" s="2"/>
      <c r="AS488" s="2"/>
      <c r="AT488" s="2"/>
      <c r="AU488" s="2"/>
      <c r="AV488" s="2"/>
      <c r="AW488" s="2"/>
      <c r="AX488" s="2"/>
      <c r="AY488" s="2"/>
    </row>
    <row r="489" spans="1:51" x14ac:dyDescent="0.25">
      <c r="A489" s="24">
        <v>45068</v>
      </c>
      <c r="B489" s="1">
        <v>45068</v>
      </c>
      <c r="C489">
        <v>4.41</v>
      </c>
      <c r="D489">
        <v>4.5599999999999996</v>
      </c>
      <c r="E489">
        <v>4.67</v>
      </c>
      <c r="F489">
        <v>4.87</v>
      </c>
      <c r="G489">
        <v>5.39</v>
      </c>
      <c r="H489">
        <v>5.73</v>
      </c>
      <c r="I489">
        <v>6.81</v>
      </c>
      <c r="J489">
        <v>7.22</v>
      </c>
      <c r="K489">
        <v>7.7</v>
      </c>
      <c r="M489" s="3"/>
      <c r="N489" s="17"/>
      <c r="O489" s="17"/>
      <c r="P489" s="17"/>
      <c r="Q489" s="17"/>
      <c r="R489" s="17"/>
      <c r="S489" s="17"/>
      <c r="T489" s="17"/>
      <c r="U489" s="17"/>
      <c r="V489" s="17"/>
      <c r="AE489" s="2"/>
      <c r="AQ489" s="2"/>
      <c r="AR489" s="2"/>
      <c r="AS489" s="2"/>
      <c r="AT489" s="2"/>
      <c r="AU489" s="2"/>
      <c r="AV489" s="2"/>
      <c r="AW489" s="2"/>
      <c r="AX489" s="2"/>
      <c r="AY489" s="2"/>
    </row>
    <row r="490" spans="1:51" x14ac:dyDescent="0.25">
      <c r="A490" s="24">
        <v>45065</v>
      </c>
      <c r="B490" s="1">
        <v>45065</v>
      </c>
      <c r="C490">
        <v>4.4400000000000004</v>
      </c>
      <c r="D490">
        <v>4.57</v>
      </c>
      <c r="E490">
        <v>4.71</v>
      </c>
      <c r="F490">
        <v>4.91</v>
      </c>
      <c r="G490">
        <v>5.46</v>
      </c>
      <c r="H490">
        <v>5.86</v>
      </c>
      <c r="I490">
        <v>6.81</v>
      </c>
      <c r="J490">
        <v>7.22</v>
      </c>
      <c r="K490">
        <v>7.7</v>
      </c>
      <c r="M490" s="3"/>
      <c r="N490" s="17"/>
      <c r="O490" s="17"/>
      <c r="P490" s="17"/>
      <c r="Q490" s="17"/>
      <c r="R490" s="17"/>
      <c r="S490" s="17"/>
      <c r="T490" s="17"/>
      <c r="U490" s="17"/>
      <c r="V490" s="17"/>
      <c r="AE490" s="2"/>
      <c r="AQ490" s="2"/>
      <c r="AR490" s="2"/>
      <c r="AS490" s="2"/>
      <c r="AT490" s="2"/>
      <c r="AU490" s="2"/>
      <c r="AV490" s="2"/>
      <c r="AW490" s="2"/>
      <c r="AX490" s="2"/>
      <c r="AY490" s="2"/>
    </row>
    <row r="491" spans="1:51" x14ac:dyDescent="0.25">
      <c r="A491" s="24">
        <v>45064</v>
      </c>
      <c r="B491" s="1">
        <v>45064</v>
      </c>
      <c r="C491">
        <v>4.55</v>
      </c>
      <c r="D491">
        <v>4.7</v>
      </c>
      <c r="E491">
        <v>4.82</v>
      </c>
      <c r="F491">
        <v>5.05</v>
      </c>
      <c r="G491">
        <v>5.53</v>
      </c>
      <c r="H491">
        <v>5.93</v>
      </c>
      <c r="I491">
        <v>6.83</v>
      </c>
      <c r="J491">
        <v>7.2</v>
      </c>
      <c r="K491">
        <v>7.68</v>
      </c>
      <c r="M491" s="3"/>
      <c r="N491" s="17"/>
      <c r="O491" s="17"/>
      <c r="P491" s="17"/>
      <c r="Q491" s="17"/>
      <c r="R491" s="17"/>
      <c r="S491" s="17"/>
      <c r="T491" s="17"/>
      <c r="U491" s="17"/>
      <c r="V491" s="17"/>
      <c r="AE491" s="2"/>
      <c r="AQ491" s="2"/>
      <c r="AR491" s="2"/>
      <c r="AS491" s="2"/>
      <c r="AT491" s="2"/>
      <c r="AU491" s="2"/>
      <c r="AV491" s="2"/>
      <c r="AW491" s="2"/>
      <c r="AX491" s="2"/>
      <c r="AY491" s="2"/>
    </row>
    <row r="492" spans="1:51" x14ac:dyDescent="0.25">
      <c r="A492" s="24">
        <v>45063</v>
      </c>
      <c r="B492" s="1">
        <v>45063</v>
      </c>
      <c r="C492">
        <v>4.83</v>
      </c>
      <c r="D492">
        <v>4.91</v>
      </c>
      <c r="E492">
        <v>4.99</v>
      </c>
      <c r="F492">
        <v>5.13</v>
      </c>
      <c r="G492">
        <v>5.61</v>
      </c>
      <c r="H492">
        <v>6.01</v>
      </c>
      <c r="I492">
        <v>6.84</v>
      </c>
      <c r="J492">
        <v>7.25</v>
      </c>
      <c r="K492">
        <v>7.74</v>
      </c>
      <c r="M492" s="3"/>
      <c r="N492" s="17"/>
      <c r="O492" s="17"/>
      <c r="P492" s="17"/>
      <c r="Q492" s="17"/>
      <c r="R492" s="17"/>
      <c r="S492" s="17"/>
      <c r="T492" s="17"/>
      <c r="U492" s="17"/>
      <c r="V492" s="17"/>
      <c r="AE492" s="2"/>
      <c r="AQ492" s="2"/>
      <c r="AR492" s="2"/>
      <c r="AS492" s="2"/>
      <c r="AT492" s="2"/>
      <c r="AU492" s="2"/>
      <c r="AV492" s="2"/>
      <c r="AW492" s="2"/>
      <c r="AX492" s="2"/>
      <c r="AY492" s="2"/>
    </row>
    <row r="493" spans="1:51" x14ac:dyDescent="0.25">
      <c r="A493" s="24">
        <v>45062</v>
      </c>
      <c r="B493" s="1">
        <v>45062</v>
      </c>
      <c r="C493">
        <v>4.93</v>
      </c>
      <c r="D493">
        <v>4.9800000000000004</v>
      </c>
      <c r="E493">
        <v>5.0199999999999996</v>
      </c>
      <c r="F493">
        <v>5.25</v>
      </c>
      <c r="G493">
        <v>5.67</v>
      </c>
      <c r="H493">
        <v>6.1</v>
      </c>
      <c r="I493">
        <v>6.92</v>
      </c>
      <c r="J493">
        <v>7.28</v>
      </c>
      <c r="K493">
        <v>7.75</v>
      </c>
      <c r="M493" s="3"/>
      <c r="N493" s="17"/>
      <c r="O493" s="17"/>
      <c r="P493" s="17"/>
      <c r="Q493" s="17"/>
      <c r="R493" s="17"/>
      <c r="S493" s="17"/>
      <c r="T493" s="17"/>
      <c r="U493" s="17"/>
      <c r="V493" s="17"/>
      <c r="AE493" s="2"/>
      <c r="AQ493" s="2"/>
      <c r="AR493" s="2"/>
      <c r="AS493" s="2"/>
      <c r="AT493" s="2"/>
      <c r="AU493" s="2"/>
      <c r="AV493" s="2"/>
      <c r="AW493" s="2"/>
      <c r="AX493" s="2"/>
      <c r="AY493" s="2"/>
    </row>
    <row r="494" spans="1:51" x14ac:dyDescent="0.25">
      <c r="A494" s="24">
        <v>45061</v>
      </c>
      <c r="B494" s="1">
        <v>45061</v>
      </c>
      <c r="C494">
        <v>4.92</v>
      </c>
      <c r="D494">
        <v>5</v>
      </c>
      <c r="E494">
        <v>5.03</v>
      </c>
      <c r="F494">
        <v>5.25</v>
      </c>
      <c r="G494">
        <v>5.65</v>
      </c>
      <c r="H494">
        <v>6.07</v>
      </c>
      <c r="I494">
        <v>6.88</v>
      </c>
      <c r="J494">
        <v>7.23</v>
      </c>
      <c r="K494">
        <v>7.7</v>
      </c>
      <c r="M494" s="3"/>
      <c r="N494" s="17"/>
      <c r="O494" s="17"/>
      <c r="P494" s="17"/>
      <c r="Q494" s="17"/>
      <c r="R494" s="17"/>
      <c r="S494" s="17"/>
      <c r="T494" s="17"/>
      <c r="U494" s="17"/>
      <c r="V494" s="17"/>
      <c r="AE494" s="2"/>
      <c r="AQ494" s="2"/>
      <c r="AR494" s="2"/>
      <c r="AS494" s="2"/>
      <c r="AT494" s="2"/>
      <c r="AU494" s="2"/>
      <c r="AV494" s="2"/>
      <c r="AW494" s="2"/>
      <c r="AX494" s="2"/>
      <c r="AY494" s="2"/>
    </row>
    <row r="495" spans="1:51" x14ac:dyDescent="0.25">
      <c r="A495" s="24">
        <v>45058</v>
      </c>
      <c r="B495" s="1">
        <v>45058</v>
      </c>
      <c r="C495">
        <v>4.91</v>
      </c>
      <c r="D495">
        <v>4.96</v>
      </c>
      <c r="E495">
        <v>5.04</v>
      </c>
      <c r="F495">
        <v>5.23</v>
      </c>
      <c r="G495">
        <v>5.66</v>
      </c>
      <c r="H495">
        <v>6.07</v>
      </c>
      <c r="I495">
        <v>6.89</v>
      </c>
      <c r="J495">
        <v>7.25</v>
      </c>
      <c r="K495">
        <v>7.72</v>
      </c>
      <c r="M495" s="3"/>
      <c r="N495" s="17"/>
      <c r="O495" s="17"/>
      <c r="P495" s="17"/>
      <c r="Q495" s="17"/>
      <c r="R495" s="17"/>
      <c r="S495" s="17"/>
      <c r="T495" s="17"/>
      <c r="U495" s="17"/>
      <c r="V495" s="17"/>
      <c r="AE495" s="2"/>
      <c r="AQ495" s="2"/>
      <c r="AR495" s="2"/>
      <c r="AS495" s="2"/>
      <c r="AT495" s="2"/>
      <c r="AU495" s="2"/>
      <c r="AV495" s="2"/>
      <c r="AW495" s="2"/>
      <c r="AX495" s="2"/>
      <c r="AY495" s="2"/>
    </row>
    <row r="496" spans="1:51" x14ac:dyDescent="0.25">
      <c r="A496" s="24">
        <v>45057</v>
      </c>
      <c r="B496" s="1">
        <v>45057</v>
      </c>
      <c r="C496">
        <v>4.78</v>
      </c>
      <c r="D496">
        <v>4.9000000000000004</v>
      </c>
      <c r="E496">
        <v>5</v>
      </c>
      <c r="F496">
        <v>5.18</v>
      </c>
      <c r="G496">
        <v>5.7</v>
      </c>
      <c r="H496">
        <v>6.14</v>
      </c>
      <c r="I496">
        <v>6.98</v>
      </c>
      <c r="J496">
        <v>7.38</v>
      </c>
      <c r="K496">
        <v>7.82</v>
      </c>
      <c r="M496" s="3"/>
      <c r="N496" s="17"/>
      <c r="O496" s="17"/>
      <c r="P496" s="17"/>
      <c r="Q496" s="17"/>
      <c r="R496" s="17"/>
      <c r="S496" s="17"/>
      <c r="T496" s="17"/>
      <c r="U496" s="17"/>
      <c r="V496" s="17"/>
      <c r="AE496" s="2"/>
      <c r="AQ496" s="2"/>
      <c r="AR496" s="2"/>
      <c r="AS496" s="2"/>
      <c r="AT496" s="2"/>
      <c r="AU496" s="2"/>
      <c r="AV496" s="2"/>
      <c r="AW496" s="2"/>
      <c r="AX496" s="2"/>
      <c r="AY496" s="2"/>
    </row>
    <row r="497" spans="1:51" x14ac:dyDescent="0.25">
      <c r="A497" s="24">
        <v>45056</v>
      </c>
      <c r="B497" s="1">
        <v>45056</v>
      </c>
      <c r="C497">
        <v>4.82</v>
      </c>
      <c r="D497">
        <v>4.93</v>
      </c>
      <c r="E497">
        <v>5.03</v>
      </c>
      <c r="F497">
        <v>5.22</v>
      </c>
      <c r="G497">
        <v>5.67</v>
      </c>
      <c r="H497">
        <v>6.03</v>
      </c>
      <c r="I497">
        <v>6.87</v>
      </c>
      <c r="J497">
        <v>7.25</v>
      </c>
      <c r="K497">
        <v>7.72</v>
      </c>
      <c r="M497" s="3"/>
      <c r="N497" s="17"/>
      <c r="O497" s="17"/>
      <c r="P497" s="17"/>
      <c r="Q497" s="17"/>
      <c r="R497" s="17"/>
      <c r="S497" s="17"/>
      <c r="T497" s="17"/>
      <c r="U497" s="17"/>
      <c r="V497" s="17"/>
      <c r="AE497" s="2"/>
      <c r="AQ497" s="2"/>
      <c r="AR497" s="2"/>
      <c r="AS497" s="2"/>
      <c r="AT497" s="2"/>
      <c r="AU497" s="2"/>
      <c r="AV497" s="2"/>
      <c r="AW497" s="2"/>
      <c r="AX497" s="2"/>
      <c r="AY497" s="2"/>
    </row>
    <row r="498" spans="1:51" x14ac:dyDescent="0.25">
      <c r="A498" s="24">
        <v>45055</v>
      </c>
      <c r="B498" s="1">
        <v>45055</v>
      </c>
      <c r="C498">
        <v>5.0199999999999996</v>
      </c>
      <c r="D498">
        <v>5.15</v>
      </c>
      <c r="E498">
        <v>5.18</v>
      </c>
      <c r="F498">
        <v>5.38</v>
      </c>
      <c r="G498">
        <v>5.77</v>
      </c>
      <c r="H498">
        <v>6.17</v>
      </c>
      <c r="I498">
        <v>7.02</v>
      </c>
      <c r="J498">
        <v>7.34</v>
      </c>
      <c r="K498">
        <v>7.8</v>
      </c>
      <c r="M498" s="3"/>
      <c r="N498" s="17"/>
      <c r="O498" s="17"/>
      <c r="P498" s="17"/>
      <c r="Q498" s="17"/>
      <c r="R498" s="17"/>
      <c r="S498" s="17"/>
      <c r="T498" s="17"/>
      <c r="U498" s="17"/>
      <c r="V498" s="17"/>
      <c r="AE498" s="2"/>
      <c r="AQ498" s="2"/>
      <c r="AR498" s="2"/>
      <c r="AS498" s="2"/>
      <c r="AT498" s="2"/>
      <c r="AU498" s="2"/>
      <c r="AV498" s="2"/>
      <c r="AW498" s="2"/>
      <c r="AX498" s="2"/>
      <c r="AY498" s="2"/>
    </row>
    <row r="499" spans="1:51" x14ac:dyDescent="0.25">
      <c r="A499" s="24">
        <v>45054</v>
      </c>
      <c r="B499" s="1">
        <v>45054</v>
      </c>
      <c r="C499">
        <v>5.04</v>
      </c>
      <c r="D499">
        <v>5.14</v>
      </c>
      <c r="E499">
        <v>5.17</v>
      </c>
      <c r="F499">
        <v>5.34</v>
      </c>
      <c r="G499">
        <v>5.79</v>
      </c>
      <c r="H499">
        <v>6.17</v>
      </c>
      <c r="I499">
        <v>7.04</v>
      </c>
      <c r="J499">
        <v>7.4</v>
      </c>
      <c r="K499">
        <v>7.86</v>
      </c>
      <c r="M499" s="3"/>
      <c r="N499" s="17"/>
      <c r="O499" s="17"/>
      <c r="P499" s="17"/>
      <c r="Q499" s="17"/>
      <c r="R499" s="17"/>
      <c r="S499" s="17"/>
      <c r="T499" s="17"/>
      <c r="U499" s="17"/>
      <c r="V499" s="17"/>
      <c r="AE499" s="2"/>
      <c r="AQ499" s="2"/>
      <c r="AR499" s="2"/>
      <c r="AS499" s="2"/>
      <c r="AT499" s="2"/>
      <c r="AU499" s="2"/>
      <c r="AV499" s="2"/>
      <c r="AW499" s="2"/>
      <c r="AX499" s="2"/>
      <c r="AY499" s="2"/>
    </row>
    <row r="500" spans="1:51" x14ac:dyDescent="0.25">
      <c r="A500" s="24">
        <v>45051</v>
      </c>
      <c r="B500" s="1">
        <v>45051</v>
      </c>
      <c r="C500">
        <v>4.9800000000000004</v>
      </c>
      <c r="D500">
        <v>5.0999999999999996</v>
      </c>
      <c r="E500">
        <v>5.18</v>
      </c>
      <c r="F500">
        <v>5.33</v>
      </c>
      <c r="G500">
        <v>5.82</v>
      </c>
      <c r="H500">
        <v>6.17</v>
      </c>
      <c r="I500">
        <v>7.02</v>
      </c>
      <c r="J500">
        <v>7.36</v>
      </c>
      <c r="K500">
        <v>7.83</v>
      </c>
      <c r="M500" s="3"/>
      <c r="N500" s="17"/>
      <c r="O500" s="17"/>
      <c r="P500" s="17"/>
      <c r="Q500" s="17"/>
      <c r="R500" s="17"/>
      <c r="S500" s="17"/>
      <c r="T500" s="17"/>
      <c r="U500" s="17"/>
      <c r="V500" s="17"/>
      <c r="AE500" s="2"/>
      <c r="AQ500" s="2"/>
      <c r="AR500" s="2"/>
      <c r="AS500" s="2"/>
      <c r="AT500" s="2"/>
      <c r="AU500" s="2"/>
      <c r="AV500" s="2"/>
      <c r="AW500" s="2"/>
      <c r="AX500" s="2"/>
      <c r="AY500" s="2"/>
    </row>
    <row r="501" spans="1:51" x14ac:dyDescent="0.25">
      <c r="A501" s="24">
        <v>45050</v>
      </c>
      <c r="B501" s="1">
        <v>45050</v>
      </c>
      <c r="C501">
        <v>4.91</v>
      </c>
      <c r="D501">
        <v>4.99</v>
      </c>
      <c r="E501">
        <v>5.0599999999999996</v>
      </c>
      <c r="F501">
        <v>5.27</v>
      </c>
      <c r="G501">
        <v>5.89</v>
      </c>
      <c r="H501">
        <v>6.19</v>
      </c>
      <c r="I501">
        <v>7.06</v>
      </c>
      <c r="J501">
        <v>7.4</v>
      </c>
      <c r="K501">
        <v>7.8</v>
      </c>
      <c r="M501" s="3"/>
      <c r="N501" s="17"/>
      <c r="O501" s="17"/>
      <c r="P501" s="17"/>
      <c r="Q501" s="17"/>
      <c r="R501" s="17"/>
      <c r="S501" s="17"/>
      <c r="T501" s="17"/>
      <c r="U501" s="17"/>
      <c r="V501" s="17"/>
      <c r="AE501" s="2"/>
      <c r="AQ501" s="2"/>
      <c r="AR501" s="2"/>
      <c r="AS501" s="2"/>
      <c r="AT501" s="2"/>
      <c r="AU501" s="2"/>
      <c r="AV501" s="2"/>
      <c r="AW501" s="2"/>
      <c r="AX501" s="2"/>
      <c r="AY501" s="2"/>
    </row>
    <row r="502" spans="1:51" x14ac:dyDescent="0.25">
      <c r="A502" s="24">
        <v>45044</v>
      </c>
      <c r="B502" s="1">
        <v>45044</v>
      </c>
      <c r="C502">
        <v>4.6100000000000003</v>
      </c>
      <c r="D502">
        <v>4.8</v>
      </c>
      <c r="E502">
        <v>4.93</v>
      </c>
      <c r="F502">
        <v>5.24</v>
      </c>
      <c r="G502">
        <v>5.87</v>
      </c>
      <c r="H502">
        <v>6.21</v>
      </c>
      <c r="I502">
        <v>7.09</v>
      </c>
      <c r="J502">
        <v>7.4</v>
      </c>
      <c r="K502">
        <v>7.86</v>
      </c>
      <c r="M502" s="3"/>
      <c r="N502" s="17"/>
      <c r="O502" s="17"/>
      <c r="P502" s="17"/>
      <c r="Q502" s="17"/>
      <c r="R502" s="17"/>
      <c r="S502" s="17"/>
      <c r="T502" s="17"/>
      <c r="U502" s="17"/>
      <c r="V502" s="17"/>
      <c r="AE502" s="2"/>
      <c r="AQ502" s="2"/>
      <c r="AR502" s="2"/>
      <c r="AS502" s="2"/>
      <c r="AT502" s="2"/>
      <c r="AU502" s="2"/>
      <c r="AV502" s="2"/>
      <c r="AW502" s="2"/>
      <c r="AX502" s="2"/>
      <c r="AY502" s="2"/>
    </row>
    <row r="503" spans="1:51" x14ac:dyDescent="0.25">
      <c r="A503" s="24">
        <v>45043</v>
      </c>
      <c r="B503" s="1">
        <v>45043</v>
      </c>
      <c r="C503">
        <v>4.0999999999999996</v>
      </c>
      <c r="D503">
        <v>4.72</v>
      </c>
      <c r="E503">
        <v>4.8600000000000003</v>
      </c>
      <c r="F503">
        <v>5.28</v>
      </c>
      <c r="G503">
        <v>5.9</v>
      </c>
      <c r="H503">
        <v>6.16</v>
      </c>
      <c r="I503">
        <v>7.12</v>
      </c>
      <c r="J503">
        <v>7.38</v>
      </c>
      <c r="K503">
        <v>7.8</v>
      </c>
      <c r="M503" s="3"/>
      <c r="N503" s="17"/>
      <c r="O503" s="17"/>
      <c r="P503" s="17"/>
      <c r="Q503" s="17"/>
      <c r="R503" s="17"/>
      <c r="S503" s="17"/>
      <c r="T503" s="17"/>
      <c r="U503" s="17"/>
      <c r="V503" s="17"/>
      <c r="AE503" s="2"/>
      <c r="AQ503" s="2"/>
      <c r="AR503" s="2"/>
      <c r="AS503" s="2"/>
      <c r="AT503" s="2"/>
      <c r="AU503" s="2"/>
      <c r="AV503" s="2"/>
      <c r="AW503" s="2"/>
      <c r="AX503" s="2"/>
      <c r="AY503" s="2"/>
    </row>
    <row r="504" spans="1:51" x14ac:dyDescent="0.25">
      <c r="A504" s="24">
        <v>45042</v>
      </c>
      <c r="B504" s="1">
        <v>45042</v>
      </c>
      <c r="C504">
        <v>4.5199999999999996</v>
      </c>
      <c r="D504">
        <v>4.87</v>
      </c>
      <c r="E504">
        <v>4.9800000000000004</v>
      </c>
      <c r="F504">
        <v>5.4</v>
      </c>
      <c r="G504">
        <v>5.87</v>
      </c>
      <c r="H504">
        <v>6.17</v>
      </c>
      <c r="I504">
        <v>7.02</v>
      </c>
      <c r="J504">
        <v>7.32</v>
      </c>
      <c r="K504">
        <v>7.73</v>
      </c>
      <c r="M504" s="3"/>
      <c r="N504" s="17"/>
      <c r="O504" s="17"/>
      <c r="P504" s="17"/>
      <c r="Q504" s="17"/>
      <c r="R504" s="17"/>
      <c r="S504" s="17"/>
      <c r="T504" s="17"/>
      <c r="U504" s="17"/>
      <c r="V504" s="17"/>
      <c r="AE504" s="2"/>
      <c r="AQ504" s="2"/>
      <c r="AR504" s="2"/>
      <c r="AS504" s="2"/>
      <c r="AT504" s="2"/>
      <c r="AU504" s="2"/>
      <c r="AV504" s="2"/>
      <c r="AW504" s="2"/>
      <c r="AX504" s="2"/>
      <c r="AY504" s="2"/>
    </row>
    <row r="505" spans="1:51" x14ac:dyDescent="0.25">
      <c r="A505" s="24">
        <v>45041</v>
      </c>
      <c r="B505" s="1">
        <v>45041</v>
      </c>
      <c r="C505">
        <v>6.03</v>
      </c>
      <c r="D505">
        <v>5.97</v>
      </c>
      <c r="E505">
        <v>5.98</v>
      </c>
      <c r="F505">
        <v>5.82</v>
      </c>
      <c r="G505">
        <v>6.07</v>
      </c>
      <c r="H505">
        <v>6.35</v>
      </c>
      <c r="I505">
        <v>7.1</v>
      </c>
      <c r="J505">
        <v>7.46</v>
      </c>
      <c r="K505">
        <v>7.9</v>
      </c>
      <c r="M505" s="3"/>
      <c r="N505" s="17"/>
      <c r="O505" s="17"/>
      <c r="P505" s="17"/>
      <c r="Q505" s="17"/>
      <c r="R505" s="17"/>
      <c r="S505" s="17"/>
      <c r="T505" s="17"/>
      <c r="U505" s="17"/>
      <c r="V505" s="17"/>
      <c r="AE505" s="2"/>
      <c r="AQ505" s="2"/>
      <c r="AR505" s="2"/>
      <c r="AS505" s="2"/>
      <c r="AT505" s="2"/>
      <c r="AU505" s="2"/>
      <c r="AV505" s="2"/>
      <c r="AW505" s="2"/>
      <c r="AX505" s="2"/>
      <c r="AY505" s="2"/>
    </row>
    <row r="506" spans="1:51" x14ac:dyDescent="0.25">
      <c r="A506" s="24">
        <v>45040</v>
      </c>
      <c r="B506" s="1">
        <v>45040</v>
      </c>
      <c r="C506">
        <v>3.81</v>
      </c>
      <c r="D506">
        <v>4.3</v>
      </c>
      <c r="E506">
        <v>4.6900000000000004</v>
      </c>
      <c r="F506">
        <v>4.97</v>
      </c>
      <c r="G506">
        <v>5.86</v>
      </c>
      <c r="H506">
        <v>6.33</v>
      </c>
      <c r="I506">
        <v>7.09</v>
      </c>
      <c r="J506">
        <v>7.43</v>
      </c>
      <c r="K506">
        <v>7.88</v>
      </c>
      <c r="M506" s="3"/>
      <c r="N506" s="17"/>
      <c r="O506" s="17"/>
      <c r="P506" s="17"/>
      <c r="Q506" s="17"/>
      <c r="R506" s="17"/>
      <c r="S506" s="17"/>
      <c r="T506" s="17"/>
      <c r="U506" s="17"/>
      <c r="V506" s="17"/>
      <c r="AE506" s="2"/>
      <c r="AQ506" s="2"/>
      <c r="AR506" s="2"/>
      <c r="AS506" s="2"/>
      <c r="AT506" s="2"/>
      <c r="AU506" s="2"/>
      <c r="AV506" s="2"/>
      <c r="AW506" s="2"/>
      <c r="AX506" s="2"/>
      <c r="AY506" s="2"/>
    </row>
    <row r="507" spans="1:51" x14ac:dyDescent="0.25">
      <c r="A507" s="24">
        <v>45037</v>
      </c>
      <c r="B507" s="1">
        <v>45037</v>
      </c>
      <c r="C507">
        <v>3.23</v>
      </c>
      <c r="D507">
        <v>3.7</v>
      </c>
      <c r="E507">
        <v>4.2699999999999996</v>
      </c>
      <c r="F507">
        <v>4.95</v>
      </c>
      <c r="G507">
        <v>5.82</v>
      </c>
      <c r="H507">
        <v>6.28</v>
      </c>
      <c r="I507">
        <v>7.02</v>
      </c>
      <c r="J507">
        <v>7.41</v>
      </c>
      <c r="K507">
        <v>7.82</v>
      </c>
      <c r="M507" s="3"/>
      <c r="N507" s="17"/>
      <c r="O507" s="17"/>
      <c r="P507" s="17"/>
      <c r="Q507" s="17"/>
      <c r="R507" s="17"/>
      <c r="S507" s="17"/>
      <c r="T507" s="17"/>
      <c r="U507" s="17"/>
      <c r="V507" s="17"/>
      <c r="AE507" s="2"/>
      <c r="AQ507" s="2"/>
      <c r="AR507" s="2"/>
      <c r="AS507" s="2"/>
      <c r="AT507" s="2"/>
      <c r="AU507" s="2"/>
      <c r="AV507" s="2"/>
      <c r="AW507" s="2"/>
      <c r="AX507" s="2"/>
      <c r="AY507" s="2"/>
    </row>
    <row r="508" spans="1:51" x14ac:dyDescent="0.25">
      <c r="A508" s="24">
        <v>45036</v>
      </c>
      <c r="B508" s="1">
        <v>45036</v>
      </c>
      <c r="C508">
        <v>3.77</v>
      </c>
      <c r="D508">
        <v>4.07</v>
      </c>
      <c r="E508">
        <v>4.6100000000000003</v>
      </c>
      <c r="F508">
        <v>5.07</v>
      </c>
      <c r="G508">
        <v>5.87</v>
      </c>
      <c r="H508">
        <v>6.34</v>
      </c>
      <c r="I508">
        <v>7.09</v>
      </c>
      <c r="J508">
        <v>7.45</v>
      </c>
      <c r="K508">
        <v>7.92</v>
      </c>
      <c r="M508" s="3"/>
      <c r="N508" s="17"/>
      <c r="O508" s="17"/>
      <c r="P508" s="17"/>
      <c r="Q508" s="17"/>
      <c r="R508" s="17"/>
      <c r="S508" s="17"/>
      <c r="T508" s="17"/>
      <c r="U508" s="17"/>
      <c r="V508" s="17"/>
      <c r="AE508" s="2"/>
      <c r="AQ508" s="2"/>
      <c r="AR508" s="2"/>
      <c r="AS508" s="2"/>
      <c r="AT508" s="2"/>
      <c r="AU508" s="2"/>
      <c r="AV508" s="2"/>
      <c r="AW508" s="2"/>
      <c r="AX508" s="2"/>
      <c r="AY508" s="2"/>
    </row>
    <row r="509" spans="1:51" x14ac:dyDescent="0.25">
      <c r="A509" s="24">
        <v>45035</v>
      </c>
      <c r="B509" s="1">
        <v>45035</v>
      </c>
      <c r="C509">
        <v>4.43</v>
      </c>
      <c r="D509">
        <v>4.6500000000000004</v>
      </c>
      <c r="E509">
        <v>4.9000000000000004</v>
      </c>
      <c r="F509">
        <v>5.2</v>
      </c>
      <c r="G509">
        <v>5.97</v>
      </c>
      <c r="H509">
        <v>6.45</v>
      </c>
      <c r="I509">
        <v>7.12</v>
      </c>
      <c r="J509">
        <v>7.49</v>
      </c>
      <c r="K509">
        <v>7.93</v>
      </c>
      <c r="M509" s="3"/>
      <c r="N509" s="17"/>
      <c r="O509" s="17"/>
      <c r="P509" s="17"/>
      <c r="Q509" s="17"/>
      <c r="R509" s="17"/>
      <c r="S509" s="17"/>
      <c r="T509" s="17"/>
      <c r="U509" s="17"/>
      <c r="V509" s="17"/>
      <c r="AE509" s="2"/>
      <c r="AQ509" s="2"/>
      <c r="AR509" s="2"/>
      <c r="AS509" s="2"/>
      <c r="AT509" s="2"/>
      <c r="AU509" s="2"/>
      <c r="AV509" s="2"/>
      <c r="AW509" s="2"/>
      <c r="AX509" s="2"/>
      <c r="AY509" s="2"/>
    </row>
    <row r="510" spans="1:51" x14ac:dyDescent="0.25">
      <c r="A510" s="24">
        <v>45034</v>
      </c>
      <c r="B510" s="1">
        <v>45034</v>
      </c>
      <c r="C510">
        <v>5.13</v>
      </c>
      <c r="D510">
        <v>5.3</v>
      </c>
      <c r="E510">
        <v>5.42</v>
      </c>
      <c r="F510">
        <v>5.52</v>
      </c>
      <c r="G510">
        <v>6.05</v>
      </c>
      <c r="H510">
        <v>6.47</v>
      </c>
      <c r="I510">
        <v>7.15</v>
      </c>
      <c r="J510">
        <v>7.5</v>
      </c>
      <c r="K510">
        <v>7.93</v>
      </c>
      <c r="M510" s="3"/>
      <c r="N510" s="17"/>
      <c r="O510" s="17"/>
      <c r="P510" s="17"/>
      <c r="Q510" s="17"/>
      <c r="R510" s="17"/>
      <c r="S510" s="17"/>
      <c r="T510" s="17"/>
      <c r="U510" s="17"/>
      <c r="V510" s="17"/>
      <c r="AE510" s="2"/>
      <c r="AQ510" s="2"/>
      <c r="AR510" s="2"/>
      <c r="AS510" s="2"/>
      <c r="AT510" s="2"/>
      <c r="AU510" s="2"/>
      <c r="AV510" s="2"/>
      <c r="AW510" s="2"/>
      <c r="AX510" s="2"/>
      <c r="AY510" s="2"/>
    </row>
    <row r="511" spans="1:51" x14ac:dyDescent="0.25">
      <c r="A511" s="24">
        <v>45033</v>
      </c>
      <c r="B511" s="1">
        <v>45033</v>
      </c>
      <c r="C511">
        <v>5.33</v>
      </c>
      <c r="D511">
        <v>5.43</v>
      </c>
      <c r="E511">
        <v>5.53</v>
      </c>
      <c r="F511">
        <v>5.62</v>
      </c>
      <c r="G511">
        <v>6.05</v>
      </c>
      <c r="H511">
        <v>6.48</v>
      </c>
      <c r="I511">
        <v>7.23</v>
      </c>
      <c r="J511">
        <v>7.52</v>
      </c>
      <c r="K511">
        <v>8</v>
      </c>
      <c r="M511" s="3"/>
      <c r="N511" s="17"/>
      <c r="O511" s="17"/>
      <c r="P511" s="17"/>
      <c r="Q511" s="17"/>
      <c r="R511" s="17"/>
      <c r="S511" s="17"/>
      <c r="T511" s="17"/>
      <c r="U511" s="17"/>
      <c r="V511" s="17"/>
      <c r="AE511" s="2"/>
      <c r="AQ511" s="2"/>
      <c r="AR511" s="2"/>
      <c r="AS511" s="2"/>
      <c r="AT511" s="2"/>
      <c r="AU511" s="2"/>
      <c r="AV511" s="2"/>
      <c r="AW511" s="2"/>
      <c r="AX511" s="2"/>
      <c r="AY511" s="2"/>
    </row>
    <row r="512" spans="1:51" x14ac:dyDescent="0.25">
      <c r="A512" s="24">
        <v>45030</v>
      </c>
      <c r="B512" s="1">
        <v>45030</v>
      </c>
      <c r="C512">
        <v>5.45</v>
      </c>
      <c r="D512">
        <v>5.52</v>
      </c>
      <c r="E512">
        <v>5.53</v>
      </c>
      <c r="F512">
        <v>5.63</v>
      </c>
      <c r="G512">
        <v>6.18</v>
      </c>
      <c r="H512">
        <v>6.52</v>
      </c>
      <c r="I512">
        <v>7.18</v>
      </c>
      <c r="J512">
        <v>7.54</v>
      </c>
      <c r="K512">
        <v>8</v>
      </c>
      <c r="M512" s="3"/>
      <c r="N512" s="17"/>
      <c r="O512" s="17"/>
      <c r="P512" s="17"/>
      <c r="Q512" s="17"/>
      <c r="R512" s="17"/>
      <c r="S512" s="17"/>
      <c r="T512" s="17"/>
      <c r="U512" s="17"/>
      <c r="V512" s="17"/>
      <c r="AE512" s="2"/>
      <c r="AQ512" s="2"/>
      <c r="AR512" s="2"/>
      <c r="AS512" s="2"/>
      <c r="AT512" s="2"/>
      <c r="AU512" s="2"/>
      <c r="AV512" s="2"/>
      <c r="AW512" s="2"/>
      <c r="AX512" s="2"/>
      <c r="AY512" s="2"/>
    </row>
    <row r="513" spans="1:51" x14ac:dyDescent="0.25">
      <c r="A513" s="24">
        <v>45029</v>
      </c>
      <c r="B513" s="1">
        <v>45029</v>
      </c>
      <c r="C513">
        <v>5.44</v>
      </c>
      <c r="D513">
        <v>5.5</v>
      </c>
      <c r="E513">
        <v>5.54</v>
      </c>
      <c r="F513">
        <v>5.76</v>
      </c>
      <c r="G513">
        <v>6.28</v>
      </c>
      <c r="H513">
        <v>6.54</v>
      </c>
      <c r="I513">
        <v>7.18</v>
      </c>
      <c r="J513">
        <v>7.53</v>
      </c>
      <c r="K513">
        <v>7.96</v>
      </c>
      <c r="M513" s="3"/>
      <c r="N513" s="17"/>
      <c r="O513" s="17"/>
      <c r="P513" s="17"/>
      <c r="Q513" s="17"/>
      <c r="R513" s="17"/>
      <c r="S513" s="17"/>
      <c r="T513" s="17"/>
      <c r="U513" s="17"/>
      <c r="V513" s="17"/>
      <c r="AE513" s="2"/>
      <c r="AQ513" s="2"/>
      <c r="AR513" s="2"/>
      <c r="AS513" s="2"/>
      <c r="AT513" s="2"/>
      <c r="AU513" s="2"/>
      <c r="AV513" s="2"/>
      <c r="AW513" s="2"/>
      <c r="AX513" s="2"/>
      <c r="AY513" s="2"/>
    </row>
    <row r="514" spans="1:51" x14ac:dyDescent="0.25">
      <c r="A514" s="24">
        <v>45028</v>
      </c>
      <c r="B514" s="1">
        <v>45028</v>
      </c>
      <c r="C514">
        <v>5.26</v>
      </c>
      <c r="D514">
        <v>5.34</v>
      </c>
      <c r="E514">
        <v>5.4</v>
      </c>
      <c r="F514">
        <v>5.54</v>
      </c>
      <c r="G514">
        <v>6.17</v>
      </c>
      <c r="H514">
        <v>6.51</v>
      </c>
      <c r="I514">
        <v>7.26</v>
      </c>
      <c r="J514">
        <v>7.57</v>
      </c>
      <c r="K514">
        <v>8</v>
      </c>
      <c r="M514" s="3"/>
      <c r="N514" s="17"/>
      <c r="O514" s="17"/>
      <c r="P514" s="17"/>
      <c r="Q514" s="17"/>
      <c r="R514" s="17"/>
      <c r="S514" s="17"/>
      <c r="T514" s="17"/>
      <c r="U514" s="17"/>
      <c r="V514" s="17"/>
      <c r="AE514" s="2"/>
      <c r="AQ514" s="2"/>
      <c r="AR514" s="2"/>
      <c r="AS514" s="2"/>
      <c r="AT514" s="2"/>
      <c r="AU514" s="2"/>
      <c r="AV514" s="2"/>
      <c r="AW514" s="2"/>
      <c r="AX514" s="2"/>
      <c r="AY514" s="2"/>
    </row>
    <row r="515" spans="1:51" x14ac:dyDescent="0.25">
      <c r="A515" s="24">
        <v>45027</v>
      </c>
      <c r="B515" s="1">
        <v>45027</v>
      </c>
      <c r="C515">
        <v>5.16</v>
      </c>
      <c r="D515">
        <v>5.23</v>
      </c>
      <c r="E515">
        <v>5.31</v>
      </c>
      <c r="F515">
        <v>5.53</v>
      </c>
      <c r="G515">
        <v>6.14</v>
      </c>
      <c r="H515">
        <v>6.5</v>
      </c>
      <c r="I515">
        <v>7.26</v>
      </c>
      <c r="J515">
        <v>7.57</v>
      </c>
      <c r="K515">
        <v>8</v>
      </c>
      <c r="M515" s="3"/>
      <c r="N515" s="17"/>
      <c r="O515" s="17"/>
      <c r="P515" s="17"/>
      <c r="Q515" s="17"/>
      <c r="R515" s="17"/>
      <c r="S515" s="17"/>
      <c r="T515" s="17"/>
      <c r="U515" s="17"/>
      <c r="V515" s="17"/>
      <c r="AE515" s="2"/>
      <c r="AQ515" s="2"/>
      <c r="AR515" s="2"/>
      <c r="AS515" s="2"/>
      <c r="AT515" s="2"/>
      <c r="AU515" s="2"/>
      <c r="AV515" s="2"/>
      <c r="AW515" s="2"/>
      <c r="AX515" s="2"/>
      <c r="AY515" s="2"/>
    </row>
    <row r="516" spans="1:51" x14ac:dyDescent="0.25">
      <c r="A516" s="24">
        <v>45026</v>
      </c>
      <c r="B516" s="1">
        <v>45026</v>
      </c>
      <c r="C516">
        <v>5.08</v>
      </c>
      <c r="D516">
        <v>5.22</v>
      </c>
      <c r="E516">
        <v>5.3</v>
      </c>
      <c r="F516">
        <v>5.56</v>
      </c>
      <c r="G516">
        <v>6.12</v>
      </c>
      <c r="H516">
        <v>6.54</v>
      </c>
      <c r="I516">
        <v>7.28</v>
      </c>
      <c r="J516">
        <v>7.55</v>
      </c>
      <c r="K516">
        <v>8</v>
      </c>
      <c r="M516" s="3"/>
      <c r="N516" s="17"/>
      <c r="O516" s="17"/>
      <c r="P516" s="17"/>
      <c r="Q516" s="17"/>
      <c r="R516" s="17"/>
      <c r="S516" s="17"/>
      <c r="T516" s="17"/>
      <c r="U516" s="17"/>
      <c r="V516" s="17"/>
      <c r="AE516" s="2"/>
      <c r="AQ516" s="2"/>
      <c r="AR516" s="2"/>
      <c r="AS516" s="2"/>
      <c r="AT516" s="2"/>
      <c r="AU516" s="2"/>
      <c r="AV516" s="2"/>
      <c r="AW516" s="2"/>
      <c r="AX516" s="2"/>
      <c r="AY516" s="2"/>
    </row>
    <row r="517" spans="1:51" x14ac:dyDescent="0.25">
      <c r="A517" s="24">
        <v>45023</v>
      </c>
      <c r="B517" s="1">
        <v>45023</v>
      </c>
      <c r="C517">
        <v>5.0599999999999996</v>
      </c>
      <c r="D517">
        <v>5.2</v>
      </c>
      <c r="E517">
        <v>5.33</v>
      </c>
      <c r="F517">
        <v>5.56</v>
      </c>
      <c r="G517">
        <v>6.14</v>
      </c>
      <c r="H517">
        <v>6.51</v>
      </c>
      <c r="I517">
        <v>7.19</v>
      </c>
      <c r="J517">
        <v>7.57</v>
      </c>
      <c r="K517">
        <v>8</v>
      </c>
      <c r="M517" s="3"/>
      <c r="N517" s="17"/>
      <c r="O517" s="17"/>
      <c r="P517" s="17"/>
      <c r="Q517" s="17"/>
      <c r="R517" s="17"/>
      <c r="S517" s="17"/>
      <c r="T517" s="17"/>
      <c r="U517" s="17"/>
      <c r="V517" s="17"/>
      <c r="AE517" s="2"/>
      <c r="AQ517" s="2"/>
      <c r="AR517" s="2"/>
      <c r="AS517" s="2"/>
      <c r="AT517" s="2"/>
      <c r="AU517" s="2"/>
      <c r="AV517" s="2"/>
      <c r="AW517" s="2"/>
      <c r="AX517" s="2"/>
      <c r="AY517" s="2"/>
    </row>
    <row r="518" spans="1:51" x14ac:dyDescent="0.25">
      <c r="A518" s="24">
        <v>45022</v>
      </c>
      <c r="B518" s="1">
        <v>45022</v>
      </c>
      <c r="C518">
        <v>4.47</v>
      </c>
      <c r="D518">
        <v>4.63</v>
      </c>
      <c r="E518">
        <v>4.7699999999999996</v>
      </c>
      <c r="F518">
        <v>5.07</v>
      </c>
      <c r="G518">
        <v>6.08</v>
      </c>
      <c r="H518">
        <v>6.53</v>
      </c>
      <c r="I518">
        <v>7.27</v>
      </c>
      <c r="J518">
        <v>7.54</v>
      </c>
      <c r="K518">
        <v>7.95</v>
      </c>
      <c r="M518" s="3"/>
      <c r="N518" s="17"/>
      <c r="O518" s="17"/>
      <c r="P518" s="17"/>
      <c r="Q518" s="17"/>
      <c r="R518" s="17"/>
      <c r="S518" s="17"/>
      <c r="T518" s="17"/>
      <c r="U518" s="17"/>
      <c r="V518" s="17"/>
      <c r="AE518" s="2"/>
      <c r="AQ518" s="2"/>
      <c r="AR518" s="2"/>
      <c r="AS518" s="2"/>
      <c r="AT518" s="2"/>
      <c r="AU518" s="2"/>
      <c r="AV518" s="2"/>
      <c r="AW518" s="2"/>
      <c r="AX518" s="2"/>
      <c r="AY518" s="2"/>
    </row>
    <row r="519" spans="1:51" x14ac:dyDescent="0.25">
      <c r="A519" s="24">
        <v>45021</v>
      </c>
      <c r="B519" s="1">
        <v>45021</v>
      </c>
      <c r="C519">
        <v>3.25</v>
      </c>
      <c r="D519">
        <v>3.58</v>
      </c>
      <c r="E519">
        <v>3.88</v>
      </c>
      <c r="F519">
        <v>4.87</v>
      </c>
      <c r="G519">
        <v>6</v>
      </c>
      <c r="H519">
        <v>6.43</v>
      </c>
      <c r="I519">
        <v>7.27</v>
      </c>
      <c r="J519">
        <v>7.56</v>
      </c>
      <c r="K519">
        <v>7.97</v>
      </c>
      <c r="M519" s="3"/>
      <c r="N519" s="17"/>
      <c r="O519" s="17"/>
      <c r="P519" s="17"/>
      <c r="Q519" s="17"/>
      <c r="R519" s="17"/>
      <c r="S519" s="17"/>
      <c r="T519" s="17"/>
      <c r="U519" s="17"/>
      <c r="V519" s="17"/>
      <c r="AE519" s="2"/>
      <c r="AQ519" s="2"/>
      <c r="AR519" s="2"/>
      <c r="AS519" s="2"/>
      <c r="AT519" s="2"/>
      <c r="AU519" s="2"/>
      <c r="AV519" s="2"/>
      <c r="AW519" s="2"/>
      <c r="AX519" s="2"/>
      <c r="AY519" s="2"/>
    </row>
    <row r="520" spans="1:51" x14ac:dyDescent="0.25">
      <c r="A520" s="24">
        <v>45020</v>
      </c>
      <c r="B520" s="1">
        <v>45020</v>
      </c>
      <c r="C520">
        <v>2.48</v>
      </c>
      <c r="D520">
        <v>2.82</v>
      </c>
      <c r="E520">
        <v>3.3</v>
      </c>
      <c r="F520">
        <v>4.7300000000000004</v>
      </c>
      <c r="G520">
        <v>5.9</v>
      </c>
      <c r="H520">
        <v>6.38</v>
      </c>
      <c r="I520">
        <v>7.22</v>
      </c>
      <c r="J520">
        <v>7.56</v>
      </c>
      <c r="K520">
        <v>7.97</v>
      </c>
      <c r="M520" s="3"/>
      <c r="N520" s="17"/>
      <c r="O520" s="17"/>
      <c r="P520" s="17"/>
      <c r="Q520" s="17"/>
      <c r="R520" s="17"/>
      <c r="S520" s="17"/>
      <c r="T520" s="17"/>
      <c r="U520" s="17"/>
      <c r="V520" s="17"/>
      <c r="AE520" s="2"/>
      <c r="AQ520" s="2"/>
      <c r="AR520" s="2"/>
      <c r="AS520" s="2"/>
      <c r="AT520" s="2"/>
      <c r="AU520" s="2"/>
      <c r="AV520" s="2"/>
      <c r="AW520" s="2"/>
      <c r="AX520" s="2"/>
      <c r="AY520" s="2"/>
    </row>
    <row r="521" spans="1:51" x14ac:dyDescent="0.25">
      <c r="A521" s="24">
        <v>45019</v>
      </c>
      <c r="B521" s="1">
        <v>45019</v>
      </c>
      <c r="C521">
        <v>1.92</v>
      </c>
      <c r="D521">
        <v>2.5499999999999998</v>
      </c>
      <c r="E521">
        <v>2.98</v>
      </c>
      <c r="F521">
        <v>4.53</v>
      </c>
      <c r="G521">
        <v>5.83</v>
      </c>
      <c r="H521">
        <v>6.37</v>
      </c>
      <c r="I521">
        <v>7.13</v>
      </c>
      <c r="J521">
        <v>7.54</v>
      </c>
      <c r="K521">
        <v>7.95</v>
      </c>
      <c r="M521" s="3"/>
      <c r="N521" s="17"/>
      <c r="O521" s="17"/>
      <c r="P521" s="17"/>
      <c r="Q521" s="17"/>
      <c r="R521" s="17"/>
      <c r="S521" s="17"/>
      <c r="T521" s="17"/>
      <c r="U521" s="17"/>
      <c r="V521" s="17"/>
      <c r="AE521" s="2"/>
      <c r="AQ521" s="2"/>
      <c r="AR521" s="2"/>
      <c r="AS521" s="2"/>
      <c r="AT521" s="2"/>
      <c r="AU521" s="2"/>
      <c r="AV521" s="2"/>
      <c r="AW521" s="2"/>
      <c r="AX521" s="2"/>
      <c r="AY521" s="2"/>
    </row>
    <row r="522" spans="1:51" x14ac:dyDescent="0.25">
      <c r="A522" s="24">
        <v>45016</v>
      </c>
      <c r="B522" s="1">
        <v>45016</v>
      </c>
      <c r="C522">
        <v>1.5</v>
      </c>
      <c r="D522">
        <v>2.2000000000000002</v>
      </c>
      <c r="E522">
        <v>2.73</v>
      </c>
      <c r="F522">
        <v>4.5</v>
      </c>
      <c r="G522">
        <v>5.93</v>
      </c>
      <c r="H522">
        <v>6.43</v>
      </c>
      <c r="I522">
        <v>7.33</v>
      </c>
      <c r="J522">
        <v>7.62</v>
      </c>
      <c r="K522">
        <v>8.0299999999999994</v>
      </c>
      <c r="M522" s="3"/>
      <c r="N522" s="17"/>
      <c r="O522" s="17"/>
      <c r="P522" s="17"/>
      <c r="Q522" s="17"/>
      <c r="R522" s="17"/>
      <c r="S522" s="17"/>
      <c r="T522" s="17"/>
      <c r="U522" s="17"/>
      <c r="V522" s="17"/>
      <c r="AE522" s="2"/>
      <c r="AQ522" s="2"/>
      <c r="AR522" s="2"/>
      <c r="AS522" s="2"/>
      <c r="AT522" s="2"/>
      <c r="AU522" s="2"/>
      <c r="AV522" s="2"/>
      <c r="AW522" s="2"/>
      <c r="AX522" s="2"/>
      <c r="AY522" s="2"/>
    </row>
    <row r="523" spans="1:51" x14ac:dyDescent="0.25">
      <c r="A523" s="24">
        <v>45015</v>
      </c>
      <c r="B523" s="1">
        <v>45015</v>
      </c>
      <c r="C523">
        <v>1</v>
      </c>
      <c r="D523">
        <v>1.76</v>
      </c>
      <c r="E523">
        <v>2.48</v>
      </c>
      <c r="F523">
        <v>4.3600000000000003</v>
      </c>
      <c r="G523">
        <v>5.78</v>
      </c>
      <c r="H523">
        <v>6.38</v>
      </c>
      <c r="I523">
        <v>7.14</v>
      </c>
      <c r="J523">
        <v>7.53</v>
      </c>
      <c r="K523">
        <v>7.96</v>
      </c>
      <c r="M523" s="3"/>
      <c r="N523" s="17"/>
      <c r="O523" s="17"/>
      <c r="P523" s="17"/>
      <c r="Q523" s="17"/>
      <c r="R523" s="17"/>
      <c r="S523" s="17"/>
      <c r="T523" s="17"/>
      <c r="U523" s="17"/>
      <c r="V523" s="17"/>
      <c r="AE523" s="2"/>
      <c r="AQ523" s="2"/>
      <c r="AR523" s="2"/>
      <c r="AS523" s="2"/>
      <c r="AT523" s="2"/>
      <c r="AU523" s="2"/>
      <c r="AV523" s="2"/>
      <c r="AW523" s="2"/>
      <c r="AX523" s="2"/>
      <c r="AY523" s="2"/>
    </row>
    <row r="524" spans="1:51" x14ac:dyDescent="0.25">
      <c r="A524" s="24">
        <v>45014</v>
      </c>
      <c r="B524" s="1">
        <v>45014</v>
      </c>
      <c r="C524">
        <v>1.05</v>
      </c>
      <c r="D524">
        <v>1.78</v>
      </c>
      <c r="E524">
        <v>2.5</v>
      </c>
      <c r="F524">
        <v>4.25</v>
      </c>
      <c r="G524">
        <v>5.88</v>
      </c>
      <c r="H524">
        <v>6.38</v>
      </c>
      <c r="I524">
        <v>7.2</v>
      </c>
      <c r="J524">
        <v>7.53</v>
      </c>
      <c r="K524">
        <v>8</v>
      </c>
      <c r="M524" s="3"/>
      <c r="N524" s="17"/>
      <c r="O524" s="17"/>
      <c r="P524" s="17"/>
      <c r="Q524" s="17"/>
      <c r="R524" s="17"/>
      <c r="S524" s="17"/>
      <c r="T524" s="17"/>
      <c r="U524" s="17"/>
      <c r="V524" s="17"/>
      <c r="AE524" s="2"/>
      <c r="AQ524" s="2"/>
      <c r="AR524" s="2"/>
      <c r="AS524" s="2"/>
      <c r="AT524" s="2"/>
      <c r="AU524" s="2"/>
      <c r="AV524" s="2"/>
      <c r="AW524" s="2"/>
      <c r="AX524" s="2"/>
      <c r="AY524" s="2"/>
    </row>
    <row r="525" spans="1:51" x14ac:dyDescent="0.25">
      <c r="A525" s="24">
        <v>45013</v>
      </c>
      <c r="B525" s="1">
        <v>45013</v>
      </c>
      <c r="C525">
        <v>1.08</v>
      </c>
      <c r="D525">
        <v>1.77</v>
      </c>
      <c r="E525">
        <v>2.5</v>
      </c>
      <c r="F525">
        <v>4.33</v>
      </c>
      <c r="G525">
        <v>5.83</v>
      </c>
      <c r="H525">
        <v>6.37</v>
      </c>
      <c r="I525">
        <v>7.13</v>
      </c>
      <c r="J525">
        <v>7.54</v>
      </c>
      <c r="K525">
        <v>7.97</v>
      </c>
      <c r="M525" s="3"/>
      <c r="N525" s="17"/>
      <c r="O525" s="17"/>
      <c r="P525" s="17"/>
      <c r="Q525" s="17"/>
      <c r="R525" s="17"/>
      <c r="S525" s="17"/>
      <c r="T525" s="17"/>
      <c r="U525" s="17"/>
      <c r="V525" s="17"/>
      <c r="AE525" s="2"/>
      <c r="AQ525" s="2"/>
      <c r="AR525" s="2"/>
      <c r="AS525" s="2"/>
      <c r="AT525" s="2"/>
      <c r="AU525" s="2"/>
      <c r="AV525" s="2"/>
      <c r="AW525" s="2"/>
      <c r="AX525" s="2"/>
      <c r="AY525" s="2"/>
    </row>
    <row r="526" spans="1:51" x14ac:dyDescent="0.25">
      <c r="A526" s="24">
        <v>45012</v>
      </c>
      <c r="B526" s="1">
        <v>45012</v>
      </c>
      <c r="C526">
        <v>1.1599999999999999</v>
      </c>
      <c r="D526">
        <v>1.84</v>
      </c>
      <c r="E526">
        <v>2.56</v>
      </c>
      <c r="F526">
        <v>4.32</v>
      </c>
      <c r="G526">
        <v>5.84</v>
      </c>
      <c r="H526">
        <v>6.42</v>
      </c>
      <c r="I526">
        <v>7.16</v>
      </c>
      <c r="J526">
        <v>7.52</v>
      </c>
      <c r="K526">
        <v>7.96</v>
      </c>
      <c r="M526" s="3"/>
      <c r="N526" s="17"/>
      <c r="O526" s="17"/>
      <c r="P526" s="17"/>
      <c r="Q526" s="17"/>
      <c r="R526" s="17"/>
      <c r="S526" s="17"/>
      <c r="T526" s="17"/>
      <c r="U526" s="17"/>
      <c r="V526" s="17"/>
      <c r="AE526" s="2"/>
      <c r="AQ526" s="2"/>
      <c r="AR526" s="2"/>
      <c r="AS526" s="2"/>
      <c r="AT526" s="2"/>
      <c r="AU526" s="2"/>
      <c r="AV526" s="2"/>
      <c r="AW526" s="2"/>
      <c r="AX526" s="2"/>
      <c r="AY526" s="2"/>
    </row>
    <row r="527" spans="1:51" x14ac:dyDescent="0.25">
      <c r="A527" s="24">
        <v>45009</v>
      </c>
      <c r="B527" s="1">
        <v>45009</v>
      </c>
      <c r="C527">
        <v>1.2</v>
      </c>
      <c r="D527">
        <v>1.9</v>
      </c>
      <c r="E527">
        <v>2.9</v>
      </c>
      <c r="F527">
        <v>4.43</v>
      </c>
      <c r="G527">
        <v>5.87</v>
      </c>
      <c r="H527">
        <v>6.45</v>
      </c>
      <c r="I527">
        <v>7.18</v>
      </c>
      <c r="J527">
        <v>7.52</v>
      </c>
      <c r="K527">
        <v>7.95</v>
      </c>
      <c r="M527" s="3"/>
      <c r="N527" s="17"/>
      <c r="O527" s="17"/>
      <c r="P527" s="17"/>
      <c r="Q527" s="17"/>
      <c r="R527" s="17"/>
      <c r="S527" s="17"/>
      <c r="T527" s="17"/>
      <c r="U527" s="17"/>
      <c r="V527" s="17"/>
      <c r="AE527" s="2"/>
      <c r="AQ527" s="2"/>
      <c r="AR527" s="2"/>
      <c r="AS527" s="2"/>
      <c r="AT527" s="2"/>
      <c r="AU527" s="2"/>
      <c r="AV527" s="2"/>
      <c r="AW527" s="2"/>
      <c r="AX527" s="2"/>
      <c r="AY527" s="2"/>
    </row>
    <row r="528" spans="1:51" x14ac:dyDescent="0.25">
      <c r="A528" s="24">
        <v>45008</v>
      </c>
      <c r="B528" s="1">
        <v>45008</v>
      </c>
      <c r="C528">
        <v>1.47</v>
      </c>
      <c r="D528">
        <v>2.1800000000000002</v>
      </c>
      <c r="E528">
        <v>3.07</v>
      </c>
      <c r="F528">
        <v>4.53</v>
      </c>
      <c r="G528">
        <v>6.03</v>
      </c>
      <c r="H528">
        <v>6.52</v>
      </c>
      <c r="I528">
        <v>7.27</v>
      </c>
      <c r="J528">
        <v>7.57</v>
      </c>
      <c r="K528">
        <v>8.02</v>
      </c>
      <c r="M528" s="3"/>
      <c r="N528" s="17"/>
      <c r="O528" s="17"/>
      <c r="P528" s="17"/>
      <c r="Q528" s="17"/>
      <c r="R528" s="17"/>
      <c r="S528" s="17"/>
      <c r="T528" s="17"/>
      <c r="U528" s="17"/>
      <c r="V528" s="17"/>
      <c r="AE528" s="2"/>
      <c r="AQ528" s="2"/>
      <c r="AR528" s="2"/>
      <c r="AS528" s="2"/>
      <c r="AT528" s="2"/>
      <c r="AU528" s="2"/>
      <c r="AV528" s="2"/>
      <c r="AW528" s="2"/>
      <c r="AX528" s="2"/>
      <c r="AY528" s="2"/>
    </row>
    <row r="529" spans="1:51" x14ac:dyDescent="0.25">
      <c r="A529" s="24">
        <v>45007</v>
      </c>
      <c r="B529" s="1">
        <v>45007</v>
      </c>
      <c r="C529">
        <v>1.6</v>
      </c>
      <c r="D529">
        <v>2.4300000000000002</v>
      </c>
      <c r="E529">
        <v>3.23</v>
      </c>
      <c r="F529">
        <v>4.66</v>
      </c>
      <c r="G529">
        <v>6.03</v>
      </c>
      <c r="H529">
        <v>6.5</v>
      </c>
      <c r="I529">
        <v>7.27</v>
      </c>
      <c r="J529">
        <v>7.58</v>
      </c>
      <c r="K529">
        <v>8.06</v>
      </c>
      <c r="M529" s="3"/>
      <c r="N529" s="17"/>
      <c r="O529" s="17"/>
      <c r="P529" s="17"/>
      <c r="Q529" s="17"/>
      <c r="R529" s="17"/>
      <c r="S529" s="17"/>
      <c r="T529" s="17"/>
      <c r="U529" s="17"/>
      <c r="V529" s="17"/>
      <c r="AE529" s="2"/>
      <c r="AQ529" s="2"/>
      <c r="AR529" s="2"/>
      <c r="AS529" s="2"/>
      <c r="AT529" s="2"/>
      <c r="AU529" s="2"/>
      <c r="AV529" s="2"/>
      <c r="AW529" s="2"/>
      <c r="AX529" s="2"/>
      <c r="AY529" s="2"/>
    </row>
    <row r="530" spans="1:51" x14ac:dyDescent="0.25">
      <c r="A530" s="24">
        <v>45006</v>
      </c>
      <c r="B530" s="1">
        <v>45006</v>
      </c>
      <c r="C530">
        <v>2.2200000000000002</v>
      </c>
      <c r="D530">
        <v>2.9</v>
      </c>
      <c r="E530">
        <v>3.53</v>
      </c>
      <c r="F530">
        <v>5.0199999999999996</v>
      </c>
      <c r="G530">
        <v>6.27</v>
      </c>
      <c r="H530">
        <v>6.65</v>
      </c>
      <c r="I530">
        <v>7.33</v>
      </c>
      <c r="J530">
        <v>7.61</v>
      </c>
      <c r="K530">
        <v>8.0299999999999994</v>
      </c>
      <c r="M530" s="3"/>
      <c r="N530" s="17"/>
      <c r="O530" s="17"/>
      <c r="P530" s="17"/>
      <c r="Q530" s="17"/>
      <c r="R530" s="17"/>
      <c r="S530" s="17"/>
      <c r="T530" s="17"/>
      <c r="U530" s="17"/>
      <c r="V530" s="17"/>
      <c r="AE530" s="2"/>
      <c r="AQ530" s="2"/>
      <c r="AR530" s="2"/>
      <c r="AS530" s="2"/>
      <c r="AT530" s="2"/>
      <c r="AU530" s="2"/>
      <c r="AV530" s="2"/>
      <c r="AW530" s="2"/>
      <c r="AX530" s="2"/>
      <c r="AY530" s="2"/>
    </row>
    <row r="531" spans="1:51" x14ac:dyDescent="0.25">
      <c r="A531" s="24">
        <v>45005</v>
      </c>
      <c r="B531" s="1">
        <v>45005</v>
      </c>
      <c r="C531">
        <v>2.84</v>
      </c>
      <c r="D531">
        <v>3.41</v>
      </c>
      <c r="E531">
        <v>4</v>
      </c>
      <c r="F531">
        <v>5.29</v>
      </c>
      <c r="G531">
        <v>6.46</v>
      </c>
      <c r="H531">
        <v>6.89</v>
      </c>
      <c r="I531">
        <v>7.43</v>
      </c>
      <c r="J531">
        <v>7.78</v>
      </c>
      <c r="K531">
        <v>8.08</v>
      </c>
      <c r="M531" s="3"/>
      <c r="N531" s="17"/>
      <c r="O531" s="17"/>
      <c r="P531" s="17"/>
      <c r="Q531" s="17"/>
      <c r="R531" s="17"/>
      <c r="S531" s="17"/>
      <c r="T531" s="17"/>
      <c r="U531" s="17"/>
      <c r="V531" s="17"/>
      <c r="AE531" s="2"/>
      <c r="AQ531" s="2"/>
      <c r="AR531" s="2"/>
      <c r="AS531" s="2"/>
      <c r="AT531" s="2"/>
      <c r="AU531" s="2"/>
      <c r="AV531" s="2"/>
      <c r="AW531" s="2"/>
      <c r="AX531" s="2"/>
      <c r="AY531" s="2"/>
    </row>
    <row r="532" spans="1:51" x14ac:dyDescent="0.25">
      <c r="A532" s="24">
        <v>45002</v>
      </c>
      <c r="B532" s="1">
        <v>45002</v>
      </c>
      <c r="C532">
        <v>3.5</v>
      </c>
      <c r="D532">
        <v>4</v>
      </c>
      <c r="E532">
        <v>4.58</v>
      </c>
      <c r="F532">
        <v>5.78</v>
      </c>
      <c r="G532">
        <v>6.8</v>
      </c>
      <c r="H532">
        <v>7.18</v>
      </c>
      <c r="I532">
        <v>7.68</v>
      </c>
      <c r="J532">
        <v>8.02</v>
      </c>
      <c r="K532">
        <v>8.3800000000000008</v>
      </c>
      <c r="M532" s="3"/>
      <c r="N532" s="17"/>
      <c r="O532" s="17"/>
      <c r="P532" s="17"/>
      <c r="Q532" s="17"/>
      <c r="R532" s="17"/>
      <c r="S532" s="17"/>
      <c r="T532" s="17"/>
      <c r="U532" s="17"/>
      <c r="V532" s="17"/>
      <c r="AE532" s="2"/>
      <c r="AQ532" s="2"/>
      <c r="AR532" s="2"/>
      <c r="AS532" s="2"/>
      <c r="AT532" s="2"/>
      <c r="AU532" s="2"/>
      <c r="AV532" s="2"/>
      <c r="AW532" s="2"/>
      <c r="AX532" s="2"/>
      <c r="AY532" s="2"/>
    </row>
    <row r="533" spans="1:51" x14ac:dyDescent="0.25">
      <c r="A533" s="24">
        <v>45001</v>
      </c>
      <c r="B533" s="1">
        <v>45001</v>
      </c>
      <c r="C533">
        <v>4.17</v>
      </c>
      <c r="D533">
        <v>4.5199999999999996</v>
      </c>
      <c r="E533">
        <v>5.28</v>
      </c>
      <c r="F533">
        <v>6.33</v>
      </c>
      <c r="G533">
        <v>6.97</v>
      </c>
      <c r="H533">
        <v>7.18</v>
      </c>
      <c r="I533">
        <v>7.77</v>
      </c>
      <c r="J533">
        <v>7.98</v>
      </c>
      <c r="K533">
        <v>8.3000000000000007</v>
      </c>
      <c r="M533" s="3"/>
      <c r="N533" s="17"/>
      <c r="O533" s="17"/>
      <c r="P533" s="17"/>
      <c r="Q533" s="17"/>
      <c r="R533" s="17"/>
      <c r="S533" s="17"/>
      <c r="T533" s="17"/>
      <c r="U533" s="17"/>
      <c r="V533" s="17"/>
      <c r="AE533" s="2"/>
      <c r="AQ533" s="2"/>
      <c r="AR533" s="2"/>
      <c r="AS533" s="2"/>
      <c r="AT533" s="2"/>
      <c r="AU533" s="2"/>
      <c r="AV533" s="2"/>
      <c r="AW533" s="2"/>
      <c r="AX533" s="2"/>
      <c r="AY533" s="2"/>
    </row>
    <row r="534" spans="1:51" x14ac:dyDescent="0.25">
      <c r="A534" s="24">
        <v>45000</v>
      </c>
      <c r="B534" s="1">
        <v>45000</v>
      </c>
      <c r="C534">
        <v>5.13</v>
      </c>
      <c r="D534">
        <v>5.53</v>
      </c>
      <c r="E534">
        <v>6</v>
      </c>
      <c r="F534">
        <v>6.83</v>
      </c>
      <c r="G534">
        <v>7.33</v>
      </c>
      <c r="H534">
        <v>7.53</v>
      </c>
      <c r="I534">
        <v>7.98</v>
      </c>
      <c r="J534">
        <v>8.36</v>
      </c>
      <c r="K534">
        <v>8.48</v>
      </c>
      <c r="M534" s="3"/>
      <c r="N534" s="17"/>
      <c r="O534" s="17"/>
      <c r="P534" s="17"/>
      <c r="Q534" s="17"/>
      <c r="R534" s="17"/>
      <c r="S534" s="17"/>
      <c r="T534" s="17"/>
      <c r="U534" s="17"/>
      <c r="V534" s="17"/>
      <c r="AE534" s="2"/>
      <c r="AQ534" s="2"/>
      <c r="AR534" s="2"/>
      <c r="AS534" s="2"/>
      <c r="AT534" s="2"/>
      <c r="AU534" s="2"/>
      <c r="AV534" s="2"/>
      <c r="AW534" s="2"/>
      <c r="AX534" s="2"/>
      <c r="AY534" s="2"/>
    </row>
    <row r="535" spans="1:51" x14ac:dyDescent="0.25">
      <c r="A535" s="24">
        <v>44999</v>
      </c>
      <c r="B535" s="1">
        <v>44999</v>
      </c>
      <c r="C535">
        <v>5.72</v>
      </c>
      <c r="D535">
        <v>6.1</v>
      </c>
      <c r="E535">
        <v>6.5</v>
      </c>
      <c r="F535">
        <v>7</v>
      </c>
      <c r="G535">
        <v>7.44</v>
      </c>
      <c r="H535">
        <v>7.62</v>
      </c>
      <c r="I535">
        <v>8</v>
      </c>
      <c r="J535">
        <v>8.33</v>
      </c>
      <c r="K535">
        <v>8.44</v>
      </c>
      <c r="M535" s="3"/>
      <c r="N535" s="17"/>
      <c r="O535" s="17"/>
      <c r="P535" s="17"/>
      <c r="Q535" s="17"/>
      <c r="R535" s="17"/>
      <c r="S535" s="17"/>
      <c r="T535" s="17"/>
      <c r="U535" s="17"/>
      <c r="V535" s="17"/>
      <c r="AE535" s="2"/>
      <c r="AQ535" s="2"/>
      <c r="AR535" s="2"/>
      <c r="AS535" s="2"/>
      <c r="AT535" s="2"/>
      <c r="AU535" s="2"/>
      <c r="AV535" s="2"/>
      <c r="AW535" s="2"/>
      <c r="AX535" s="2"/>
      <c r="AY535" s="2"/>
    </row>
    <row r="536" spans="1:51" x14ac:dyDescent="0.25">
      <c r="A536" s="24">
        <v>44998</v>
      </c>
      <c r="B536" s="1">
        <v>44998</v>
      </c>
      <c r="C536">
        <v>6.16</v>
      </c>
      <c r="D536">
        <v>6.43</v>
      </c>
      <c r="E536">
        <v>6.67</v>
      </c>
      <c r="F536">
        <v>7.07</v>
      </c>
      <c r="G536">
        <v>7.49</v>
      </c>
      <c r="H536">
        <v>7.74</v>
      </c>
      <c r="I536">
        <v>8.0299999999999994</v>
      </c>
      <c r="J536">
        <v>8.3800000000000008</v>
      </c>
      <c r="K536">
        <v>8.56</v>
      </c>
      <c r="M536" s="3"/>
      <c r="N536" s="17"/>
      <c r="O536" s="17"/>
      <c r="P536" s="17"/>
      <c r="Q536" s="17"/>
      <c r="R536" s="17"/>
      <c r="S536" s="17"/>
      <c r="T536" s="17"/>
      <c r="U536" s="17"/>
      <c r="V536" s="17"/>
      <c r="AE536" s="2"/>
      <c r="AQ536" s="2"/>
      <c r="AR536" s="2"/>
      <c r="AS536" s="2"/>
      <c r="AT536" s="2"/>
      <c r="AU536" s="2"/>
      <c r="AV536" s="2"/>
      <c r="AW536" s="2"/>
      <c r="AX536" s="2"/>
      <c r="AY536" s="2"/>
    </row>
    <row r="537" spans="1:51" x14ac:dyDescent="0.25">
      <c r="A537" s="24">
        <v>44995</v>
      </c>
      <c r="B537" s="1">
        <v>44995</v>
      </c>
      <c r="C537">
        <v>6.2</v>
      </c>
      <c r="D537">
        <v>6.42</v>
      </c>
      <c r="E537">
        <v>6.63</v>
      </c>
      <c r="F537">
        <v>7.1</v>
      </c>
      <c r="G537">
        <v>7.5</v>
      </c>
      <c r="H537">
        <v>7.78</v>
      </c>
      <c r="I537">
        <v>8.08</v>
      </c>
      <c r="J537">
        <v>8.3800000000000008</v>
      </c>
      <c r="K537">
        <v>8.5299999999999994</v>
      </c>
      <c r="M537" s="3"/>
      <c r="N537" s="17"/>
      <c r="O537" s="17"/>
      <c r="P537" s="17"/>
      <c r="Q537" s="17"/>
      <c r="R537" s="17"/>
      <c r="S537" s="17"/>
      <c r="T537" s="17"/>
      <c r="U537" s="17"/>
      <c r="V537" s="17"/>
      <c r="AE537" s="2"/>
      <c r="AQ537" s="2"/>
      <c r="AR537" s="2"/>
      <c r="AS537" s="2"/>
      <c r="AT537" s="2"/>
      <c r="AU537" s="2"/>
      <c r="AV537" s="2"/>
      <c r="AW537" s="2"/>
      <c r="AX537" s="2"/>
      <c r="AY537" s="2"/>
    </row>
    <row r="538" spans="1:51" x14ac:dyDescent="0.25">
      <c r="A538" s="24">
        <v>44994</v>
      </c>
      <c r="B538" s="1">
        <v>44994</v>
      </c>
      <c r="C538">
        <v>6.21</v>
      </c>
      <c r="D538">
        <v>6.46</v>
      </c>
      <c r="E538">
        <v>6.66</v>
      </c>
      <c r="F538">
        <v>7.04</v>
      </c>
      <c r="G538">
        <v>7.5</v>
      </c>
      <c r="H538">
        <v>7.79</v>
      </c>
      <c r="I538">
        <v>8.1</v>
      </c>
      <c r="J538">
        <v>8.42</v>
      </c>
      <c r="K538">
        <v>8.5500000000000007</v>
      </c>
      <c r="M538" s="3"/>
      <c r="N538" s="17"/>
      <c r="O538" s="17"/>
      <c r="P538" s="17"/>
      <c r="Q538" s="17"/>
      <c r="R538" s="17"/>
      <c r="S538" s="17"/>
      <c r="T538" s="17"/>
      <c r="U538" s="17"/>
      <c r="V538" s="17"/>
      <c r="AE538" s="2"/>
      <c r="AQ538" s="2"/>
      <c r="AR538" s="2"/>
      <c r="AS538" s="2"/>
      <c r="AT538" s="2"/>
      <c r="AU538" s="2"/>
      <c r="AV538" s="2"/>
      <c r="AW538" s="2"/>
      <c r="AX538" s="2"/>
      <c r="AY538" s="2"/>
    </row>
    <row r="539" spans="1:51" x14ac:dyDescent="0.25">
      <c r="A539" s="24">
        <v>44993</v>
      </c>
      <c r="B539" s="1">
        <v>44993</v>
      </c>
      <c r="C539">
        <v>6</v>
      </c>
      <c r="D539">
        <v>6.22</v>
      </c>
      <c r="E539">
        <v>6.52</v>
      </c>
      <c r="F539">
        <v>7.02</v>
      </c>
      <c r="G539">
        <v>7.48</v>
      </c>
      <c r="H539">
        <v>7.76</v>
      </c>
      <c r="I539">
        <v>8.0399999999999991</v>
      </c>
      <c r="J539">
        <v>8.43</v>
      </c>
      <c r="K539">
        <v>8.5299999999999994</v>
      </c>
      <c r="M539" s="3"/>
      <c r="N539" s="17"/>
      <c r="O539" s="17"/>
      <c r="P539" s="17"/>
      <c r="Q539" s="17"/>
      <c r="R539" s="17"/>
      <c r="S539" s="17"/>
      <c r="T539" s="17"/>
      <c r="U539" s="17"/>
      <c r="V539" s="17"/>
      <c r="AE539" s="2"/>
      <c r="AQ539" s="2"/>
      <c r="AR539" s="2"/>
      <c r="AS539" s="2"/>
      <c r="AT539" s="2"/>
      <c r="AU539" s="2"/>
      <c r="AV539" s="2"/>
      <c r="AW539" s="2"/>
      <c r="AX539" s="2"/>
      <c r="AY539" s="2"/>
    </row>
    <row r="540" spans="1:51" x14ac:dyDescent="0.25">
      <c r="A540" s="24">
        <v>44992</v>
      </c>
      <c r="B540" s="1">
        <v>44992</v>
      </c>
      <c r="C540">
        <v>6.08</v>
      </c>
      <c r="D540">
        <v>6.32</v>
      </c>
      <c r="E540">
        <v>6.57</v>
      </c>
      <c r="F540">
        <v>7.07</v>
      </c>
      <c r="G540">
        <v>7.52</v>
      </c>
      <c r="H540">
        <v>7.8</v>
      </c>
      <c r="I540">
        <v>8.1199999999999992</v>
      </c>
      <c r="J540">
        <v>8.4</v>
      </c>
      <c r="K540">
        <v>8.56</v>
      </c>
      <c r="M540" s="3"/>
      <c r="N540" s="17"/>
      <c r="O540" s="17"/>
      <c r="P540" s="17"/>
      <c r="Q540" s="17"/>
      <c r="R540" s="17"/>
      <c r="S540" s="17"/>
      <c r="T540" s="17"/>
      <c r="U540" s="17"/>
      <c r="V540" s="17"/>
      <c r="AE540" s="2"/>
      <c r="AQ540" s="2"/>
      <c r="AR540" s="2"/>
      <c r="AS540" s="2"/>
      <c r="AT540" s="2"/>
      <c r="AU540" s="2"/>
      <c r="AV540" s="2"/>
      <c r="AW540" s="2"/>
      <c r="AX540" s="2"/>
      <c r="AY540" s="2"/>
    </row>
    <row r="541" spans="1:51" x14ac:dyDescent="0.25">
      <c r="A541" s="24">
        <v>44991</v>
      </c>
      <c r="B541" s="1">
        <v>44991</v>
      </c>
      <c r="C541">
        <v>6.22</v>
      </c>
      <c r="D541">
        <v>6.47</v>
      </c>
      <c r="E541">
        <v>6.68</v>
      </c>
      <c r="F541">
        <v>7.1</v>
      </c>
      <c r="G541">
        <v>7.5</v>
      </c>
      <c r="H541">
        <v>7.73</v>
      </c>
      <c r="I541">
        <v>8.1199999999999992</v>
      </c>
      <c r="J541">
        <v>8.3800000000000008</v>
      </c>
      <c r="K541">
        <v>8.5299999999999994</v>
      </c>
      <c r="M541" s="3"/>
      <c r="N541" s="17"/>
      <c r="O541" s="17"/>
      <c r="P541" s="17"/>
      <c r="Q541" s="17"/>
      <c r="R541" s="17"/>
      <c r="S541" s="17"/>
      <c r="T541" s="17"/>
      <c r="U541" s="17"/>
      <c r="V541" s="17"/>
      <c r="AE541" s="2"/>
      <c r="AQ541" s="2"/>
      <c r="AR541" s="2"/>
      <c r="AS541" s="2"/>
      <c r="AT541" s="2"/>
      <c r="AU541" s="2"/>
      <c r="AV541" s="2"/>
      <c r="AW541" s="2"/>
      <c r="AX541" s="2"/>
      <c r="AY541" s="2"/>
    </row>
    <row r="542" spans="1:51" x14ac:dyDescent="0.25">
      <c r="A542" s="24">
        <v>44988</v>
      </c>
      <c r="B542" s="1">
        <v>44988</v>
      </c>
      <c r="C542">
        <v>6.28</v>
      </c>
      <c r="D542">
        <v>6.5</v>
      </c>
      <c r="E542">
        <v>6.72</v>
      </c>
      <c r="F542">
        <v>7.15</v>
      </c>
      <c r="G542">
        <v>7.5</v>
      </c>
      <c r="H542">
        <v>7.75</v>
      </c>
      <c r="I542">
        <v>8.07</v>
      </c>
      <c r="J542">
        <v>8.4</v>
      </c>
      <c r="K542">
        <v>8.5500000000000007</v>
      </c>
      <c r="M542" s="3"/>
      <c r="N542" s="17"/>
      <c r="O542" s="17"/>
      <c r="P542" s="17"/>
      <c r="Q542" s="17"/>
      <c r="R542" s="17"/>
      <c r="S542" s="17"/>
      <c r="T542" s="17"/>
      <c r="U542" s="17"/>
      <c r="V542" s="17"/>
      <c r="AE542" s="2"/>
      <c r="AQ542" s="2"/>
      <c r="AR542" s="2"/>
      <c r="AS542" s="2"/>
      <c r="AT542" s="2"/>
      <c r="AU542" s="2"/>
      <c r="AV542" s="2"/>
      <c r="AW542" s="2"/>
      <c r="AX542" s="2"/>
      <c r="AY542" s="2"/>
    </row>
    <row r="543" spans="1:51" x14ac:dyDescent="0.25">
      <c r="A543" s="24">
        <v>44987</v>
      </c>
      <c r="B543" s="1">
        <v>44987</v>
      </c>
      <c r="C543">
        <v>6.27</v>
      </c>
      <c r="D543">
        <v>6.5</v>
      </c>
      <c r="E543">
        <v>6.69</v>
      </c>
      <c r="F543">
        <v>7.09</v>
      </c>
      <c r="G543">
        <v>7.51</v>
      </c>
      <c r="H543">
        <v>7.74</v>
      </c>
      <c r="I543">
        <v>8.1300000000000008</v>
      </c>
      <c r="J543">
        <v>8.42</v>
      </c>
      <c r="K543">
        <v>8.56</v>
      </c>
      <c r="M543" s="3"/>
      <c r="N543" s="17"/>
      <c r="O543" s="17"/>
      <c r="P543" s="17"/>
      <c r="Q543" s="17"/>
      <c r="R543" s="17"/>
      <c r="S543" s="17"/>
      <c r="T543" s="17"/>
      <c r="U543" s="17"/>
      <c r="V543" s="17"/>
      <c r="AE543" s="2"/>
      <c r="AQ543" s="2"/>
      <c r="AR543" s="2"/>
      <c r="AS543" s="2"/>
      <c r="AT543" s="2"/>
      <c r="AU543" s="2"/>
      <c r="AV543" s="2"/>
      <c r="AW543" s="2"/>
      <c r="AX543" s="2"/>
      <c r="AY543" s="2"/>
    </row>
    <row r="544" spans="1:51" x14ac:dyDescent="0.25">
      <c r="A544" s="24">
        <v>44986</v>
      </c>
      <c r="B544" s="1">
        <v>44986</v>
      </c>
      <c r="C544">
        <v>6</v>
      </c>
      <c r="D544">
        <v>6.25</v>
      </c>
      <c r="E544">
        <v>6.55</v>
      </c>
      <c r="F544">
        <v>6.98</v>
      </c>
      <c r="G544">
        <v>7.47</v>
      </c>
      <c r="H544">
        <v>7.77</v>
      </c>
      <c r="I544">
        <v>8.15</v>
      </c>
      <c r="J544">
        <v>8.44</v>
      </c>
      <c r="K544">
        <v>8.58</v>
      </c>
      <c r="M544" s="3"/>
      <c r="N544" s="17"/>
      <c r="O544" s="17"/>
      <c r="P544" s="17"/>
      <c r="Q544" s="17"/>
      <c r="R544" s="17"/>
      <c r="S544" s="17"/>
      <c r="T544" s="17"/>
      <c r="U544" s="17"/>
      <c r="V544" s="17"/>
      <c r="AE544" s="2"/>
      <c r="AQ544" s="2"/>
      <c r="AR544" s="2"/>
      <c r="AS544" s="2"/>
      <c r="AT544" s="2"/>
      <c r="AU544" s="2"/>
      <c r="AV544" s="2"/>
      <c r="AW544" s="2"/>
      <c r="AX544" s="2"/>
      <c r="AY544" s="2"/>
    </row>
    <row r="545" spans="1:51" x14ac:dyDescent="0.25">
      <c r="A545" s="24">
        <v>44985</v>
      </c>
      <c r="B545" s="1">
        <v>44985</v>
      </c>
      <c r="C545">
        <v>5.28</v>
      </c>
      <c r="D545">
        <v>6.14</v>
      </c>
      <c r="E545">
        <v>6.52</v>
      </c>
      <c r="F545">
        <v>6.92</v>
      </c>
      <c r="G545">
        <v>7.38</v>
      </c>
      <c r="H545">
        <v>7.62</v>
      </c>
      <c r="I545">
        <v>8.0399999999999991</v>
      </c>
      <c r="J545">
        <v>8.3800000000000008</v>
      </c>
      <c r="K545">
        <v>8.52</v>
      </c>
      <c r="M545" s="3"/>
      <c r="N545" s="17"/>
      <c r="O545" s="17"/>
      <c r="P545" s="17"/>
      <c r="Q545" s="17"/>
      <c r="R545" s="17"/>
      <c r="S545" s="17"/>
      <c r="T545" s="17"/>
      <c r="U545" s="17"/>
      <c r="V545" s="17"/>
      <c r="AE545" s="2"/>
      <c r="AQ545" s="2"/>
      <c r="AR545" s="2"/>
      <c r="AS545" s="2"/>
      <c r="AT545" s="2"/>
      <c r="AU545" s="2"/>
      <c r="AV545" s="2"/>
      <c r="AW545" s="2"/>
      <c r="AX545" s="2"/>
      <c r="AY545" s="2"/>
    </row>
    <row r="546" spans="1:51" x14ac:dyDescent="0.25">
      <c r="A546" s="24">
        <v>44984</v>
      </c>
      <c r="B546" s="1">
        <v>44984</v>
      </c>
      <c r="C546">
        <v>5.83</v>
      </c>
      <c r="D546">
        <v>6.21</v>
      </c>
      <c r="E546">
        <v>6.57</v>
      </c>
      <c r="F546">
        <v>6.93</v>
      </c>
      <c r="G546">
        <v>7.44</v>
      </c>
      <c r="H546">
        <v>7.77</v>
      </c>
      <c r="I546">
        <v>8.1999999999999993</v>
      </c>
      <c r="J546">
        <v>8.44</v>
      </c>
      <c r="K546">
        <v>8.58</v>
      </c>
      <c r="M546" s="3"/>
      <c r="N546" s="17"/>
      <c r="O546" s="17"/>
      <c r="P546" s="17"/>
      <c r="Q546" s="17"/>
      <c r="R546" s="17"/>
      <c r="S546" s="17"/>
      <c r="T546" s="17"/>
      <c r="U546" s="17"/>
      <c r="V546" s="17"/>
      <c r="AE546" s="2"/>
      <c r="AQ546" s="2"/>
      <c r="AR546" s="2"/>
      <c r="AS546" s="2"/>
      <c r="AT546" s="2"/>
      <c r="AU546" s="2"/>
      <c r="AV546" s="2"/>
      <c r="AW546" s="2"/>
      <c r="AX546" s="2"/>
      <c r="AY546" s="2"/>
    </row>
    <row r="547" spans="1:51" x14ac:dyDescent="0.25">
      <c r="A547" s="24">
        <v>44981</v>
      </c>
      <c r="B547" s="1">
        <v>44981</v>
      </c>
      <c r="C547">
        <v>6.02</v>
      </c>
      <c r="D547">
        <v>6.33</v>
      </c>
      <c r="E547">
        <v>6.55</v>
      </c>
      <c r="F547">
        <v>6.97</v>
      </c>
      <c r="G547">
        <v>7.45</v>
      </c>
      <c r="H547">
        <v>7.68</v>
      </c>
      <c r="I547">
        <v>8.1300000000000008</v>
      </c>
      <c r="J547">
        <v>8.44</v>
      </c>
      <c r="K547">
        <v>8.58</v>
      </c>
      <c r="M547" s="3"/>
      <c r="N547" s="17"/>
      <c r="O547" s="17"/>
      <c r="P547" s="17"/>
      <c r="Q547" s="17"/>
      <c r="R547" s="17"/>
      <c r="S547" s="17"/>
      <c r="T547" s="17"/>
      <c r="U547" s="17"/>
      <c r="V547" s="17"/>
      <c r="AE547" s="2"/>
      <c r="AQ547" s="2"/>
      <c r="AR547" s="2"/>
      <c r="AS547" s="2"/>
      <c r="AT547" s="2"/>
      <c r="AU547" s="2"/>
      <c r="AV547" s="2"/>
      <c r="AW547" s="2"/>
      <c r="AX547" s="2"/>
      <c r="AY547" s="2"/>
    </row>
    <row r="548" spans="1:51" x14ac:dyDescent="0.25">
      <c r="A548" s="24">
        <v>44980</v>
      </c>
      <c r="B548" s="1">
        <v>44980</v>
      </c>
      <c r="C548">
        <v>6.12</v>
      </c>
      <c r="D548">
        <v>6.4</v>
      </c>
      <c r="E548">
        <v>6.62</v>
      </c>
      <c r="F548">
        <v>6.93</v>
      </c>
      <c r="G548">
        <v>7.42</v>
      </c>
      <c r="H548">
        <v>7.67</v>
      </c>
      <c r="I548">
        <v>8.1300000000000008</v>
      </c>
      <c r="J548">
        <v>8.44</v>
      </c>
      <c r="K548">
        <v>8.58</v>
      </c>
      <c r="M548" s="3"/>
      <c r="N548" s="17"/>
      <c r="O548" s="17"/>
      <c r="P548" s="17"/>
      <c r="Q548" s="17"/>
      <c r="R548" s="17"/>
      <c r="S548" s="17"/>
      <c r="T548" s="17"/>
      <c r="U548" s="17"/>
      <c r="V548" s="17"/>
      <c r="AE548" s="2"/>
      <c r="AQ548" s="2"/>
      <c r="AR548" s="2"/>
      <c r="AS548" s="2"/>
      <c r="AT548" s="2"/>
      <c r="AU548" s="2"/>
      <c r="AV548" s="2"/>
      <c r="AW548" s="2"/>
      <c r="AX548" s="2"/>
      <c r="AY548" s="2"/>
    </row>
    <row r="549" spans="1:51" x14ac:dyDescent="0.25">
      <c r="A549" s="24">
        <v>44979</v>
      </c>
      <c r="B549" s="1">
        <v>44979</v>
      </c>
      <c r="C549">
        <v>6.11</v>
      </c>
      <c r="D549">
        <v>6.37</v>
      </c>
      <c r="E549">
        <v>6.6</v>
      </c>
      <c r="F549">
        <v>6.99</v>
      </c>
      <c r="G549">
        <v>7.44</v>
      </c>
      <c r="H549">
        <v>7.69</v>
      </c>
      <c r="I549">
        <v>8.17</v>
      </c>
      <c r="J549">
        <v>8.42</v>
      </c>
      <c r="K549">
        <v>8.56</v>
      </c>
      <c r="M549" s="3"/>
      <c r="N549" s="17"/>
      <c r="O549" s="17"/>
      <c r="P549" s="17"/>
      <c r="Q549" s="17"/>
      <c r="R549" s="17"/>
      <c r="S549" s="17"/>
      <c r="T549" s="17"/>
      <c r="U549" s="17"/>
      <c r="V549" s="17"/>
      <c r="AE549" s="2"/>
      <c r="AQ549" s="2"/>
      <c r="AR549" s="2"/>
      <c r="AS549" s="2"/>
      <c r="AT549" s="2"/>
      <c r="AU549" s="2"/>
      <c r="AV549" s="2"/>
      <c r="AW549" s="2"/>
      <c r="AX549" s="2"/>
      <c r="AY549" s="2"/>
    </row>
    <row r="550" spans="1:51" x14ac:dyDescent="0.25">
      <c r="A550" s="24">
        <v>44978</v>
      </c>
      <c r="B550" s="1">
        <v>44978</v>
      </c>
      <c r="C550">
        <v>4.93</v>
      </c>
      <c r="D550">
        <v>5.27</v>
      </c>
      <c r="E550">
        <v>5.67</v>
      </c>
      <c r="F550">
        <v>6.6</v>
      </c>
      <c r="G550">
        <v>7.3</v>
      </c>
      <c r="H550">
        <v>7.53</v>
      </c>
      <c r="I550">
        <v>8</v>
      </c>
      <c r="J550">
        <v>8.36</v>
      </c>
      <c r="K550">
        <v>8.5</v>
      </c>
      <c r="M550" s="3"/>
      <c r="N550" s="17"/>
      <c r="O550" s="17"/>
      <c r="P550" s="17"/>
      <c r="Q550" s="17"/>
      <c r="R550" s="17"/>
      <c r="S550" s="17"/>
      <c r="T550" s="17"/>
      <c r="U550" s="17"/>
      <c r="V550" s="17"/>
      <c r="AE550" s="2"/>
      <c r="AQ550" s="2"/>
      <c r="AR550" s="2"/>
      <c r="AS550" s="2"/>
      <c r="AT550" s="2"/>
      <c r="AU550" s="2"/>
      <c r="AV550" s="2"/>
      <c r="AW550" s="2"/>
      <c r="AX550" s="2"/>
      <c r="AY550" s="2"/>
    </row>
    <row r="551" spans="1:51" x14ac:dyDescent="0.25">
      <c r="A551" s="24">
        <v>44977</v>
      </c>
      <c r="B551" s="1">
        <v>44977</v>
      </c>
      <c r="C551">
        <v>4.58</v>
      </c>
      <c r="D551">
        <v>5.0199999999999996</v>
      </c>
      <c r="E551">
        <v>5.5</v>
      </c>
      <c r="F551">
        <v>6.48</v>
      </c>
      <c r="G551">
        <v>7.14</v>
      </c>
      <c r="H551">
        <v>7.46</v>
      </c>
      <c r="I551">
        <v>8</v>
      </c>
      <c r="J551">
        <v>8.4499999999999993</v>
      </c>
      <c r="K551">
        <v>8.5500000000000007</v>
      </c>
      <c r="M551" s="3"/>
      <c r="N551" s="17"/>
      <c r="O551" s="17"/>
      <c r="P551" s="17"/>
      <c r="Q551" s="17"/>
      <c r="R551" s="17"/>
      <c r="S551" s="17"/>
      <c r="T551" s="17"/>
      <c r="U551" s="17"/>
      <c r="V551" s="17"/>
      <c r="AE551" s="2"/>
      <c r="AQ551" s="2"/>
      <c r="AR551" s="2"/>
      <c r="AS551" s="2"/>
      <c r="AT551" s="2"/>
      <c r="AU551" s="2"/>
      <c r="AV551" s="2"/>
      <c r="AW551" s="2"/>
      <c r="AX551" s="2"/>
      <c r="AY551" s="2"/>
    </row>
    <row r="552" spans="1:51" x14ac:dyDescent="0.25">
      <c r="A552" s="24">
        <v>44974</v>
      </c>
      <c r="B552" s="1">
        <v>44974</v>
      </c>
      <c r="C552">
        <v>4.67</v>
      </c>
      <c r="D552">
        <v>5.09</v>
      </c>
      <c r="E552">
        <v>5.51</v>
      </c>
      <c r="F552">
        <v>6.4</v>
      </c>
      <c r="G552">
        <v>7.14</v>
      </c>
      <c r="H552">
        <v>7.47</v>
      </c>
      <c r="I552">
        <v>8.0299999999999994</v>
      </c>
      <c r="J552">
        <v>8.3800000000000008</v>
      </c>
      <c r="K552">
        <v>8.5399999999999991</v>
      </c>
      <c r="M552" s="3"/>
      <c r="N552" s="17"/>
      <c r="O552" s="17"/>
      <c r="P552" s="17"/>
      <c r="Q552" s="17"/>
      <c r="R552" s="17"/>
      <c r="S552" s="17"/>
      <c r="T552" s="17"/>
      <c r="U552" s="17"/>
      <c r="V552" s="17"/>
      <c r="AE552" s="2"/>
      <c r="AQ552" s="2"/>
      <c r="AR552" s="2"/>
      <c r="AS552" s="2"/>
      <c r="AT552" s="2"/>
      <c r="AU552" s="2"/>
      <c r="AV552" s="2"/>
      <c r="AW552" s="2"/>
      <c r="AX552" s="2"/>
      <c r="AY552" s="2"/>
    </row>
    <row r="553" spans="1:51" x14ac:dyDescent="0.25">
      <c r="A553" s="24">
        <v>44973</v>
      </c>
      <c r="B553" s="1">
        <v>44973</v>
      </c>
      <c r="C553">
        <v>4.76</v>
      </c>
      <c r="D553">
        <v>5.16</v>
      </c>
      <c r="E553">
        <v>5.54</v>
      </c>
      <c r="F553">
        <v>6.36</v>
      </c>
      <c r="G553">
        <v>7.16</v>
      </c>
      <c r="H553">
        <v>7.44</v>
      </c>
      <c r="I553">
        <v>8.0399999999999991</v>
      </c>
      <c r="J553">
        <v>8.32</v>
      </c>
      <c r="K553">
        <v>8.52</v>
      </c>
      <c r="M553" s="3"/>
      <c r="N553" s="17"/>
      <c r="O553" s="17"/>
      <c r="P553" s="17"/>
      <c r="Q553" s="17"/>
      <c r="R553" s="17"/>
      <c r="S553" s="17"/>
      <c r="T553" s="17"/>
      <c r="U553" s="17"/>
      <c r="V553" s="17"/>
      <c r="AE553" s="2"/>
      <c r="AQ553" s="2"/>
      <c r="AR553" s="2"/>
      <c r="AS553" s="2"/>
      <c r="AT553" s="2"/>
      <c r="AU553" s="2"/>
      <c r="AV553" s="2"/>
      <c r="AW553" s="2"/>
      <c r="AX553" s="2"/>
      <c r="AY553" s="2"/>
    </row>
    <row r="554" spans="1:51" x14ac:dyDescent="0.25">
      <c r="A554" s="24">
        <v>44972</v>
      </c>
      <c r="B554" s="1">
        <v>44972</v>
      </c>
      <c r="C554">
        <v>3.72</v>
      </c>
      <c r="D554">
        <v>4.2699999999999996</v>
      </c>
      <c r="E554">
        <v>5.0999999999999996</v>
      </c>
      <c r="F554">
        <v>6.33</v>
      </c>
      <c r="G554">
        <v>7.2</v>
      </c>
      <c r="H554">
        <v>7.55</v>
      </c>
      <c r="I554">
        <v>8.1</v>
      </c>
      <c r="J554">
        <v>8.44</v>
      </c>
      <c r="K554">
        <v>8.5500000000000007</v>
      </c>
      <c r="M554" s="3"/>
      <c r="N554" s="17"/>
      <c r="O554" s="17"/>
      <c r="P554" s="17"/>
      <c r="Q554" s="17"/>
      <c r="R554" s="17"/>
      <c r="S554" s="17"/>
      <c r="T554" s="17"/>
      <c r="U554" s="17"/>
      <c r="V554" s="17"/>
      <c r="AE554" s="2"/>
      <c r="AQ554" s="2"/>
      <c r="AR554" s="2"/>
      <c r="AS554" s="2"/>
      <c r="AT554" s="2"/>
      <c r="AU554" s="2"/>
      <c r="AV554" s="2"/>
      <c r="AW554" s="2"/>
      <c r="AX554" s="2"/>
      <c r="AY554" s="2"/>
    </row>
    <row r="555" spans="1:51" x14ac:dyDescent="0.25">
      <c r="A555" s="24">
        <v>44971</v>
      </c>
      <c r="B555" s="1">
        <v>44971</v>
      </c>
      <c r="C555">
        <v>4.0999999999999996</v>
      </c>
      <c r="D555">
        <v>4.62</v>
      </c>
      <c r="E555">
        <v>5.52</v>
      </c>
      <c r="F555">
        <v>6.62</v>
      </c>
      <c r="G555">
        <v>7.42</v>
      </c>
      <c r="H555">
        <v>7.72</v>
      </c>
      <c r="I555">
        <v>8.23</v>
      </c>
      <c r="J555">
        <v>8.4600000000000009</v>
      </c>
      <c r="K555">
        <v>8.5500000000000007</v>
      </c>
      <c r="M555" s="3"/>
      <c r="N555" s="17"/>
      <c r="O555" s="17"/>
      <c r="P555" s="17"/>
      <c r="Q555" s="17"/>
      <c r="R555" s="17"/>
      <c r="S555" s="17"/>
      <c r="T555" s="17"/>
      <c r="U555" s="17"/>
      <c r="V555" s="17"/>
      <c r="AE555" s="2"/>
      <c r="AQ555" s="2"/>
      <c r="AR555" s="2"/>
      <c r="AS555" s="2"/>
      <c r="AT555" s="2"/>
      <c r="AU555" s="2"/>
      <c r="AV555" s="2"/>
      <c r="AW555" s="2"/>
      <c r="AX555" s="2"/>
      <c r="AY555" s="2"/>
    </row>
    <row r="556" spans="1:51" x14ac:dyDescent="0.25">
      <c r="A556" s="24">
        <v>44970</v>
      </c>
      <c r="B556" s="1">
        <v>44970</v>
      </c>
      <c r="C556">
        <v>4.58</v>
      </c>
      <c r="D556">
        <v>5.0999999999999996</v>
      </c>
      <c r="E556">
        <v>5.86</v>
      </c>
      <c r="F556">
        <v>6.96</v>
      </c>
      <c r="G556">
        <v>7.58</v>
      </c>
      <c r="H556">
        <v>7.88</v>
      </c>
      <c r="I556">
        <v>8.44</v>
      </c>
      <c r="J556">
        <v>8.5299999999999994</v>
      </c>
      <c r="K556">
        <v>8.6199999999999992</v>
      </c>
      <c r="M556" s="3"/>
      <c r="N556" s="17"/>
      <c r="O556" s="17"/>
      <c r="P556" s="17"/>
      <c r="Q556" s="17"/>
      <c r="R556" s="17"/>
      <c r="S556" s="17"/>
      <c r="T556" s="17"/>
      <c r="U556" s="17"/>
      <c r="V556" s="17"/>
      <c r="AE556" s="2"/>
      <c r="AQ556" s="2"/>
      <c r="AR556" s="2"/>
      <c r="AS556" s="2"/>
      <c r="AT556" s="2"/>
      <c r="AU556" s="2"/>
      <c r="AV556" s="2"/>
      <c r="AW556" s="2"/>
      <c r="AX556" s="2"/>
      <c r="AY556" s="2"/>
    </row>
    <row r="557" spans="1:51" x14ac:dyDescent="0.25">
      <c r="A557" s="24">
        <v>44967</v>
      </c>
      <c r="B557" s="1">
        <v>44967</v>
      </c>
      <c r="C557">
        <v>4.97</v>
      </c>
      <c r="D557">
        <v>5.45</v>
      </c>
      <c r="E557">
        <v>6.13</v>
      </c>
      <c r="F557">
        <v>7.13</v>
      </c>
      <c r="G557">
        <v>7.85</v>
      </c>
      <c r="H557">
        <v>8.02</v>
      </c>
      <c r="I557">
        <v>8.5</v>
      </c>
      <c r="J557">
        <v>8.56</v>
      </c>
      <c r="K557">
        <v>8.73</v>
      </c>
      <c r="M557" s="3"/>
      <c r="N557" s="17"/>
      <c r="O557" s="17"/>
      <c r="P557" s="17"/>
      <c r="Q557" s="17"/>
      <c r="R557" s="17"/>
      <c r="S557" s="17"/>
      <c r="T557" s="17"/>
      <c r="U557" s="17"/>
      <c r="V557" s="17"/>
      <c r="AE557" s="2"/>
      <c r="AQ557" s="2"/>
      <c r="AR557" s="2"/>
      <c r="AS557" s="2"/>
      <c r="AT557" s="2"/>
      <c r="AU557" s="2"/>
      <c r="AV557" s="2"/>
      <c r="AW557" s="2"/>
      <c r="AX557" s="2"/>
      <c r="AY557" s="2"/>
    </row>
    <row r="558" spans="1:51" x14ac:dyDescent="0.25">
      <c r="A558" s="24">
        <v>44966</v>
      </c>
      <c r="B558" s="1">
        <v>44966</v>
      </c>
      <c r="C558">
        <v>5.28</v>
      </c>
      <c r="D558">
        <v>5.75</v>
      </c>
      <c r="E558">
        <v>6.38</v>
      </c>
      <c r="F558">
        <v>7.33</v>
      </c>
      <c r="G558">
        <v>7.98</v>
      </c>
      <c r="H558">
        <v>8.1</v>
      </c>
      <c r="I558">
        <v>8.5500000000000007</v>
      </c>
      <c r="J558">
        <v>8.6</v>
      </c>
      <c r="K558">
        <v>8.7799999999999994</v>
      </c>
      <c r="M558" s="3"/>
      <c r="N558" s="17"/>
      <c r="O558" s="17"/>
      <c r="P558" s="17"/>
      <c r="Q558" s="17"/>
      <c r="R558" s="17"/>
      <c r="S558" s="17"/>
      <c r="T558" s="17"/>
      <c r="U558" s="17"/>
      <c r="V558" s="17"/>
      <c r="AE558" s="2"/>
      <c r="AQ558" s="2"/>
      <c r="AR558" s="2"/>
      <c r="AS558" s="2"/>
      <c r="AT558" s="2"/>
      <c r="AU558" s="2"/>
      <c r="AV558" s="2"/>
      <c r="AW558" s="2"/>
      <c r="AX558" s="2"/>
      <c r="AY558" s="2"/>
    </row>
    <row r="559" spans="1:51" x14ac:dyDescent="0.25">
      <c r="A559" s="24">
        <v>44965</v>
      </c>
      <c r="B559" s="1">
        <v>44965</v>
      </c>
      <c r="C559">
        <v>5.67</v>
      </c>
      <c r="D559">
        <v>6.11</v>
      </c>
      <c r="E559">
        <v>6.71</v>
      </c>
      <c r="F559">
        <v>7.53</v>
      </c>
      <c r="G559">
        <v>7.99</v>
      </c>
      <c r="H559">
        <v>8.23</v>
      </c>
      <c r="I559">
        <v>8.57</v>
      </c>
      <c r="J559">
        <v>8.67</v>
      </c>
      <c r="K559">
        <v>8.82</v>
      </c>
      <c r="M559" s="3"/>
      <c r="N559" s="17"/>
      <c r="O559" s="17"/>
      <c r="P559" s="17"/>
      <c r="Q559" s="17"/>
      <c r="R559" s="17"/>
      <c r="S559" s="17"/>
      <c r="T559" s="17"/>
      <c r="U559" s="17"/>
      <c r="V559" s="17"/>
      <c r="AE559" s="2"/>
      <c r="AQ559" s="2"/>
      <c r="AR559" s="2"/>
      <c r="AS559" s="2"/>
      <c r="AT559" s="2"/>
      <c r="AU559" s="2"/>
      <c r="AV559" s="2"/>
      <c r="AW559" s="2"/>
      <c r="AX559" s="2"/>
      <c r="AY559" s="2"/>
    </row>
    <row r="560" spans="1:51" x14ac:dyDescent="0.25">
      <c r="A560" s="24">
        <v>44964</v>
      </c>
      <c r="B560" s="1">
        <v>44964</v>
      </c>
      <c r="C560">
        <v>6</v>
      </c>
      <c r="D560">
        <v>6.46</v>
      </c>
      <c r="E560">
        <v>7.1</v>
      </c>
      <c r="F560">
        <v>7.74</v>
      </c>
      <c r="G560">
        <v>8.14</v>
      </c>
      <c r="H560">
        <v>8.36</v>
      </c>
      <c r="I560">
        <v>8.6199999999999992</v>
      </c>
      <c r="J560">
        <v>8.73</v>
      </c>
      <c r="K560">
        <v>8.86</v>
      </c>
      <c r="M560" s="3"/>
      <c r="N560" s="17"/>
      <c r="O560" s="17"/>
      <c r="P560" s="17"/>
      <c r="Q560" s="17"/>
      <c r="R560" s="17"/>
      <c r="S560" s="17"/>
      <c r="T560" s="17"/>
      <c r="U560" s="17"/>
      <c r="V560" s="17"/>
      <c r="AE560" s="2"/>
      <c r="AQ560" s="2"/>
      <c r="AR560" s="2"/>
      <c r="AS560" s="2"/>
      <c r="AT560" s="2"/>
      <c r="AU560" s="2"/>
      <c r="AV560" s="2"/>
      <c r="AW560" s="2"/>
      <c r="AX560" s="2"/>
      <c r="AY560" s="2"/>
    </row>
    <row r="561" spans="1:51" x14ac:dyDescent="0.25">
      <c r="A561" s="24">
        <v>44963</v>
      </c>
      <c r="B561" s="1">
        <v>44963</v>
      </c>
      <c r="C561">
        <v>6.12</v>
      </c>
      <c r="D561">
        <v>6.54</v>
      </c>
      <c r="E561">
        <v>7.08</v>
      </c>
      <c r="F561">
        <v>7.76</v>
      </c>
      <c r="G561">
        <v>8.1199999999999992</v>
      </c>
      <c r="H561">
        <v>8.36</v>
      </c>
      <c r="I561">
        <v>8.6199999999999992</v>
      </c>
      <c r="J561">
        <v>8.73</v>
      </c>
      <c r="K561">
        <v>8.84</v>
      </c>
      <c r="M561" s="3"/>
      <c r="N561" s="17"/>
      <c r="O561" s="17"/>
      <c r="P561" s="17"/>
      <c r="Q561" s="17"/>
      <c r="R561" s="17"/>
      <c r="S561" s="17"/>
      <c r="T561" s="17"/>
      <c r="U561" s="17"/>
      <c r="V561" s="17"/>
      <c r="AE561" s="2"/>
      <c r="AQ561" s="2"/>
      <c r="AR561" s="2"/>
      <c r="AS561" s="2"/>
      <c r="AT561" s="2"/>
      <c r="AU561" s="2"/>
      <c r="AV561" s="2"/>
      <c r="AW561" s="2"/>
      <c r="AX561" s="2"/>
      <c r="AY561" s="2"/>
    </row>
    <row r="562" spans="1:51" x14ac:dyDescent="0.25">
      <c r="A562" s="24">
        <v>44960</v>
      </c>
      <c r="B562" s="1">
        <v>44960</v>
      </c>
      <c r="C562">
        <v>6.12</v>
      </c>
      <c r="D562">
        <v>6.52</v>
      </c>
      <c r="E562">
        <v>7.13</v>
      </c>
      <c r="F562">
        <v>7.75</v>
      </c>
      <c r="G562">
        <v>8.1999999999999993</v>
      </c>
      <c r="H562">
        <v>8.43</v>
      </c>
      <c r="I562">
        <v>8.6300000000000008</v>
      </c>
      <c r="J562">
        <v>8.7200000000000006</v>
      </c>
      <c r="K562">
        <v>8.83</v>
      </c>
      <c r="M562" s="3"/>
      <c r="N562" s="17"/>
      <c r="O562" s="17"/>
      <c r="P562" s="17"/>
      <c r="Q562" s="17"/>
      <c r="R562" s="17"/>
      <c r="S562" s="17"/>
      <c r="T562" s="17"/>
      <c r="U562" s="17"/>
      <c r="V562" s="17"/>
      <c r="AE562" s="2"/>
      <c r="AQ562" s="2"/>
      <c r="AR562" s="2"/>
      <c r="AS562" s="2"/>
      <c r="AT562" s="2"/>
      <c r="AU562" s="2"/>
      <c r="AV562" s="2"/>
      <c r="AW562" s="2"/>
      <c r="AX562" s="2"/>
      <c r="AY562" s="2"/>
    </row>
    <row r="563" spans="1:51" x14ac:dyDescent="0.25">
      <c r="A563" s="24">
        <v>44959</v>
      </c>
      <c r="B563" s="1">
        <v>44959</v>
      </c>
      <c r="C563">
        <v>6.2</v>
      </c>
      <c r="D563">
        <v>6.66</v>
      </c>
      <c r="E563">
        <v>7.16</v>
      </c>
      <c r="F563">
        <v>7.9</v>
      </c>
      <c r="G563">
        <v>8.3699999999999992</v>
      </c>
      <c r="H563">
        <v>8.59</v>
      </c>
      <c r="I563">
        <v>8.8000000000000007</v>
      </c>
      <c r="J563">
        <v>8.8699999999999992</v>
      </c>
      <c r="K563">
        <v>8.9</v>
      </c>
      <c r="M563" s="3"/>
      <c r="N563" s="17"/>
      <c r="O563" s="17"/>
      <c r="P563" s="17"/>
      <c r="Q563" s="17"/>
      <c r="R563" s="17"/>
      <c r="S563" s="17"/>
      <c r="T563" s="17"/>
      <c r="U563" s="17"/>
      <c r="V563" s="17"/>
      <c r="AE563" s="2"/>
      <c r="AQ563" s="2"/>
      <c r="AR563" s="2"/>
      <c r="AS563" s="2"/>
      <c r="AT563" s="2"/>
      <c r="AU563" s="2"/>
      <c r="AV563" s="2"/>
      <c r="AW563" s="2"/>
      <c r="AX563" s="2"/>
      <c r="AY563" s="2"/>
    </row>
    <row r="564" spans="1:51" x14ac:dyDescent="0.25">
      <c r="A564" s="24">
        <v>44958</v>
      </c>
      <c r="B564" s="1">
        <v>44958</v>
      </c>
      <c r="C564">
        <v>6.23</v>
      </c>
      <c r="D564">
        <v>6.73</v>
      </c>
      <c r="E564">
        <v>7.33</v>
      </c>
      <c r="F564">
        <v>7.95</v>
      </c>
      <c r="G564">
        <v>8.33</v>
      </c>
      <c r="H564">
        <v>8.4499999999999993</v>
      </c>
      <c r="I564">
        <v>8.89</v>
      </c>
      <c r="J564">
        <v>8.92</v>
      </c>
      <c r="K564">
        <v>8.9499999999999993</v>
      </c>
      <c r="M564" s="3"/>
      <c r="N564" s="17"/>
      <c r="O564" s="17"/>
      <c r="P564" s="17"/>
      <c r="Q564" s="17"/>
      <c r="R564" s="17"/>
      <c r="S564" s="17"/>
      <c r="T564" s="17"/>
      <c r="U564" s="17"/>
      <c r="V564" s="17"/>
      <c r="AE564" s="2"/>
      <c r="AQ564" s="2"/>
      <c r="AR564" s="2"/>
      <c r="AS564" s="2"/>
      <c r="AT564" s="2"/>
      <c r="AU564" s="2"/>
      <c r="AV564" s="2"/>
      <c r="AW564" s="2"/>
      <c r="AX564" s="2"/>
      <c r="AY564" s="2"/>
    </row>
    <row r="565" spans="1:51" x14ac:dyDescent="0.25">
      <c r="A565" s="24">
        <v>44957</v>
      </c>
      <c r="B565" s="1">
        <v>44957</v>
      </c>
      <c r="C565">
        <v>6.2</v>
      </c>
      <c r="D565">
        <v>6.66</v>
      </c>
      <c r="E565">
        <v>7.12</v>
      </c>
      <c r="F565">
        <v>8.0399999999999991</v>
      </c>
      <c r="G565">
        <v>8.5</v>
      </c>
      <c r="H565">
        <v>8.7799999999999994</v>
      </c>
      <c r="I565">
        <v>8.9600000000000009</v>
      </c>
      <c r="J565">
        <v>8.9499999999999993</v>
      </c>
      <c r="K565">
        <v>8.9600000000000009</v>
      </c>
      <c r="M565" s="3"/>
      <c r="N565" s="17"/>
      <c r="O565" s="17"/>
      <c r="P565" s="17"/>
      <c r="Q565" s="17"/>
      <c r="R565" s="17"/>
      <c r="S565" s="17"/>
      <c r="T565" s="17"/>
      <c r="U565" s="17"/>
      <c r="V565" s="17"/>
      <c r="AE565" s="2"/>
      <c r="AQ565" s="2"/>
      <c r="AR565" s="2"/>
      <c r="AS565" s="2"/>
      <c r="AT565" s="2"/>
      <c r="AU565" s="2"/>
      <c r="AV565" s="2"/>
      <c r="AW565" s="2"/>
      <c r="AX565" s="2"/>
      <c r="AY565" s="2"/>
    </row>
    <row r="566" spans="1:51" x14ac:dyDescent="0.25">
      <c r="A566" s="24">
        <v>44956</v>
      </c>
      <c r="B566" s="1">
        <v>44956</v>
      </c>
      <c r="C566">
        <v>6.1</v>
      </c>
      <c r="D566">
        <v>6.66</v>
      </c>
      <c r="E566">
        <v>7.08</v>
      </c>
      <c r="F566">
        <v>7.9</v>
      </c>
      <c r="G566">
        <v>8.48</v>
      </c>
      <c r="H566">
        <v>8.66</v>
      </c>
      <c r="I566">
        <v>8.82</v>
      </c>
      <c r="J566">
        <v>8.84</v>
      </c>
      <c r="K566">
        <v>8.8800000000000008</v>
      </c>
      <c r="M566" s="3"/>
      <c r="N566" s="17"/>
      <c r="O566" s="17"/>
      <c r="P566" s="17"/>
      <c r="Q566" s="17"/>
      <c r="R566" s="17"/>
      <c r="S566" s="17"/>
      <c r="T566" s="17"/>
      <c r="U566" s="17"/>
      <c r="V566" s="17"/>
      <c r="AE566" s="2"/>
      <c r="AQ566" s="2"/>
      <c r="AR566" s="2"/>
      <c r="AS566" s="2"/>
      <c r="AT566" s="2"/>
      <c r="AU566" s="2"/>
      <c r="AV566" s="2"/>
      <c r="AW566" s="2"/>
      <c r="AX566" s="2"/>
      <c r="AY566" s="2"/>
    </row>
    <row r="567" spans="1:51" x14ac:dyDescent="0.25">
      <c r="A567" s="24">
        <v>44953</v>
      </c>
      <c r="B567" s="1">
        <v>44953</v>
      </c>
      <c r="C567">
        <v>6.2</v>
      </c>
      <c r="D567">
        <v>6.54</v>
      </c>
      <c r="E567">
        <v>7.08</v>
      </c>
      <c r="F567">
        <v>7.96</v>
      </c>
      <c r="G567">
        <v>8.48</v>
      </c>
      <c r="H567">
        <v>8.68</v>
      </c>
      <c r="I567">
        <v>8.86</v>
      </c>
      <c r="J567">
        <v>8.85</v>
      </c>
      <c r="K567">
        <v>8.89</v>
      </c>
      <c r="M567" s="3"/>
      <c r="N567" s="17"/>
      <c r="O567" s="17"/>
      <c r="P567" s="17"/>
      <c r="Q567" s="17"/>
      <c r="R567" s="17"/>
      <c r="S567" s="17"/>
      <c r="T567" s="17"/>
      <c r="U567" s="17"/>
      <c r="V567" s="17"/>
      <c r="AE567" s="2"/>
      <c r="AQ567" s="2"/>
      <c r="AR567" s="2"/>
      <c r="AS567" s="2"/>
      <c r="AT567" s="2"/>
      <c r="AU567" s="2"/>
      <c r="AV567" s="2"/>
      <c r="AW567" s="2"/>
      <c r="AX567" s="2"/>
      <c r="AY567" s="2"/>
    </row>
    <row r="568" spans="1:51" x14ac:dyDescent="0.25">
      <c r="A568" s="24">
        <v>44945</v>
      </c>
      <c r="B568" s="1">
        <v>44945</v>
      </c>
      <c r="C568">
        <v>6.32</v>
      </c>
      <c r="D568">
        <v>6.5</v>
      </c>
      <c r="E568">
        <v>7.25</v>
      </c>
      <c r="F568">
        <v>8.02</v>
      </c>
      <c r="G568">
        <v>8.52</v>
      </c>
      <c r="H568">
        <v>8.82</v>
      </c>
      <c r="I568">
        <v>8.93</v>
      </c>
      <c r="J568">
        <v>8.94</v>
      </c>
      <c r="K568">
        <v>8.99</v>
      </c>
      <c r="M568" s="3"/>
      <c r="N568" s="17"/>
      <c r="O568" s="17"/>
      <c r="P568" s="17"/>
      <c r="Q568" s="17"/>
      <c r="R568" s="17"/>
      <c r="S568" s="17"/>
      <c r="T568" s="17"/>
      <c r="U568" s="17"/>
      <c r="V568" s="17"/>
      <c r="AE568" s="2"/>
      <c r="AQ568" s="2"/>
      <c r="AR568" s="2"/>
      <c r="AS568" s="2"/>
      <c r="AT568" s="2"/>
      <c r="AU568" s="2"/>
      <c r="AV568" s="2"/>
      <c r="AW568" s="2"/>
      <c r="AX568" s="2"/>
      <c r="AY568" s="2"/>
    </row>
    <row r="569" spans="1:51" x14ac:dyDescent="0.25">
      <c r="A569" s="24">
        <v>44944</v>
      </c>
      <c r="B569" s="1">
        <v>44944</v>
      </c>
      <c r="C569">
        <v>6.06</v>
      </c>
      <c r="D569">
        <v>7</v>
      </c>
      <c r="E569">
        <v>7.44</v>
      </c>
      <c r="F569">
        <v>8.08</v>
      </c>
      <c r="G569">
        <v>8.5399999999999991</v>
      </c>
      <c r="H569">
        <v>8.76</v>
      </c>
      <c r="I569">
        <v>8.9</v>
      </c>
      <c r="J569">
        <v>8.8800000000000008</v>
      </c>
      <c r="K569">
        <v>8.9</v>
      </c>
      <c r="M569" s="3"/>
      <c r="N569" s="17"/>
      <c r="O569" s="17"/>
      <c r="P569" s="17"/>
      <c r="Q569" s="17"/>
      <c r="R569" s="17"/>
      <c r="S569" s="17"/>
      <c r="T569" s="17"/>
      <c r="U569" s="17"/>
      <c r="V569" s="17"/>
      <c r="AE569" s="2"/>
      <c r="AQ569" s="2"/>
      <c r="AR569" s="2"/>
      <c r="AS569" s="2"/>
      <c r="AT569" s="2"/>
      <c r="AU569" s="2"/>
      <c r="AV569" s="2"/>
      <c r="AW569" s="2"/>
      <c r="AX569" s="2"/>
      <c r="AY569" s="2"/>
    </row>
    <row r="570" spans="1:51" x14ac:dyDescent="0.25">
      <c r="A570" s="24">
        <v>44943</v>
      </c>
      <c r="B570" s="1">
        <v>44943</v>
      </c>
      <c r="C570">
        <v>6.28</v>
      </c>
      <c r="D570">
        <v>7</v>
      </c>
      <c r="E570">
        <v>7.5</v>
      </c>
      <c r="F570">
        <v>8</v>
      </c>
      <c r="G570">
        <v>8.43</v>
      </c>
      <c r="H570">
        <v>8.68</v>
      </c>
      <c r="I570">
        <v>8.9</v>
      </c>
      <c r="J570">
        <v>8.8800000000000008</v>
      </c>
      <c r="K570">
        <v>8.94</v>
      </c>
      <c r="M570" s="3"/>
      <c r="N570" s="17"/>
      <c r="O570" s="17"/>
      <c r="P570" s="17"/>
      <c r="Q570" s="17"/>
      <c r="R570" s="17"/>
      <c r="S570" s="17"/>
      <c r="T570" s="17"/>
      <c r="U570" s="17"/>
      <c r="V570" s="17"/>
      <c r="AE570" s="2"/>
      <c r="AQ570" s="2"/>
      <c r="AR570" s="2"/>
      <c r="AS570" s="2"/>
      <c r="AT570" s="2"/>
      <c r="AU570" s="2"/>
      <c r="AV570" s="2"/>
      <c r="AW570" s="2"/>
      <c r="AX570" s="2"/>
      <c r="AY570" s="2"/>
    </row>
    <row r="571" spans="1:51" x14ac:dyDescent="0.25">
      <c r="A571" s="24">
        <v>44942</v>
      </c>
      <c r="B571" s="1">
        <v>44942</v>
      </c>
      <c r="C571">
        <v>6.48</v>
      </c>
      <c r="D571">
        <v>6.95</v>
      </c>
      <c r="E571">
        <v>7.48</v>
      </c>
      <c r="F571">
        <v>8</v>
      </c>
      <c r="G571">
        <v>8.5</v>
      </c>
      <c r="H571">
        <v>8.85</v>
      </c>
      <c r="I571">
        <v>8.9499999999999993</v>
      </c>
      <c r="J571">
        <v>8.9</v>
      </c>
      <c r="K571">
        <v>8.9499999999999993</v>
      </c>
      <c r="M571" s="3"/>
      <c r="N571" s="17"/>
      <c r="O571" s="17"/>
      <c r="P571" s="17"/>
      <c r="Q571" s="17"/>
      <c r="R571" s="17"/>
      <c r="S571" s="17"/>
      <c r="T571" s="17"/>
      <c r="U571" s="17"/>
      <c r="V571" s="17"/>
      <c r="AE571" s="2"/>
      <c r="AQ571" s="2"/>
      <c r="AR571" s="2"/>
      <c r="AS571" s="2"/>
      <c r="AT571" s="2"/>
      <c r="AU571" s="2"/>
      <c r="AV571" s="2"/>
      <c r="AW571" s="2"/>
      <c r="AX571" s="2"/>
      <c r="AY571" s="2"/>
    </row>
    <row r="572" spans="1:51" x14ac:dyDescent="0.25">
      <c r="A572" s="24">
        <v>44939</v>
      </c>
      <c r="B572" s="1">
        <v>44939</v>
      </c>
      <c r="C572">
        <v>6.02</v>
      </c>
      <c r="D572">
        <v>6.52</v>
      </c>
      <c r="E572">
        <v>7.04</v>
      </c>
      <c r="F572">
        <v>8</v>
      </c>
      <c r="G572">
        <v>8.42</v>
      </c>
      <c r="H572">
        <v>8.7799999999999994</v>
      </c>
      <c r="I572">
        <v>8.9600000000000009</v>
      </c>
      <c r="J572">
        <v>8.9499999999999993</v>
      </c>
      <c r="K572">
        <v>8.9600000000000009</v>
      </c>
      <c r="M572" s="3"/>
      <c r="N572" s="17"/>
      <c r="O572" s="17"/>
      <c r="P572" s="17"/>
      <c r="Q572" s="17"/>
      <c r="R572" s="17"/>
      <c r="S572" s="17"/>
      <c r="T572" s="17"/>
      <c r="U572" s="17"/>
      <c r="V572" s="17"/>
      <c r="AE572" s="2"/>
      <c r="AQ572" s="2"/>
      <c r="AR572" s="2"/>
      <c r="AS572" s="2"/>
      <c r="AT572" s="2"/>
      <c r="AU572" s="2"/>
      <c r="AV572" s="2"/>
      <c r="AW572" s="2"/>
      <c r="AX572" s="2"/>
      <c r="AY572" s="2"/>
    </row>
    <row r="573" spans="1:51" x14ac:dyDescent="0.25">
      <c r="A573" s="24">
        <v>44938</v>
      </c>
      <c r="B573" s="1">
        <v>44938</v>
      </c>
      <c r="C573">
        <v>5.95</v>
      </c>
      <c r="D573">
        <v>6.45</v>
      </c>
      <c r="E573">
        <v>7.18</v>
      </c>
      <c r="F573">
        <v>7.95</v>
      </c>
      <c r="G573">
        <v>8.33</v>
      </c>
      <c r="H573">
        <v>8.73</v>
      </c>
      <c r="I573">
        <v>8.93</v>
      </c>
      <c r="J573">
        <v>8.8800000000000008</v>
      </c>
      <c r="K573">
        <v>9</v>
      </c>
      <c r="M573" s="3"/>
      <c r="N573" s="17"/>
      <c r="O573" s="17"/>
      <c r="P573" s="17"/>
      <c r="Q573" s="17"/>
      <c r="R573" s="17"/>
      <c r="S573" s="17"/>
      <c r="T573" s="17"/>
      <c r="U573" s="17"/>
      <c r="V573" s="17"/>
      <c r="AE573" s="2"/>
      <c r="AQ573" s="2"/>
      <c r="AR573" s="2"/>
      <c r="AS573" s="2"/>
      <c r="AT573" s="2"/>
      <c r="AU573" s="2"/>
      <c r="AV573" s="2"/>
      <c r="AW573" s="2"/>
      <c r="AX573" s="2"/>
      <c r="AY573" s="2"/>
    </row>
    <row r="574" spans="1:51" x14ac:dyDescent="0.25">
      <c r="A574" s="24">
        <v>44937</v>
      </c>
      <c r="B574" s="1">
        <v>44937</v>
      </c>
      <c r="C574">
        <v>5.5</v>
      </c>
      <c r="D574">
        <v>6.26</v>
      </c>
      <c r="E574">
        <v>6.93</v>
      </c>
      <c r="F574">
        <v>7.94</v>
      </c>
      <c r="G574">
        <v>8.31</v>
      </c>
      <c r="H574">
        <v>8.7100000000000009</v>
      </c>
      <c r="I574">
        <v>8.84</v>
      </c>
      <c r="J574">
        <v>8.85</v>
      </c>
      <c r="K574">
        <v>8.9600000000000009</v>
      </c>
      <c r="M574" s="3"/>
      <c r="N574" s="17"/>
      <c r="O574" s="17"/>
      <c r="P574" s="17"/>
      <c r="Q574" s="17"/>
      <c r="R574" s="17"/>
      <c r="S574" s="17"/>
      <c r="T574" s="17"/>
      <c r="U574" s="17"/>
      <c r="V574" s="17"/>
      <c r="AE574" s="2"/>
      <c r="AQ574" s="2"/>
      <c r="AR574" s="2"/>
      <c r="AS574" s="2"/>
      <c r="AT574" s="2"/>
      <c r="AU574" s="2"/>
      <c r="AV574" s="2"/>
      <c r="AW574" s="2"/>
      <c r="AX574" s="2"/>
      <c r="AY574" s="2"/>
    </row>
    <row r="575" spans="1:51" x14ac:dyDescent="0.25">
      <c r="A575" s="24">
        <v>44936</v>
      </c>
      <c r="B575" s="1">
        <v>44936</v>
      </c>
      <c r="C575">
        <v>5.17</v>
      </c>
      <c r="D575">
        <v>6.04</v>
      </c>
      <c r="E575">
        <v>6.8</v>
      </c>
      <c r="F575">
        <v>7.91</v>
      </c>
      <c r="G575">
        <v>8.27</v>
      </c>
      <c r="H575">
        <v>8.57</v>
      </c>
      <c r="I575">
        <v>8.7899999999999991</v>
      </c>
      <c r="J575">
        <v>8.8000000000000007</v>
      </c>
      <c r="K575">
        <v>8.92</v>
      </c>
      <c r="M575" s="3"/>
      <c r="N575" s="17"/>
      <c r="O575" s="17"/>
      <c r="P575" s="17"/>
      <c r="Q575" s="17"/>
      <c r="R575" s="17"/>
      <c r="S575" s="17"/>
      <c r="T575" s="17"/>
      <c r="U575" s="17"/>
      <c r="V575" s="17"/>
      <c r="AE575" s="2"/>
      <c r="AQ575" s="2"/>
      <c r="AR575" s="2"/>
      <c r="AS575" s="2"/>
      <c r="AT575" s="2"/>
      <c r="AU575" s="2"/>
      <c r="AV575" s="2"/>
      <c r="AW575" s="2"/>
      <c r="AX575" s="2"/>
      <c r="AY575" s="2"/>
    </row>
    <row r="576" spans="1:51" x14ac:dyDescent="0.25">
      <c r="A576" s="24">
        <v>44935</v>
      </c>
      <c r="B576" s="1">
        <v>44935</v>
      </c>
      <c r="C576">
        <v>5.08</v>
      </c>
      <c r="D576">
        <v>5.97</v>
      </c>
      <c r="E576">
        <v>6.83</v>
      </c>
      <c r="F576">
        <v>7.97</v>
      </c>
      <c r="G576">
        <v>8.32</v>
      </c>
      <c r="H576">
        <v>8.67</v>
      </c>
      <c r="I576">
        <v>8.8800000000000008</v>
      </c>
      <c r="J576">
        <v>8.8800000000000008</v>
      </c>
      <c r="K576">
        <v>8.9499999999999993</v>
      </c>
      <c r="M576" s="3"/>
      <c r="N576" s="17"/>
      <c r="O576" s="17"/>
      <c r="P576" s="17"/>
      <c r="Q576" s="17"/>
      <c r="R576" s="17"/>
      <c r="S576" s="17"/>
      <c r="T576" s="17"/>
      <c r="U576" s="17"/>
      <c r="V576" s="17"/>
      <c r="AE576" s="2"/>
      <c r="AQ576" s="2"/>
      <c r="AR576" s="2"/>
      <c r="AS576" s="2"/>
      <c r="AT576" s="2"/>
      <c r="AU576" s="2"/>
      <c r="AV576" s="2"/>
      <c r="AW576" s="2"/>
      <c r="AX576" s="2"/>
      <c r="AY576" s="2"/>
    </row>
    <row r="577" spans="1:51" x14ac:dyDescent="0.25">
      <c r="A577" s="24">
        <v>44932</v>
      </c>
      <c r="B577" s="1">
        <v>44932</v>
      </c>
      <c r="C577">
        <v>5.03</v>
      </c>
      <c r="D577">
        <v>6</v>
      </c>
      <c r="E577">
        <v>6.78</v>
      </c>
      <c r="F577">
        <v>7.93</v>
      </c>
      <c r="G577">
        <v>8.32</v>
      </c>
      <c r="H577">
        <v>8.58</v>
      </c>
      <c r="I577">
        <v>8.82</v>
      </c>
      <c r="J577">
        <v>8.82</v>
      </c>
      <c r="K577">
        <v>8.9</v>
      </c>
      <c r="M577" s="3"/>
      <c r="N577" s="17"/>
      <c r="O577" s="17"/>
      <c r="P577" s="17"/>
      <c r="Q577" s="17"/>
      <c r="R577" s="17"/>
      <c r="S577" s="17"/>
      <c r="T577" s="17"/>
      <c r="U577" s="17"/>
      <c r="V577" s="17"/>
      <c r="AE577" s="2"/>
      <c r="AQ577" s="2"/>
      <c r="AR577" s="2"/>
      <c r="AS577" s="2"/>
      <c r="AT577" s="2"/>
      <c r="AU577" s="2"/>
      <c r="AV577" s="2"/>
      <c r="AW577" s="2"/>
      <c r="AX577" s="2"/>
      <c r="AY577" s="2"/>
    </row>
    <row r="578" spans="1:51" x14ac:dyDescent="0.25">
      <c r="A578" s="24">
        <v>44931</v>
      </c>
      <c r="B578" s="1">
        <v>44931</v>
      </c>
      <c r="C578">
        <v>5.07</v>
      </c>
      <c r="D578">
        <v>6.02</v>
      </c>
      <c r="E578">
        <v>6.82</v>
      </c>
      <c r="F578">
        <v>7.93</v>
      </c>
      <c r="G578">
        <v>8.32</v>
      </c>
      <c r="H578">
        <v>8.67</v>
      </c>
      <c r="I578">
        <v>8.82</v>
      </c>
      <c r="J578">
        <v>8.82</v>
      </c>
      <c r="K578">
        <v>8.9499999999999993</v>
      </c>
      <c r="M578" s="3"/>
      <c r="N578" s="17"/>
      <c r="O578" s="17"/>
      <c r="P578" s="17"/>
      <c r="Q578" s="17"/>
      <c r="R578" s="17"/>
      <c r="S578" s="17"/>
      <c r="T578" s="17"/>
      <c r="U578" s="17"/>
      <c r="V578" s="17"/>
      <c r="AE578" s="2"/>
      <c r="AQ578" s="2"/>
      <c r="AR578" s="2"/>
      <c r="AS578" s="2"/>
      <c r="AT578" s="2"/>
      <c r="AU578" s="2"/>
      <c r="AV578" s="2"/>
      <c r="AW578" s="2"/>
      <c r="AX578" s="2"/>
      <c r="AY578" s="2"/>
    </row>
    <row r="579" spans="1:51" x14ac:dyDescent="0.25">
      <c r="A579" s="24">
        <v>44930</v>
      </c>
      <c r="B579" s="1">
        <v>44930</v>
      </c>
      <c r="C579">
        <v>5.07</v>
      </c>
      <c r="D579">
        <v>6.09</v>
      </c>
      <c r="E579">
        <v>6.74</v>
      </c>
      <c r="F579">
        <v>7.9</v>
      </c>
      <c r="G579">
        <v>8.3000000000000007</v>
      </c>
      <c r="H579">
        <v>8.66</v>
      </c>
      <c r="I579">
        <v>8.77</v>
      </c>
      <c r="J579">
        <v>8.8000000000000007</v>
      </c>
      <c r="K579">
        <v>8.92</v>
      </c>
      <c r="M579" s="3"/>
      <c r="N579" s="17"/>
      <c r="O579" s="17"/>
      <c r="P579" s="17"/>
      <c r="Q579" s="17"/>
      <c r="R579" s="17"/>
      <c r="S579" s="17"/>
      <c r="T579" s="17"/>
      <c r="U579" s="17"/>
      <c r="V579" s="17"/>
      <c r="AE579" s="2"/>
      <c r="AQ579" s="2"/>
      <c r="AR579" s="2"/>
      <c r="AS579" s="2"/>
      <c r="AT579" s="2"/>
      <c r="AU579" s="2"/>
      <c r="AV579" s="2"/>
      <c r="AW579" s="2"/>
      <c r="AX579" s="2"/>
      <c r="AY579" s="2"/>
    </row>
    <row r="580" spans="1:51" x14ac:dyDescent="0.25">
      <c r="A580" s="24">
        <v>44929</v>
      </c>
      <c r="B580" s="1">
        <v>44929</v>
      </c>
      <c r="C580">
        <v>5</v>
      </c>
      <c r="D580">
        <v>5.86</v>
      </c>
      <c r="E580">
        <v>6.78</v>
      </c>
      <c r="F580">
        <v>7.78</v>
      </c>
      <c r="G580">
        <v>8.1199999999999992</v>
      </c>
      <c r="H580">
        <v>8.48</v>
      </c>
      <c r="I580">
        <v>8.7200000000000006</v>
      </c>
      <c r="J580">
        <v>8.7799999999999994</v>
      </c>
      <c r="K580">
        <v>9.02</v>
      </c>
      <c r="M580" s="3"/>
      <c r="N580" s="17"/>
      <c r="O580" s="17"/>
      <c r="P580" s="17"/>
      <c r="Q580" s="17"/>
      <c r="R580" s="17"/>
      <c r="S580" s="17"/>
      <c r="T580" s="17"/>
      <c r="U580" s="17"/>
      <c r="V580" s="17"/>
      <c r="AE580" s="2"/>
      <c r="AQ580" s="2"/>
      <c r="AR580" s="2"/>
      <c r="AS580" s="2"/>
      <c r="AT580" s="2"/>
      <c r="AU580" s="2"/>
      <c r="AV580" s="2"/>
      <c r="AW580" s="2"/>
      <c r="AX580" s="2"/>
      <c r="AY580" s="2"/>
    </row>
    <row r="581" spans="1:51" x14ac:dyDescent="0.25">
      <c r="A581" s="24">
        <v>44925</v>
      </c>
      <c r="B581" s="1">
        <v>44925</v>
      </c>
      <c r="C581">
        <v>4.97</v>
      </c>
      <c r="D581">
        <v>5.8</v>
      </c>
      <c r="E581">
        <v>6.68</v>
      </c>
      <c r="F581">
        <v>7.82</v>
      </c>
      <c r="G581">
        <v>8.18</v>
      </c>
      <c r="H581">
        <v>8.5</v>
      </c>
      <c r="I581">
        <v>8.6999999999999993</v>
      </c>
      <c r="J581">
        <v>8.76</v>
      </c>
      <c r="K581">
        <v>8.9</v>
      </c>
      <c r="M581" s="3"/>
      <c r="N581" s="17"/>
      <c r="O581" s="17"/>
      <c r="P581" s="17"/>
      <c r="Q581" s="17"/>
      <c r="R581" s="17"/>
      <c r="S581" s="17"/>
      <c r="T581" s="17"/>
      <c r="U581" s="17"/>
      <c r="V581" s="17"/>
      <c r="AE581" s="2"/>
      <c r="AQ581" s="2"/>
      <c r="AR581" s="2"/>
      <c r="AS581" s="2"/>
      <c r="AT581" s="2"/>
      <c r="AU581" s="2"/>
      <c r="AV581" s="2"/>
      <c r="AW581" s="2"/>
      <c r="AX581" s="2"/>
      <c r="AY581" s="2"/>
    </row>
    <row r="582" spans="1:51" x14ac:dyDescent="0.25">
      <c r="A582" s="24">
        <v>44924</v>
      </c>
      <c r="B582" s="1">
        <v>44924</v>
      </c>
      <c r="C582">
        <v>2.93</v>
      </c>
      <c r="D582">
        <v>5.45</v>
      </c>
      <c r="E582">
        <v>6.43</v>
      </c>
      <c r="F582">
        <v>8</v>
      </c>
      <c r="G582">
        <v>8.33</v>
      </c>
      <c r="H582">
        <v>8.68</v>
      </c>
      <c r="I582">
        <v>8.93</v>
      </c>
      <c r="J582">
        <v>8.98</v>
      </c>
      <c r="K582">
        <v>9.06</v>
      </c>
      <c r="M582" s="3"/>
      <c r="N582" s="17"/>
      <c r="O582" s="17"/>
      <c r="P582" s="17"/>
      <c r="Q582" s="17"/>
      <c r="R582" s="17"/>
      <c r="S582" s="17"/>
      <c r="T582" s="17"/>
      <c r="U582" s="17"/>
      <c r="V582" s="17"/>
      <c r="AE582" s="2"/>
      <c r="AQ582" s="2"/>
      <c r="AR582" s="2"/>
      <c r="AS582" s="2"/>
      <c r="AT582" s="2"/>
      <c r="AU582" s="2"/>
      <c r="AV582" s="2"/>
      <c r="AW582" s="2"/>
      <c r="AX582" s="2"/>
      <c r="AY582" s="2"/>
    </row>
    <row r="583" spans="1:51" x14ac:dyDescent="0.25">
      <c r="A583" s="24">
        <v>44923</v>
      </c>
      <c r="B583" s="1">
        <v>44923</v>
      </c>
      <c r="C583">
        <v>3.39</v>
      </c>
      <c r="D583">
        <v>5.44</v>
      </c>
      <c r="E583">
        <v>6.46</v>
      </c>
      <c r="F583">
        <v>7.63</v>
      </c>
      <c r="G583">
        <v>8.11</v>
      </c>
      <c r="H583">
        <v>8.51</v>
      </c>
      <c r="I583">
        <v>8.73</v>
      </c>
      <c r="J583">
        <v>8.77</v>
      </c>
      <c r="K583">
        <v>8.92</v>
      </c>
      <c r="M583" s="3"/>
      <c r="N583" s="17"/>
      <c r="O583" s="17"/>
      <c r="P583" s="17"/>
      <c r="Q583" s="17"/>
      <c r="R583" s="17"/>
      <c r="S583" s="17"/>
      <c r="T583" s="17"/>
      <c r="U583" s="17"/>
      <c r="V583" s="17"/>
      <c r="AE583" s="2"/>
      <c r="AQ583" s="2"/>
      <c r="AR583" s="2"/>
      <c r="AS583" s="2"/>
      <c r="AT583" s="2"/>
      <c r="AU583" s="2"/>
      <c r="AV583" s="2"/>
      <c r="AW583" s="2"/>
      <c r="AX583" s="2"/>
      <c r="AY583" s="2"/>
    </row>
    <row r="584" spans="1:51" x14ac:dyDescent="0.25">
      <c r="A584" s="24">
        <v>44922</v>
      </c>
      <c r="B584" s="1">
        <v>44922</v>
      </c>
      <c r="C584">
        <v>3.44</v>
      </c>
      <c r="D584">
        <v>5.14</v>
      </c>
      <c r="E584">
        <v>6.31</v>
      </c>
      <c r="F584">
        <v>7.76</v>
      </c>
      <c r="G584">
        <v>8.23</v>
      </c>
      <c r="H584">
        <v>8.6300000000000008</v>
      </c>
      <c r="I584">
        <v>8.8000000000000007</v>
      </c>
      <c r="J584">
        <v>8.85</v>
      </c>
      <c r="K584">
        <v>8.93</v>
      </c>
      <c r="M584" s="3"/>
      <c r="N584" s="17"/>
      <c r="O584" s="17"/>
      <c r="P584" s="17"/>
      <c r="Q584" s="17"/>
      <c r="R584" s="17"/>
      <c r="S584" s="17"/>
      <c r="T584" s="17"/>
      <c r="U584" s="17"/>
      <c r="V584" s="17"/>
      <c r="AE584" s="2"/>
      <c r="AQ584" s="2"/>
      <c r="AR584" s="2"/>
      <c r="AS584" s="2"/>
      <c r="AT584" s="2"/>
      <c r="AU584" s="2"/>
      <c r="AV584" s="2"/>
      <c r="AW584" s="2"/>
      <c r="AX584" s="2"/>
      <c r="AY584" s="2"/>
    </row>
    <row r="585" spans="1:51" x14ac:dyDescent="0.25">
      <c r="A585" s="24">
        <v>44921</v>
      </c>
      <c r="B585" s="1">
        <v>44921</v>
      </c>
      <c r="C585">
        <v>3.4</v>
      </c>
      <c r="D585">
        <v>4.82</v>
      </c>
      <c r="E585">
        <v>6.18</v>
      </c>
      <c r="F585">
        <v>7.57</v>
      </c>
      <c r="G585">
        <v>8.0500000000000007</v>
      </c>
      <c r="H585">
        <v>8.43</v>
      </c>
      <c r="I585">
        <v>8.68</v>
      </c>
      <c r="J585">
        <v>8.7200000000000006</v>
      </c>
      <c r="K585">
        <v>8.9</v>
      </c>
      <c r="M585" s="3"/>
      <c r="N585" s="17"/>
      <c r="O585" s="17"/>
      <c r="P585" s="17"/>
      <c r="Q585" s="17"/>
      <c r="R585" s="17"/>
      <c r="S585" s="17"/>
      <c r="T585" s="17"/>
      <c r="U585" s="17"/>
      <c r="V585" s="17"/>
      <c r="AE585" s="2"/>
      <c r="AQ585" s="2"/>
      <c r="AR585" s="2"/>
      <c r="AS585" s="2"/>
      <c r="AT585" s="2"/>
      <c r="AU585" s="2"/>
      <c r="AV585" s="2"/>
      <c r="AW585" s="2"/>
      <c r="AX585" s="2"/>
      <c r="AY585" s="2"/>
    </row>
    <row r="586" spans="1:51" x14ac:dyDescent="0.25">
      <c r="A586" s="24">
        <v>44918</v>
      </c>
      <c r="B586" s="1">
        <v>44918</v>
      </c>
      <c r="C586">
        <v>3.5</v>
      </c>
      <c r="D586">
        <v>4.83</v>
      </c>
      <c r="E586">
        <v>6.45</v>
      </c>
      <c r="F586">
        <v>7.8</v>
      </c>
      <c r="G586">
        <v>8.2799999999999994</v>
      </c>
      <c r="H586">
        <v>8.6</v>
      </c>
      <c r="I586">
        <v>8.9</v>
      </c>
      <c r="J586">
        <v>8.84</v>
      </c>
      <c r="K586">
        <v>8.9499999999999993</v>
      </c>
      <c r="M586" s="3"/>
      <c r="N586" s="17"/>
      <c r="O586" s="17"/>
      <c r="P586" s="17"/>
      <c r="Q586" s="17"/>
      <c r="R586" s="17"/>
      <c r="S586" s="17"/>
      <c r="T586" s="17"/>
      <c r="U586" s="17"/>
      <c r="V586" s="17"/>
      <c r="AE586" s="2"/>
      <c r="AQ586" s="2"/>
      <c r="AR586" s="2"/>
      <c r="AS586" s="2"/>
      <c r="AT586" s="2"/>
      <c r="AU586" s="2"/>
      <c r="AV586" s="2"/>
      <c r="AW586" s="2"/>
      <c r="AX586" s="2"/>
      <c r="AY586" s="2"/>
    </row>
    <row r="587" spans="1:51" x14ac:dyDescent="0.25">
      <c r="A587" s="24">
        <v>44917</v>
      </c>
      <c r="B587" s="1">
        <v>44917</v>
      </c>
      <c r="C587">
        <v>3.7</v>
      </c>
      <c r="D587">
        <v>4.9800000000000004</v>
      </c>
      <c r="E587">
        <v>6.52</v>
      </c>
      <c r="F587">
        <v>7.75</v>
      </c>
      <c r="G587">
        <v>8.1999999999999993</v>
      </c>
      <c r="H587">
        <v>8.52</v>
      </c>
      <c r="I587">
        <v>8.77</v>
      </c>
      <c r="J587">
        <v>8.7799999999999994</v>
      </c>
      <c r="K587">
        <v>8.9</v>
      </c>
      <c r="M587" s="3"/>
      <c r="N587" s="17"/>
      <c r="O587" s="17"/>
      <c r="P587" s="17"/>
      <c r="Q587" s="17"/>
      <c r="R587" s="17"/>
      <c r="S587" s="17"/>
      <c r="T587" s="17"/>
      <c r="U587" s="17"/>
      <c r="V587" s="17"/>
      <c r="AE587" s="2"/>
      <c r="AQ587" s="2"/>
      <c r="AR587" s="2"/>
      <c r="AS587" s="2"/>
      <c r="AT587" s="2"/>
      <c r="AU587" s="2"/>
      <c r="AV587" s="2"/>
      <c r="AW587" s="2"/>
      <c r="AX587" s="2"/>
      <c r="AY587" s="2"/>
    </row>
    <row r="588" spans="1:51" x14ac:dyDescent="0.25">
      <c r="A588" s="24">
        <v>44916</v>
      </c>
      <c r="B588" s="1">
        <v>44916</v>
      </c>
      <c r="C588">
        <v>3.94</v>
      </c>
      <c r="D588">
        <v>5.4</v>
      </c>
      <c r="E588">
        <v>6.57</v>
      </c>
      <c r="F588">
        <v>7.79</v>
      </c>
      <c r="G588">
        <v>8.23</v>
      </c>
      <c r="H588">
        <v>8.59</v>
      </c>
      <c r="I588">
        <v>8.8000000000000007</v>
      </c>
      <c r="J588">
        <v>8.85</v>
      </c>
      <c r="K588">
        <v>8.9600000000000009</v>
      </c>
      <c r="M588" s="3"/>
      <c r="N588" s="17"/>
      <c r="O588" s="17"/>
      <c r="P588" s="17"/>
      <c r="Q588" s="17"/>
      <c r="R588" s="17"/>
      <c r="S588" s="17"/>
      <c r="T588" s="17"/>
      <c r="U588" s="17"/>
      <c r="V588" s="17"/>
      <c r="AE588" s="2"/>
      <c r="AQ588" s="2"/>
      <c r="AR588" s="2"/>
      <c r="AS588" s="2"/>
      <c r="AT588" s="2"/>
      <c r="AU588" s="2"/>
      <c r="AV588" s="2"/>
      <c r="AW588" s="2"/>
      <c r="AX588" s="2"/>
      <c r="AY588" s="2"/>
    </row>
    <row r="589" spans="1:51" x14ac:dyDescent="0.25">
      <c r="A589" s="24">
        <v>44915</v>
      </c>
      <c r="B589" s="1">
        <v>44915</v>
      </c>
      <c r="C589">
        <v>3.97</v>
      </c>
      <c r="D589">
        <v>5.4</v>
      </c>
      <c r="E589">
        <v>6.47</v>
      </c>
      <c r="F589">
        <v>7.66</v>
      </c>
      <c r="G589">
        <v>8.16</v>
      </c>
      <c r="H589">
        <v>8.49</v>
      </c>
      <c r="I589">
        <v>8.8000000000000007</v>
      </c>
      <c r="J589">
        <v>8.82</v>
      </c>
      <c r="K589">
        <v>8.9600000000000009</v>
      </c>
      <c r="M589" s="3"/>
      <c r="N589" s="17"/>
      <c r="O589" s="17"/>
      <c r="P589" s="17"/>
      <c r="Q589" s="17"/>
      <c r="R589" s="17"/>
      <c r="S589" s="17"/>
      <c r="T589" s="17"/>
      <c r="U589" s="17"/>
      <c r="V589" s="17"/>
      <c r="AE589" s="2"/>
      <c r="AQ589" s="2"/>
      <c r="AR589" s="2"/>
      <c r="AS589" s="2"/>
      <c r="AT589" s="2"/>
      <c r="AU589" s="2"/>
      <c r="AV589" s="2"/>
      <c r="AW589" s="2"/>
      <c r="AX589" s="2"/>
      <c r="AY589" s="2"/>
    </row>
    <row r="590" spans="1:51" x14ac:dyDescent="0.25">
      <c r="A590" s="24">
        <v>44914</v>
      </c>
      <c r="B590" s="1">
        <v>44914</v>
      </c>
      <c r="C590">
        <v>4.32</v>
      </c>
      <c r="D590">
        <v>5.66</v>
      </c>
      <c r="E590">
        <v>6.64</v>
      </c>
      <c r="F590">
        <v>7.66</v>
      </c>
      <c r="G590">
        <v>8.08</v>
      </c>
      <c r="H590">
        <v>8.48</v>
      </c>
      <c r="I590">
        <v>8.7200000000000006</v>
      </c>
      <c r="J590">
        <v>8.73</v>
      </c>
      <c r="K590">
        <v>8.82</v>
      </c>
      <c r="M590" s="3"/>
      <c r="N590" s="17"/>
      <c r="O590" s="17"/>
      <c r="P590" s="17"/>
      <c r="Q590" s="17"/>
      <c r="R590" s="17"/>
      <c r="S590" s="17"/>
      <c r="T590" s="17"/>
      <c r="U590" s="17"/>
      <c r="V590" s="17"/>
      <c r="AE590" s="2"/>
      <c r="AQ590" s="2"/>
      <c r="AR590" s="2"/>
      <c r="AS590" s="2"/>
      <c r="AT590" s="2"/>
      <c r="AU590" s="2"/>
      <c r="AV590" s="2"/>
      <c r="AW590" s="2"/>
      <c r="AX590" s="2"/>
      <c r="AY590" s="2"/>
    </row>
    <row r="591" spans="1:51" x14ac:dyDescent="0.25">
      <c r="A591" s="24">
        <v>44911</v>
      </c>
      <c r="B591" s="1">
        <v>44911</v>
      </c>
      <c r="C591">
        <v>4.49</v>
      </c>
      <c r="D591">
        <v>5.86</v>
      </c>
      <c r="E591">
        <v>6.54</v>
      </c>
      <c r="F591">
        <v>7.79</v>
      </c>
      <c r="G591">
        <v>8.1999999999999993</v>
      </c>
      <c r="H591">
        <v>8.59</v>
      </c>
      <c r="I591">
        <v>8.8000000000000007</v>
      </c>
      <c r="J591">
        <v>8.82</v>
      </c>
      <c r="K591">
        <v>8.92</v>
      </c>
      <c r="M591" s="3"/>
      <c r="N591" s="17"/>
      <c r="O591" s="17"/>
      <c r="P591" s="17"/>
      <c r="Q591" s="17"/>
      <c r="R591" s="17"/>
      <c r="S591" s="17"/>
      <c r="T591" s="17"/>
      <c r="U591" s="17"/>
      <c r="V591" s="17"/>
      <c r="AE591" s="2"/>
      <c r="AQ591" s="2"/>
      <c r="AR591" s="2"/>
      <c r="AS591" s="2"/>
      <c r="AT591" s="2"/>
      <c r="AU591" s="2"/>
      <c r="AV591" s="2"/>
      <c r="AW591" s="2"/>
      <c r="AX591" s="2"/>
      <c r="AY591" s="2"/>
    </row>
    <row r="592" spans="1:51" x14ac:dyDescent="0.25">
      <c r="A592" s="24">
        <v>44910</v>
      </c>
      <c r="B592" s="1">
        <v>44910</v>
      </c>
      <c r="C592">
        <v>5.03</v>
      </c>
      <c r="D592">
        <v>6.17</v>
      </c>
      <c r="E592">
        <v>6.78</v>
      </c>
      <c r="F592">
        <v>7.92</v>
      </c>
      <c r="G592">
        <v>8.27</v>
      </c>
      <c r="H592">
        <v>8.6199999999999992</v>
      </c>
      <c r="I592">
        <v>8.77</v>
      </c>
      <c r="J592">
        <v>8.76</v>
      </c>
      <c r="K592">
        <v>8.8800000000000008</v>
      </c>
      <c r="M592" s="3"/>
      <c r="N592" s="17"/>
      <c r="O592" s="17"/>
      <c r="P592" s="17"/>
      <c r="Q592" s="17"/>
      <c r="R592" s="17"/>
      <c r="S592" s="17"/>
      <c r="T592" s="17"/>
      <c r="U592" s="17"/>
      <c r="V592" s="17"/>
      <c r="AE592" s="2"/>
      <c r="AQ592" s="2"/>
      <c r="AR592" s="2"/>
      <c r="AS592" s="2"/>
      <c r="AT592" s="2"/>
      <c r="AU592" s="2"/>
      <c r="AV592" s="2"/>
      <c r="AW592" s="2"/>
      <c r="AX592" s="2"/>
      <c r="AY592" s="2"/>
    </row>
    <row r="593" spans="1:51" x14ac:dyDescent="0.25">
      <c r="A593" s="24">
        <v>44909</v>
      </c>
      <c r="B593" s="1">
        <v>44909</v>
      </c>
      <c r="C593">
        <v>5.28</v>
      </c>
      <c r="D593">
        <v>6.4</v>
      </c>
      <c r="E593">
        <v>6.9</v>
      </c>
      <c r="F593">
        <v>7.9</v>
      </c>
      <c r="G593">
        <v>8.26</v>
      </c>
      <c r="H593">
        <v>8.5399999999999991</v>
      </c>
      <c r="I593">
        <v>8.7200000000000006</v>
      </c>
      <c r="J593">
        <v>8.73</v>
      </c>
      <c r="K593">
        <v>8.83</v>
      </c>
      <c r="M593" s="3"/>
      <c r="N593" s="17"/>
      <c r="O593" s="17"/>
      <c r="P593" s="17"/>
      <c r="Q593" s="17"/>
      <c r="R593" s="17"/>
      <c r="S593" s="17"/>
      <c r="T593" s="17"/>
      <c r="U593" s="17"/>
      <c r="V593" s="17"/>
      <c r="AE593" s="2"/>
      <c r="AQ593" s="2"/>
      <c r="AR593" s="2"/>
      <c r="AS593" s="2"/>
      <c r="AT593" s="2"/>
      <c r="AU593" s="2"/>
      <c r="AV593" s="2"/>
      <c r="AW593" s="2"/>
      <c r="AX593" s="2"/>
      <c r="AY593" s="2"/>
    </row>
    <row r="594" spans="1:51" x14ac:dyDescent="0.25">
      <c r="A594" s="24">
        <v>44908</v>
      </c>
      <c r="B594" s="1">
        <v>44908</v>
      </c>
      <c r="C594">
        <v>5.47</v>
      </c>
      <c r="D594">
        <v>6.5</v>
      </c>
      <c r="E594">
        <v>6.92</v>
      </c>
      <c r="F594">
        <v>8.1199999999999992</v>
      </c>
      <c r="G594">
        <v>8.5299999999999994</v>
      </c>
      <c r="H594">
        <v>8.84</v>
      </c>
      <c r="I594">
        <v>8.85</v>
      </c>
      <c r="J594">
        <v>8.84</v>
      </c>
      <c r="K594">
        <v>8.9499999999999993</v>
      </c>
      <c r="M594" s="3"/>
      <c r="N594" s="17"/>
      <c r="O594" s="17"/>
      <c r="P594" s="17"/>
      <c r="Q594" s="17"/>
      <c r="R594" s="17"/>
      <c r="S594" s="17"/>
      <c r="T594" s="17"/>
      <c r="U594" s="17"/>
      <c r="V594" s="17"/>
      <c r="AE594" s="2"/>
      <c r="AQ594" s="2"/>
      <c r="AR594" s="2"/>
      <c r="AS594" s="2"/>
      <c r="AT594" s="2"/>
      <c r="AU594" s="2"/>
      <c r="AV594" s="2"/>
      <c r="AW594" s="2"/>
      <c r="AX594" s="2"/>
      <c r="AY594" s="2"/>
    </row>
    <row r="595" spans="1:51" x14ac:dyDescent="0.25">
      <c r="A595" s="24">
        <v>44907</v>
      </c>
      <c r="B595" s="1">
        <v>44907</v>
      </c>
      <c r="C595">
        <v>5.5</v>
      </c>
      <c r="D595">
        <v>6.5</v>
      </c>
      <c r="E595">
        <v>6.9</v>
      </c>
      <c r="F595">
        <v>7.9</v>
      </c>
      <c r="G595">
        <v>8.44</v>
      </c>
      <c r="H595">
        <v>8.6999999999999993</v>
      </c>
      <c r="I595">
        <v>8.82</v>
      </c>
      <c r="J595">
        <v>8.8000000000000007</v>
      </c>
      <c r="K595">
        <v>8.9600000000000009</v>
      </c>
      <c r="M595" s="3"/>
      <c r="N595" s="17"/>
      <c r="O595" s="17"/>
      <c r="P595" s="17"/>
      <c r="Q595" s="17"/>
      <c r="R595" s="17"/>
      <c r="S595" s="17"/>
      <c r="T595" s="17"/>
      <c r="U595" s="17"/>
      <c r="V595" s="17"/>
      <c r="AE595" s="2"/>
      <c r="AQ595" s="2"/>
      <c r="AR595" s="2"/>
      <c r="AS595" s="2"/>
      <c r="AT595" s="2"/>
      <c r="AU595" s="2"/>
      <c r="AV595" s="2"/>
      <c r="AW595" s="2"/>
      <c r="AX595" s="2"/>
      <c r="AY595" s="2"/>
    </row>
    <row r="596" spans="1:51" x14ac:dyDescent="0.25">
      <c r="A596" s="24">
        <v>44904</v>
      </c>
      <c r="B596" s="1">
        <v>44904</v>
      </c>
      <c r="C596">
        <v>5.48</v>
      </c>
      <c r="D596">
        <v>6.5</v>
      </c>
      <c r="E596">
        <v>6.96</v>
      </c>
      <c r="F596">
        <v>7.94</v>
      </c>
      <c r="G596">
        <v>8.26</v>
      </c>
      <c r="H596">
        <v>8.48</v>
      </c>
      <c r="I596">
        <v>8.66</v>
      </c>
      <c r="J596">
        <v>8.6</v>
      </c>
      <c r="K596">
        <v>8.6999999999999993</v>
      </c>
      <c r="M596" s="3"/>
      <c r="N596" s="17"/>
      <c r="O596" s="17"/>
      <c r="P596" s="17"/>
      <c r="Q596" s="17"/>
      <c r="R596" s="17"/>
      <c r="S596" s="17"/>
      <c r="T596" s="17"/>
      <c r="U596" s="17"/>
      <c r="V596" s="17"/>
      <c r="AE596" s="2"/>
      <c r="AQ596" s="2"/>
      <c r="AR596" s="2"/>
      <c r="AS596" s="2"/>
      <c r="AT596" s="2"/>
      <c r="AU596" s="2"/>
      <c r="AV596" s="2"/>
      <c r="AW596" s="2"/>
      <c r="AX596" s="2"/>
      <c r="AY596" s="2"/>
    </row>
    <row r="597" spans="1:51" x14ac:dyDescent="0.25">
      <c r="A597" s="24">
        <v>44903</v>
      </c>
      <c r="B597" s="1">
        <v>44903</v>
      </c>
      <c r="C597">
        <v>5.5</v>
      </c>
      <c r="D597">
        <v>6.5</v>
      </c>
      <c r="E597">
        <v>6.96</v>
      </c>
      <c r="F597">
        <v>7.94</v>
      </c>
      <c r="G597">
        <v>8.3000000000000007</v>
      </c>
      <c r="H597">
        <v>8.6199999999999992</v>
      </c>
      <c r="I597">
        <v>8.76</v>
      </c>
      <c r="J597">
        <v>8.7799999999999994</v>
      </c>
      <c r="K597">
        <v>8.8800000000000008</v>
      </c>
      <c r="M597" s="3"/>
      <c r="N597" s="17"/>
      <c r="O597" s="17"/>
      <c r="P597" s="17"/>
      <c r="Q597" s="17"/>
      <c r="R597" s="17"/>
      <c r="S597" s="17"/>
      <c r="T597" s="17"/>
      <c r="U597" s="17"/>
      <c r="V597" s="17"/>
      <c r="AE597" s="2"/>
      <c r="AQ597" s="2"/>
      <c r="AR597" s="2"/>
      <c r="AS597" s="2"/>
      <c r="AT597" s="2"/>
      <c r="AU597" s="2"/>
      <c r="AV597" s="2"/>
      <c r="AW597" s="2"/>
      <c r="AX597" s="2"/>
      <c r="AY597" s="2"/>
    </row>
    <row r="598" spans="1:51" x14ac:dyDescent="0.25">
      <c r="A598" s="24">
        <v>44902</v>
      </c>
      <c r="B598" s="1">
        <v>44902</v>
      </c>
      <c r="C598">
        <v>5.5</v>
      </c>
      <c r="D598">
        <v>6.5</v>
      </c>
      <c r="E598">
        <v>6.92</v>
      </c>
      <c r="F598">
        <v>8.07</v>
      </c>
      <c r="G598">
        <v>8.42</v>
      </c>
      <c r="H598">
        <v>8.65</v>
      </c>
      <c r="I598">
        <v>8.77</v>
      </c>
      <c r="J598">
        <v>8.76</v>
      </c>
      <c r="K598">
        <v>8.8800000000000008</v>
      </c>
      <c r="M598" s="3"/>
      <c r="N598" s="17"/>
      <c r="O598" s="17"/>
      <c r="P598" s="17"/>
      <c r="Q598" s="17"/>
      <c r="R598" s="17"/>
      <c r="S598" s="17"/>
      <c r="T598" s="17"/>
      <c r="U598" s="17"/>
      <c r="V598" s="17"/>
      <c r="AE598" s="2"/>
      <c r="AQ598" s="2"/>
      <c r="AR598" s="2"/>
      <c r="AS598" s="2"/>
      <c r="AT598" s="2"/>
      <c r="AU598" s="2"/>
      <c r="AV598" s="2"/>
      <c r="AW598" s="2"/>
      <c r="AX598" s="2"/>
      <c r="AY598" s="2"/>
    </row>
    <row r="599" spans="1:51" x14ac:dyDescent="0.25">
      <c r="A599" s="24">
        <v>44901</v>
      </c>
      <c r="B599" s="1">
        <v>44901</v>
      </c>
      <c r="C599">
        <v>5.42</v>
      </c>
      <c r="D599">
        <v>6.47</v>
      </c>
      <c r="E599">
        <v>6.88</v>
      </c>
      <c r="F599">
        <v>7.83</v>
      </c>
      <c r="G599">
        <v>8.1199999999999992</v>
      </c>
      <c r="H599">
        <v>8.3699999999999992</v>
      </c>
      <c r="I599">
        <v>8.5500000000000007</v>
      </c>
      <c r="J599">
        <v>8.6</v>
      </c>
      <c r="K599">
        <v>8.75</v>
      </c>
      <c r="M599" s="3"/>
      <c r="N599" s="17"/>
      <c r="O599" s="17"/>
      <c r="P599" s="17"/>
      <c r="Q599" s="17"/>
      <c r="R599" s="17"/>
      <c r="S599" s="17"/>
      <c r="T599" s="17"/>
      <c r="U599" s="17"/>
      <c r="V599" s="17"/>
      <c r="AE599" s="2"/>
      <c r="AQ599" s="2"/>
      <c r="AR599" s="2"/>
      <c r="AS599" s="2"/>
      <c r="AT599" s="2"/>
      <c r="AU599" s="2"/>
      <c r="AV599" s="2"/>
      <c r="AW599" s="2"/>
      <c r="AX599" s="2"/>
      <c r="AY599" s="2"/>
    </row>
    <row r="600" spans="1:51" x14ac:dyDescent="0.25">
      <c r="A600" s="24">
        <v>44900</v>
      </c>
      <c r="B600" s="1">
        <v>44900</v>
      </c>
      <c r="C600">
        <v>5.32</v>
      </c>
      <c r="D600">
        <v>6.42</v>
      </c>
      <c r="E600">
        <v>6.88</v>
      </c>
      <c r="F600">
        <v>7.78</v>
      </c>
      <c r="G600">
        <v>8</v>
      </c>
      <c r="H600">
        <v>8.3000000000000007</v>
      </c>
      <c r="I600">
        <v>8.48</v>
      </c>
      <c r="J600">
        <v>8.5399999999999991</v>
      </c>
      <c r="K600">
        <v>8.6999999999999993</v>
      </c>
      <c r="M600" s="3"/>
      <c r="N600" s="17"/>
      <c r="O600" s="17"/>
      <c r="P600" s="17"/>
      <c r="Q600" s="17"/>
      <c r="R600" s="17"/>
      <c r="S600" s="17"/>
      <c r="T600" s="17"/>
      <c r="U600" s="17"/>
      <c r="V600" s="17"/>
      <c r="AE600" s="2"/>
      <c r="AQ600" s="2"/>
      <c r="AR600" s="2"/>
      <c r="AS600" s="2"/>
      <c r="AT600" s="2"/>
      <c r="AU600" s="2"/>
      <c r="AV600" s="2"/>
      <c r="AW600" s="2"/>
      <c r="AX600" s="2"/>
      <c r="AY600" s="2"/>
    </row>
    <row r="601" spans="1:51" x14ac:dyDescent="0.25">
      <c r="A601" s="24">
        <v>44897</v>
      </c>
      <c r="B601" s="1">
        <v>44897</v>
      </c>
      <c r="C601">
        <v>5.38</v>
      </c>
      <c r="D601">
        <v>6.34</v>
      </c>
      <c r="E601">
        <v>6.94</v>
      </c>
      <c r="F601">
        <v>7.7</v>
      </c>
      <c r="G601">
        <v>7.98</v>
      </c>
      <c r="H601">
        <v>8.2799999999999994</v>
      </c>
      <c r="I601">
        <v>8.42</v>
      </c>
      <c r="J601">
        <v>8.4</v>
      </c>
      <c r="K601">
        <v>8.52</v>
      </c>
      <c r="M601" s="3"/>
      <c r="N601" s="17"/>
      <c r="O601" s="17"/>
      <c r="P601" s="17"/>
      <c r="Q601" s="17"/>
      <c r="R601" s="17"/>
      <c r="S601" s="17"/>
      <c r="T601" s="17"/>
      <c r="U601" s="17"/>
      <c r="V601" s="17"/>
      <c r="AE601" s="2"/>
      <c r="AQ601" s="2"/>
      <c r="AR601" s="2"/>
      <c r="AS601" s="2"/>
      <c r="AT601" s="2"/>
      <c r="AU601" s="2"/>
      <c r="AV601" s="2"/>
      <c r="AW601" s="2"/>
      <c r="AX601" s="2"/>
      <c r="AY601" s="2"/>
    </row>
    <row r="602" spans="1:51" x14ac:dyDescent="0.25">
      <c r="A602" s="24">
        <v>44896</v>
      </c>
      <c r="B602" s="1">
        <v>44896</v>
      </c>
      <c r="C602">
        <v>5.12</v>
      </c>
      <c r="D602">
        <v>6.42</v>
      </c>
      <c r="E602">
        <v>6.92</v>
      </c>
      <c r="F602">
        <v>7.78</v>
      </c>
      <c r="G602">
        <v>8.07</v>
      </c>
      <c r="H602">
        <v>8.3699999999999992</v>
      </c>
      <c r="I602">
        <v>8.43</v>
      </c>
      <c r="J602">
        <v>8.5399999999999991</v>
      </c>
      <c r="K602">
        <v>8.6300000000000008</v>
      </c>
      <c r="M602" s="3"/>
      <c r="N602" s="17"/>
      <c r="O602" s="17"/>
      <c r="P602" s="17"/>
      <c r="Q602" s="17"/>
      <c r="R602" s="17"/>
      <c r="S602" s="17"/>
      <c r="T602" s="17"/>
      <c r="U602" s="17"/>
      <c r="V602" s="17"/>
      <c r="AE602" s="2"/>
      <c r="AQ602" s="2"/>
      <c r="AR602" s="2"/>
      <c r="AS602" s="2"/>
      <c r="AT602" s="2"/>
      <c r="AU602" s="2"/>
      <c r="AV602" s="2"/>
      <c r="AW602" s="2"/>
      <c r="AX602" s="2"/>
      <c r="AY602" s="2"/>
    </row>
    <row r="603" spans="1:51" x14ac:dyDescent="0.25">
      <c r="A603" s="24">
        <v>44895</v>
      </c>
      <c r="B603" s="1">
        <v>44895</v>
      </c>
      <c r="C603">
        <v>5.07</v>
      </c>
      <c r="D603">
        <v>6.43</v>
      </c>
      <c r="E603">
        <v>6.87</v>
      </c>
      <c r="F603">
        <v>7.62</v>
      </c>
      <c r="G603">
        <v>7.92</v>
      </c>
      <c r="H603">
        <v>8.18</v>
      </c>
      <c r="I603">
        <v>8.3000000000000007</v>
      </c>
      <c r="J603">
        <v>8.39</v>
      </c>
      <c r="K603">
        <v>8.5</v>
      </c>
      <c r="M603" s="3"/>
      <c r="N603" s="17"/>
      <c r="O603" s="17"/>
      <c r="P603" s="17"/>
      <c r="Q603" s="17"/>
      <c r="R603" s="17"/>
      <c r="S603" s="17"/>
      <c r="T603" s="17"/>
      <c r="U603" s="17"/>
      <c r="V603" s="17"/>
      <c r="AE603" s="2"/>
      <c r="AQ603" s="2"/>
      <c r="AR603" s="2"/>
      <c r="AS603" s="2"/>
      <c r="AT603" s="2"/>
      <c r="AU603" s="2"/>
      <c r="AV603" s="2"/>
      <c r="AW603" s="2"/>
      <c r="AX603" s="2"/>
      <c r="AY603" s="2"/>
    </row>
    <row r="604" spans="1:51" x14ac:dyDescent="0.25">
      <c r="A604" s="24">
        <v>44894</v>
      </c>
      <c r="B604" s="1">
        <v>44894</v>
      </c>
      <c r="C604">
        <v>5.5</v>
      </c>
      <c r="D604">
        <v>6.57</v>
      </c>
      <c r="E604">
        <v>6.96</v>
      </c>
      <c r="F604">
        <v>7.64</v>
      </c>
      <c r="G604">
        <v>7.94</v>
      </c>
      <c r="H604">
        <v>8.17</v>
      </c>
      <c r="I604">
        <v>8.3000000000000007</v>
      </c>
      <c r="J604">
        <v>8.3800000000000008</v>
      </c>
      <c r="K604">
        <v>8.5</v>
      </c>
      <c r="M604" s="3"/>
      <c r="N604" s="17"/>
      <c r="O604" s="17"/>
      <c r="P604" s="17"/>
      <c r="Q604" s="17"/>
      <c r="R604" s="17"/>
      <c r="S604" s="17"/>
      <c r="T604" s="17"/>
      <c r="U604" s="17"/>
      <c r="V604" s="17"/>
      <c r="AE604" s="2"/>
      <c r="AQ604" s="2"/>
      <c r="AR604" s="2"/>
      <c r="AS604" s="2"/>
      <c r="AT604" s="2"/>
      <c r="AU604" s="2"/>
      <c r="AV604" s="2"/>
      <c r="AW604" s="2"/>
      <c r="AX604" s="2"/>
      <c r="AY604" s="2"/>
    </row>
    <row r="605" spans="1:51" x14ac:dyDescent="0.25">
      <c r="A605" s="24">
        <v>44893</v>
      </c>
      <c r="B605" s="1">
        <v>44893</v>
      </c>
      <c r="C605">
        <v>5.66</v>
      </c>
      <c r="D605">
        <v>6.59</v>
      </c>
      <c r="E605">
        <v>7.07</v>
      </c>
      <c r="F605">
        <v>7.7</v>
      </c>
      <c r="G605">
        <v>8.0299999999999994</v>
      </c>
      <c r="H605">
        <v>8.23</v>
      </c>
      <c r="I605">
        <v>8.3000000000000007</v>
      </c>
      <c r="J605">
        <v>8.35</v>
      </c>
      <c r="K605">
        <v>8.48</v>
      </c>
      <c r="M605" s="3"/>
      <c r="N605" s="17"/>
      <c r="O605" s="17"/>
      <c r="P605" s="17"/>
      <c r="Q605" s="17"/>
      <c r="R605" s="17"/>
      <c r="S605" s="17"/>
      <c r="T605" s="17"/>
      <c r="U605" s="17"/>
      <c r="V605" s="17"/>
      <c r="AE605" s="2"/>
      <c r="AQ605" s="2"/>
      <c r="AR605" s="2"/>
      <c r="AS605" s="2"/>
      <c r="AT605" s="2"/>
      <c r="AU605" s="2"/>
      <c r="AV605" s="2"/>
      <c r="AW605" s="2"/>
      <c r="AX605" s="2"/>
      <c r="AY605" s="2"/>
    </row>
    <row r="606" spans="1:51" x14ac:dyDescent="0.25">
      <c r="A606" s="24">
        <v>44890</v>
      </c>
      <c r="B606" s="1">
        <v>44890</v>
      </c>
      <c r="C606">
        <v>5.97</v>
      </c>
      <c r="D606">
        <v>6.57</v>
      </c>
      <c r="E606">
        <v>6.93</v>
      </c>
      <c r="F606">
        <v>7.7</v>
      </c>
      <c r="G606">
        <v>8</v>
      </c>
      <c r="H606">
        <v>8.2200000000000006</v>
      </c>
      <c r="I606">
        <v>8.3800000000000008</v>
      </c>
      <c r="J606">
        <v>8.48</v>
      </c>
      <c r="K606">
        <v>8.6999999999999993</v>
      </c>
      <c r="M606" s="3"/>
      <c r="N606" s="17"/>
      <c r="O606" s="17"/>
      <c r="P606" s="17"/>
      <c r="Q606" s="17"/>
      <c r="R606" s="17"/>
      <c r="S606" s="17"/>
      <c r="T606" s="17"/>
      <c r="U606" s="17"/>
      <c r="V606" s="17"/>
      <c r="AE606" s="2"/>
      <c r="AQ606" s="2"/>
      <c r="AR606" s="2"/>
      <c r="AS606" s="2"/>
      <c r="AT606" s="2"/>
      <c r="AU606" s="2"/>
      <c r="AV606" s="2"/>
      <c r="AW606" s="2"/>
      <c r="AX606" s="2"/>
      <c r="AY606" s="2"/>
    </row>
    <row r="607" spans="1:51" x14ac:dyDescent="0.25">
      <c r="A607" s="24">
        <v>44889</v>
      </c>
      <c r="B607" s="1">
        <v>44889</v>
      </c>
      <c r="C607">
        <v>5.96</v>
      </c>
      <c r="D607">
        <v>6.58</v>
      </c>
      <c r="E607">
        <v>6.98</v>
      </c>
      <c r="F607">
        <v>7.84</v>
      </c>
      <c r="G607">
        <v>8.1</v>
      </c>
      <c r="H607">
        <v>8.3000000000000007</v>
      </c>
      <c r="I607">
        <v>8.4600000000000009</v>
      </c>
      <c r="J607">
        <v>8.6</v>
      </c>
      <c r="K607">
        <v>8.76</v>
      </c>
      <c r="M607" s="3"/>
      <c r="N607" s="17"/>
      <c r="O607" s="17"/>
      <c r="P607" s="17"/>
      <c r="Q607" s="17"/>
      <c r="R607" s="17"/>
      <c r="S607" s="17"/>
      <c r="T607" s="17"/>
      <c r="U607" s="17"/>
      <c r="V607" s="17"/>
      <c r="AE607" s="2"/>
      <c r="AQ607" s="2"/>
      <c r="AR607" s="2"/>
      <c r="AS607" s="2"/>
      <c r="AT607" s="2"/>
      <c r="AU607" s="2"/>
      <c r="AV607" s="2"/>
      <c r="AW607" s="2"/>
      <c r="AX607" s="2"/>
      <c r="AY607" s="2"/>
    </row>
    <row r="608" spans="1:51" x14ac:dyDescent="0.25">
      <c r="A608" s="24">
        <v>44888</v>
      </c>
      <c r="B608" s="1">
        <v>44888</v>
      </c>
      <c r="C608">
        <v>5.91</v>
      </c>
      <c r="D608">
        <v>6.59</v>
      </c>
      <c r="E608">
        <v>7.04</v>
      </c>
      <c r="F608">
        <v>7.77</v>
      </c>
      <c r="G608">
        <v>8.07</v>
      </c>
      <c r="H608">
        <v>8.27</v>
      </c>
      <c r="I608">
        <v>8.3699999999999992</v>
      </c>
      <c r="J608">
        <v>8.43</v>
      </c>
      <c r="K608">
        <v>8.58</v>
      </c>
      <c r="M608" s="3"/>
      <c r="N608" s="17"/>
      <c r="O608" s="17"/>
      <c r="P608" s="17"/>
      <c r="Q608" s="17"/>
      <c r="R608" s="17"/>
      <c r="S608" s="17"/>
      <c r="T608" s="17"/>
      <c r="U608" s="17"/>
      <c r="V608" s="17"/>
      <c r="AE608" s="2"/>
      <c r="AQ608" s="2"/>
      <c r="AR608" s="2"/>
      <c r="AS608" s="2"/>
      <c r="AT608" s="2"/>
      <c r="AU608" s="2"/>
      <c r="AV608" s="2"/>
      <c r="AW608" s="2"/>
      <c r="AX608" s="2"/>
      <c r="AY608" s="2"/>
    </row>
    <row r="609" spans="1:51" x14ac:dyDescent="0.25">
      <c r="A609" s="24">
        <v>44887</v>
      </c>
      <c r="B609" s="1">
        <v>44887</v>
      </c>
      <c r="C609">
        <v>5.69</v>
      </c>
      <c r="D609">
        <v>6.49</v>
      </c>
      <c r="E609">
        <v>6.9</v>
      </c>
      <c r="F609">
        <v>7.6</v>
      </c>
      <c r="G609">
        <v>7.93</v>
      </c>
      <c r="H609">
        <v>8.1300000000000008</v>
      </c>
      <c r="I609">
        <v>8.31</v>
      </c>
      <c r="J609">
        <v>8.4</v>
      </c>
      <c r="K609">
        <v>8.56</v>
      </c>
      <c r="M609" s="3"/>
      <c r="N609" s="17"/>
      <c r="O609" s="17"/>
      <c r="P609" s="17"/>
      <c r="Q609" s="17"/>
      <c r="R609" s="17"/>
      <c r="S609" s="17"/>
      <c r="T609" s="17"/>
      <c r="U609" s="17"/>
      <c r="V609" s="17"/>
      <c r="AE609" s="2"/>
      <c r="AQ609" s="2"/>
      <c r="AR609" s="2"/>
      <c r="AS609" s="2"/>
      <c r="AT609" s="2"/>
      <c r="AU609" s="2"/>
      <c r="AV609" s="2"/>
      <c r="AW609" s="2"/>
      <c r="AX609" s="2"/>
      <c r="AY609" s="2"/>
    </row>
    <row r="610" spans="1:51" x14ac:dyDescent="0.25">
      <c r="A610" s="24">
        <v>44886</v>
      </c>
      <c r="B610" s="1">
        <v>44886</v>
      </c>
      <c r="C610">
        <v>5.6</v>
      </c>
      <c r="D610">
        <v>6.46</v>
      </c>
      <c r="E610">
        <v>6.9</v>
      </c>
      <c r="F610">
        <v>7.7</v>
      </c>
      <c r="G610">
        <v>8.02</v>
      </c>
      <c r="H610">
        <v>8.1999999999999993</v>
      </c>
      <c r="I610">
        <v>8.2799999999999994</v>
      </c>
      <c r="J610">
        <v>8.35</v>
      </c>
      <c r="K610">
        <v>8.48</v>
      </c>
      <c r="M610" s="3"/>
      <c r="N610" s="17"/>
      <c r="O610" s="17"/>
      <c r="P610" s="17"/>
      <c r="Q610" s="17"/>
      <c r="R610" s="17"/>
      <c r="S610" s="17"/>
      <c r="T610" s="17"/>
      <c r="U610" s="17"/>
      <c r="V610" s="17"/>
      <c r="AE610" s="2"/>
      <c r="AQ610" s="2"/>
      <c r="AR610" s="2"/>
      <c r="AS610" s="2"/>
      <c r="AT610" s="2"/>
      <c r="AU610" s="2"/>
      <c r="AV610" s="2"/>
      <c r="AW610" s="2"/>
      <c r="AX610" s="2"/>
      <c r="AY610" s="2"/>
    </row>
    <row r="611" spans="1:51" x14ac:dyDescent="0.25">
      <c r="A611" s="24">
        <v>44883</v>
      </c>
      <c r="B611" s="1">
        <v>44883</v>
      </c>
      <c r="C611">
        <v>5.23</v>
      </c>
      <c r="D611">
        <v>6.14</v>
      </c>
      <c r="E611">
        <v>6.71</v>
      </c>
      <c r="F611">
        <v>7.6</v>
      </c>
      <c r="G611">
        <v>7.97</v>
      </c>
      <c r="H611">
        <v>8.14</v>
      </c>
      <c r="I611">
        <v>8.2100000000000009</v>
      </c>
      <c r="J611">
        <v>8.32</v>
      </c>
      <c r="K611">
        <v>8.44</v>
      </c>
      <c r="M611" s="3"/>
      <c r="N611" s="17"/>
      <c r="O611" s="17"/>
      <c r="P611" s="17"/>
      <c r="Q611" s="17"/>
      <c r="R611" s="17"/>
      <c r="S611" s="17"/>
      <c r="T611" s="17"/>
      <c r="U611" s="17"/>
      <c r="V611" s="17"/>
      <c r="AE611" s="2"/>
      <c r="AQ611" s="2"/>
      <c r="AR611" s="2"/>
      <c r="AS611" s="2"/>
      <c r="AT611" s="2"/>
      <c r="AU611" s="2"/>
      <c r="AV611" s="2"/>
      <c r="AW611" s="2"/>
      <c r="AX611" s="2"/>
      <c r="AY611" s="2"/>
    </row>
    <row r="612" spans="1:51" x14ac:dyDescent="0.25">
      <c r="A612" s="24">
        <v>44882</v>
      </c>
      <c r="B612" s="1">
        <v>44882</v>
      </c>
      <c r="C612">
        <v>5.13</v>
      </c>
      <c r="D612">
        <v>5.98</v>
      </c>
      <c r="E612">
        <v>6.7</v>
      </c>
      <c r="F612">
        <v>7.68</v>
      </c>
      <c r="G612">
        <v>8.0500000000000007</v>
      </c>
      <c r="H612">
        <v>8.18</v>
      </c>
      <c r="I612">
        <v>8.23</v>
      </c>
      <c r="J612">
        <v>8.3800000000000008</v>
      </c>
      <c r="K612">
        <v>8.58</v>
      </c>
      <c r="M612" s="3"/>
      <c r="N612" s="17"/>
      <c r="O612" s="17"/>
      <c r="P612" s="17"/>
      <c r="Q612" s="17"/>
      <c r="R612" s="17"/>
      <c r="S612" s="17"/>
      <c r="T612" s="17"/>
      <c r="U612" s="17"/>
      <c r="V612" s="17"/>
      <c r="AE612" s="2"/>
      <c r="AQ612" s="2"/>
      <c r="AR612" s="2"/>
      <c r="AS612" s="2"/>
      <c r="AT612" s="2"/>
      <c r="AU612" s="2"/>
      <c r="AV612" s="2"/>
      <c r="AW612" s="2"/>
      <c r="AX612" s="2"/>
      <c r="AY612" s="2"/>
    </row>
    <row r="613" spans="1:51" x14ac:dyDescent="0.25">
      <c r="A613" s="24">
        <v>44881</v>
      </c>
      <c r="B613" s="1">
        <v>44881</v>
      </c>
      <c r="C613">
        <v>4.6500000000000004</v>
      </c>
      <c r="D613">
        <v>5.87</v>
      </c>
      <c r="E613">
        <v>6.38</v>
      </c>
      <c r="F613">
        <v>7.48</v>
      </c>
      <c r="G613">
        <v>7.85</v>
      </c>
      <c r="H613">
        <v>8.0299999999999994</v>
      </c>
      <c r="I613">
        <v>8.15</v>
      </c>
      <c r="J613">
        <v>8.24</v>
      </c>
      <c r="K613">
        <v>8.3800000000000008</v>
      </c>
      <c r="M613" s="3"/>
      <c r="N613" s="17"/>
      <c r="O613" s="17"/>
      <c r="P613" s="17"/>
      <c r="Q613" s="17"/>
      <c r="R613" s="17"/>
      <c r="S613" s="17"/>
      <c r="T613" s="17"/>
      <c r="U613" s="17"/>
      <c r="V613" s="17"/>
      <c r="AE613" s="2"/>
      <c r="AQ613" s="2"/>
      <c r="AR613" s="2"/>
      <c r="AS613" s="2"/>
      <c r="AT613" s="2"/>
      <c r="AU613" s="2"/>
      <c r="AV613" s="2"/>
      <c r="AW613" s="2"/>
      <c r="AX613" s="2"/>
      <c r="AY613" s="2"/>
    </row>
    <row r="614" spans="1:51" x14ac:dyDescent="0.25">
      <c r="A614" s="24">
        <v>44880</v>
      </c>
      <c r="B614" s="1">
        <v>44880</v>
      </c>
      <c r="C614">
        <v>4.25</v>
      </c>
      <c r="D614">
        <v>5.43</v>
      </c>
      <c r="E614">
        <v>6.22</v>
      </c>
      <c r="F614">
        <v>7.42</v>
      </c>
      <c r="G614">
        <v>7.9</v>
      </c>
      <c r="H614">
        <v>8.08</v>
      </c>
      <c r="I614">
        <v>8.32</v>
      </c>
      <c r="J614">
        <v>8.48</v>
      </c>
      <c r="K614">
        <v>8.65</v>
      </c>
      <c r="M614" s="3"/>
      <c r="N614" s="17"/>
      <c r="O614" s="17"/>
      <c r="P614" s="17"/>
      <c r="Q614" s="17"/>
      <c r="R614" s="17"/>
      <c r="S614" s="17"/>
      <c r="T614" s="17"/>
      <c r="U614" s="17"/>
      <c r="V614" s="17"/>
      <c r="AE614" s="2"/>
      <c r="AQ614" s="2"/>
      <c r="AR614" s="2"/>
      <c r="AS614" s="2"/>
      <c r="AT614" s="2"/>
      <c r="AU614" s="2"/>
      <c r="AV614" s="2"/>
      <c r="AW614" s="2"/>
      <c r="AX614" s="2"/>
      <c r="AY614" s="2"/>
    </row>
    <row r="615" spans="1:51" x14ac:dyDescent="0.25">
      <c r="A615" s="24">
        <v>44879</v>
      </c>
      <c r="B615" s="1">
        <v>44879</v>
      </c>
      <c r="C615">
        <v>4.34</v>
      </c>
      <c r="D615">
        <v>5.5</v>
      </c>
      <c r="E615">
        <v>6.33</v>
      </c>
      <c r="F615">
        <v>7.6</v>
      </c>
      <c r="G615">
        <v>7.94</v>
      </c>
      <c r="H615">
        <v>8.07</v>
      </c>
      <c r="I615">
        <v>8.2100000000000009</v>
      </c>
      <c r="J615">
        <v>8.32</v>
      </c>
      <c r="K615">
        <v>8.44</v>
      </c>
      <c r="M615" s="3"/>
      <c r="N615" s="17"/>
      <c r="O615" s="17"/>
      <c r="P615" s="17"/>
      <c r="Q615" s="17"/>
      <c r="R615" s="17"/>
      <c r="S615" s="17"/>
      <c r="T615" s="17"/>
      <c r="U615" s="17"/>
      <c r="V615" s="17"/>
      <c r="AE615" s="2"/>
      <c r="AQ615" s="2"/>
      <c r="AR615" s="2"/>
      <c r="AS615" s="2"/>
      <c r="AT615" s="2"/>
      <c r="AU615" s="2"/>
      <c r="AV615" s="2"/>
      <c r="AW615" s="2"/>
      <c r="AX615" s="2"/>
      <c r="AY615" s="2"/>
    </row>
    <row r="616" spans="1:51" x14ac:dyDescent="0.25">
      <c r="A616" s="24">
        <v>44876</v>
      </c>
      <c r="B616" s="1">
        <v>44876</v>
      </c>
      <c r="C616">
        <v>4.47</v>
      </c>
      <c r="D616">
        <v>5.79</v>
      </c>
      <c r="E616">
        <v>6.51</v>
      </c>
      <c r="F616">
        <v>7.61</v>
      </c>
      <c r="G616">
        <v>7.94</v>
      </c>
      <c r="H616">
        <v>8.11</v>
      </c>
      <c r="I616">
        <v>8.34</v>
      </c>
      <c r="J616">
        <v>8.48</v>
      </c>
      <c r="K616">
        <v>8.6199999999999992</v>
      </c>
      <c r="M616" s="3"/>
      <c r="N616" s="17"/>
      <c r="O616" s="17"/>
      <c r="P616" s="17"/>
      <c r="Q616" s="17"/>
      <c r="R616" s="17"/>
      <c r="S616" s="17"/>
      <c r="T616" s="17"/>
      <c r="U616" s="17"/>
      <c r="V616" s="17"/>
      <c r="AE616" s="2"/>
      <c r="AQ616" s="2"/>
      <c r="AR616" s="2"/>
      <c r="AS616" s="2"/>
      <c r="AT616" s="2"/>
      <c r="AU616" s="2"/>
      <c r="AV616" s="2"/>
      <c r="AW616" s="2"/>
      <c r="AX616" s="2"/>
      <c r="AY616" s="2"/>
    </row>
    <row r="617" spans="1:51" x14ac:dyDescent="0.25">
      <c r="A617" s="24">
        <v>44875</v>
      </c>
      <c r="B617" s="1">
        <v>44875</v>
      </c>
      <c r="C617">
        <v>4.82</v>
      </c>
      <c r="D617">
        <v>6.03</v>
      </c>
      <c r="E617">
        <v>6.72</v>
      </c>
      <c r="F617">
        <v>7.63</v>
      </c>
      <c r="G617">
        <v>7.9</v>
      </c>
      <c r="H617">
        <v>8</v>
      </c>
      <c r="I617">
        <v>8.1</v>
      </c>
      <c r="J617">
        <v>8.24</v>
      </c>
      <c r="K617">
        <v>8.3800000000000008</v>
      </c>
      <c r="M617" s="3"/>
      <c r="N617" s="17"/>
      <c r="O617" s="17"/>
      <c r="P617" s="17"/>
      <c r="Q617" s="17"/>
      <c r="R617" s="17"/>
      <c r="S617" s="17"/>
      <c r="T617" s="17"/>
      <c r="U617" s="17"/>
      <c r="V617" s="17"/>
      <c r="AE617" s="2"/>
      <c r="AQ617" s="2"/>
      <c r="AR617" s="2"/>
      <c r="AS617" s="2"/>
      <c r="AT617" s="2"/>
      <c r="AU617" s="2"/>
      <c r="AV617" s="2"/>
      <c r="AW617" s="2"/>
      <c r="AX617" s="2"/>
      <c r="AY617" s="2"/>
    </row>
    <row r="618" spans="1:51" x14ac:dyDescent="0.25">
      <c r="A618" s="24">
        <v>44874</v>
      </c>
      <c r="B618" s="1">
        <v>44874</v>
      </c>
      <c r="C618">
        <v>5.07</v>
      </c>
      <c r="D618">
        <v>6.47</v>
      </c>
      <c r="E618">
        <v>7.1</v>
      </c>
      <c r="F618">
        <v>7.74</v>
      </c>
      <c r="G618">
        <v>7.99</v>
      </c>
      <c r="H618">
        <v>8.07</v>
      </c>
      <c r="I618">
        <v>8.17</v>
      </c>
      <c r="J618">
        <v>8.32</v>
      </c>
      <c r="K618">
        <v>8.44</v>
      </c>
      <c r="M618" s="3"/>
      <c r="N618" s="17"/>
      <c r="O618" s="17"/>
      <c r="P618" s="17"/>
      <c r="Q618" s="17"/>
      <c r="R618" s="17"/>
      <c r="S618" s="17"/>
      <c r="T618" s="17"/>
      <c r="U618" s="17"/>
      <c r="V618" s="17"/>
      <c r="AE618" s="2"/>
      <c r="AQ618" s="2"/>
      <c r="AR618" s="2"/>
      <c r="AS618" s="2"/>
      <c r="AT618" s="2"/>
      <c r="AU618" s="2"/>
      <c r="AV618" s="2"/>
      <c r="AW618" s="2"/>
      <c r="AX618" s="2"/>
      <c r="AY618" s="2"/>
    </row>
    <row r="619" spans="1:51" x14ac:dyDescent="0.25">
      <c r="A619" s="24">
        <v>44873</v>
      </c>
      <c r="B619" s="1">
        <v>44873</v>
      </c>
      <c r="C619">
        <v>5.52</v>
      </c>
      <c r="D619">
        <v>6.52</v>
      </c>
      <c r="E619">
        <v>7.15</v>
      </c>
      <c r="F619">
        <v>7.78</v>
      </c>
      <c r="G619">
        <v>8.02</v>
      </c>
      <c r="H619">
        <v>8.08</v>
      </c>
      <c r="I619">
        <v>8.1999999999999993</v>
      </c>
      <c r="J619">
        <v>8.3800000000000008</v>
      </c>
      <c r="K619">
        <v>8.5500000000000007</v>
      </c>
      <c r="M619" s="3"/>
      <c r="N619" s="17"/>
      <c r="O619" s="17"/>
      <c r="P619" s="17"/>
      <c r="Q619" s="17"/>
      <c r="R619" s="17"/>
      <c r="S619" s="17"/>
      <c r="T619" s="17"/>
      <c r="U619" s="17"/>
      <c r="V619" s="17"/>
      <c r="AE619" s="2"/>
      <c r="AQ619" s="2"/>
      <c r="AR619" s="2"/>
      <c r="AS619" s="2"/>
      <c r="AT619" s="2"/>
      <c r="AU619" s="2"/>
      <c r="AV619" s="2"/>
      <c r="AW619" s="2"/>
      <c r="AX619" s="2"/>
      <c r="AY619" s="2"/>
    </row>
    <row r="620" spans="1:51" x14ac:dyDescent="0.25">
      <c r="A620" s="24">
        <v>44872</v>
      </c>
      <c r="B620" s="1">
        <v>44872</v>
      </c>
      <c r="C620">
        <v>6.07</v>
      </c>
      <c r="D620">
        <v>6.91</v>
      </c>
      <c r="E620">
        <v>7.27</v>
      </c>
      <c r="F620">
        <v>7.76</v>
      </c>
      <c r="G620">
        <v>7.96</v>
      </c>
      <c r="H620">
        <v>8.06</v>
      </c>
      <c r="I620">
        <v>8.11</v>
      </c>
      <c r="J620">
        <v>8.25</v>
      </c>
      <c r="K620">
        <v>8.3800000000000008</v>
      </c>
      <c r="M620" s="3"/>
      <c r="N620" s="17"/>
      <c r="O620" s="17"/>
      <c r="P620" s="17"/>
      <c r="Q620" s="17"/>
      <c r="R620" s="17"/>
      <c r="S620" s="17"/>
      <c r="T620" s="17"/>
      <c r="U620" s="17"/>
      <c r="V620" s="17"/>
      <c r="AE620" s="2"/>
      <c r="AQ620" s="2"/>
      <c r="AR620" s="2"/>
      <c r="AS620" s="2"/>
      <c r="AT620" s="2"/>
      <c r="AU620" s="2"/>
      <c r="AV620" s="2"/>
      <c r="AW620" s="2"/>
      <c r="AX620" s="2"/>
      <c r="AY620" s="2"/>
    </row>
    <row r="621" spans="1:51" x14ac:dyDescent="0.25">
      <c r="A621" s="24">
        <v>44869</v>
      </c>
      <c r="B621" s="1">
        <v>44869</v>
      </c>
      <c r="C621">
        <v>6.31</v>
      </c>
      <c r="D621">
        <v>7.03</v>
      </c>
      <c r="E621">
        <v>7.43</v>
      </c>
      <c r="F621">
        <v>7.84</v>
      </c>
      <c r="G621">
        <v>8.07</v>
      </c>
      <c r="H621">
        <v>8.16</v>
      </c>
      <c r="I621">
        <v>8.24</v>
      </c>
      <c r="J621">
        <v>8.42</v>
      </c>
      <c r="K621">
        <v>8.5399999999999991</v>
      </c>
      <c r="M621" s="3"/>
      <c r="N621" s="17"/>
      <c r="O621" s="17"/>
      <c r="P621" s="17"/>
      <c r="Q621" s="17"/>
      <c r="R621" s="17"/>
      <c r="S621" s="17"/>
      <c r="T621" s="17"/>
      <c r="U621" s="17"/>
      <c r="V621" s="17"/>
      <c r="AE621" s="2"/>
      <c r="AQ621" s="2"/>
      <c r="AR621" s="2"/>
      <c r="AS621" s="2"/>
      <c r="AT621" s="2"/>
      <c r="AU621" s="2"/>
      <c r="AV621" s="2"/>
      <c r="AW621" s="2"/>
      <c r="AX621" s="2"/>
      <c r="AY621" s="2"/>
    </row>
    <row r="622" spans="1:51" x14ac:dyDescent="0.25">
      <c r="A622" s="24">
        <v>44868</v>
      </c>
      <c r="B622" s="1">
        <v>44868</v>
      </c>
      <c r="C622">
        <v>6.96</v>
      </c>
      <c r="D622">
        <v>7.28</v>
      </c>
      <c r="E622">
        <v>7.6</v>
      </c>
      <c r="F622">
        <v>7.9</v>
      </c>
      <c r="G622">
        <v>8.06</v>
      </c>
      <c r="H622">
        <v>8.16</v>
      </c>
      <c r="I622">
        <v>8.2200000000000006</v>
      </c>
      <c r="J622">
        <v>8.43</v>
      </c>
      <c r="K622">
        <v>8.5</v>
      </c>
      <c r="M622" s="3"/>
      <c r="N622" s="17"/>
      <c r="O622" s="17"/>
      <c r="P622" s="17"/>
      <c r="Q622" s="17"/>
      <c r="R622" s="17"/>
      <c r="S622" s="17"/>
      <c r="T622" s="17"/>
      <c r="U622" s="17"/>
      <c r="V622" s="17"/>
      <c r="AE622" s="2"/>
      <c r="AQ622" s="2"/>
      <c r="AR622" s="2"/>
      <c r="AS622" s="2"/>
      <c r="AT622" s="2"/>
      <c r="AU622" s="2"/>
      <c r="AV622" s="2"/>
      <c r="AW622" s="2"/>
      <c r="AX622" s="2"/>
      <c r="AY622" s="2"/>
    </row>
    <row r="623" spans="1:51" x14ac:dyDescent="0.25">
      <c r="A623" s="24">
        <v>44867</v>
      </c>
      <c r="B623" s="1">
        <v>44867</v>
      </c>
      <c r="C623">
        <v>6.7</v>
      </c>
      <c r="D623">
        <v>7.27</v>
      </c>
      <c r="E623">
        <v>7.5</v>
      </c>
      <c r="F623">
        <v>7.81</v>
      </c>
      <c r="G623">
        <v>8.06</v>
      </c>
      <c r="H623">
        <v>8.16</v>
      </c>
      <c r="I623">
        <v>8.23</v>
      </c>
      <c r="J623">
        <v>8.42</v>
      </c>
      <c r="K623">
        <v>8.48</v>
      </c>
      <c r="M623" s="3"/>
      <c r="N623" s="17"/>
      <c r="O623" s="17"/>
      <c r="P623" s="17"/>
      <c r="Q623" s="17"/>
      <c r="R623" s="17"/>
      <c r="S623" s="17"/>
      <c r="T623" s="17"/>
      <c r="U623" s="17"/>
      <c r="V623" s="17"/>
      <c r="AE623" s="2"/>
      <c r="AQ623" s="2"/>
      <c r="AR623" s="2"/>
      <c r="AS623" s="2"/>
      <c r="AT623" s="2"/>
      <c r="AU623" s="2"/>
      <c r="AV623" s="2"/>
      <c r="AW623" s="2"/>
      <c r="AX623" s="2"/>
      <c r="AY623" s="2"/>
    </row>
    <row r="624" spans="1:51" x14ac:dyDescent="0.25">
      <c r="A624" s="24">
        <v>44866</v>
      </c>
      <c r="B624" s="1">
        <v>44866</v>
      </c>
      <c r="C624">
        <v>6.12</v>
      </c>
      <c r="D624">
        <v>7.03</v>
      </c>
      <c r="E624">
        <v>7.35</v>
      </c>
      <c r="F624">
        <v>7.7</v>
      </c>
      <c r="G624">
        <v>7.88</v>
      </c>
      <c r="H624">
        <v>8</v>
      </c>
      <c r="I624">
        <v>8.0500000000000007</v>
      </c>
      <c r="J624">
        <v>8.1</v>
      </c>
      <c r="K624">
        <v>8.15</v>
      </c>
      <c r="M624" s="3"/>
      <c r="N624" s="17"/>
      <c r="O624" s="17"/>
      <c r="P624" s="17"/>
      <c r="Q624" s="17"/>
      <c r="R624" s="17"/>
      <c r="S624" s="17"/>
      <c r="T624" s="17"/>
      <c r="U624" s="17"/>
      <c r="V624" s="17"/>
      <c r="AE624" s="2"/>
      <c r="AQ624" s="2"/>
      <c r="AR624" s="2"/>
      <c r="AS624" s="2"/>
      <c r="AT624" s="2"/>
      <c r="AU624" s="2"/>
      <c r="AV624" s="2"/>
      <c r="AW624" s="2"/>
      <c r="AX624" s="2"/>
      <c r="AY624" s="2"/>
    </row>
    <row r="625" spans="1:51" x14ac:dyDescent="0.25">
      <c r="A625" s="24">
        <v>44865</v>
      </c>
      <c r="B625" s="1">
        <v>44865</v>
      </c>
      <c r="C625">
        <v>5.23</v>
      </c>
      <c r="D625">
        <v>6.53</v>
      </c>
      <c r="E625">
        <v>7</v>
      </c>
      <c r="F625">
        <v>7.53</v>
      </c>
      <c r="G625">
        <v>7.87</v>
      </c>
      <c r="H625">
        <v>8</v>
      </c>
      <c r="I625">
        <v>8.07</v>
      </c>
      <c r="J625">
        <v>8.1199999999999992</v>
      </c>
      <c r="K625">
        <v>8.18</v>
      </c>
      <c r="M625" s="3"/>
      <c r="N625" s="17"/>
      <c r="O625" s="17"/>
      <c r="P625" s="17"/>
      <c r="Q625" s="17"/>
      <c r="R625" s="17"/>
      <c r="S625" s="17"/>
      <c r="T625" s="17"/>
      <c r="U625" s="17"/>
      <c r="V625" s="17"/>
      <c r="AE625" s="2"/>
      <c r="AQ625" s="2"/>
      <c r="AR625" s="2"/>
      <c r="AS625" s="2"/>
      <c r="AT625" s="2"/>
      <c r="AU625" s="2"/>
      <c r="AV625" s="2"/>
      <c r="AW625" s="2"/>
      <c r="AX625" s="2"/>
      <c r="AY625" s="2"/>
    </row>
    <row r="626" spans="1:51" x14ac:dyDescent="0.25">
      <c r="A626" s="24">
        <v>44862</v>
      </c>
      <c r="B626" s="1">
        <v>44862</v>
      </c>
      <c r="C626">
        <v>4.5</v>
      </c>
      <c r="D626">
        <v>6.28</v>
      </c>
      <c r="E626">
        <v>7</v>
      </c>
      <c r="F626">
        <v>7.58</v>
      </c>
      <c r="G626">
        <v>7.77</v>
      </c>
      <c r="H626">
        <v>7.95</v>
      </c>
      <c r="I626">
        <v>8</v>
      </c>
      <c r="J626">
        <v>8</v>
      </c>
      <c r="K626">
        <v>8</v>
      </c>
      <c r="M626" s="3"/>
      <c r="N626" s="17"/>
      <c r="O626" s="17"/>
      <c r="P626" s="17"/>
      <c r="Q626" s="17"/>
      <c r="R626" s="17"/>
      <c r="S626" s="17"/>
      <c r="T626" s="17"/>
      <c r="U626" s="17"/>
      <c r="V626" s="17"/>
      <c r="AE626" s="2"/>
      <c r="AQ626" s="2"/>
      <c r="AR626" s="2"/>
      <c r="AS626" s="2"/>
      <c r="AT626" s="2"/>
      <c r="AU626" s="2"/>
      <c r="AV626" s="2"/>
      <c r="AW626" s="2"/>
      <c r="AX626" s="2"/>
      <c r="AY626" s="2"/>
    </row>
    <row r="627" spans="1:51" x14ac:dyDescent="0.25">
      <c r="A627" s="24">
        <v>44861</v>
      </c>
      <c r="B627" s="1">
        <v>44861</v>
      </c>
      <c r="C627">
        <v>5.76</v>
      </c>
      <c r="D627">
        <v>6.6</v>
      </c>
      <c r="E627">
        <v>7.09</v>
      </c>
      <c r="F627">
        <v>7.74</v>
      </c>
      <c r="G627">
        <v>7.93</v>
      </c>
      <c r="H627">
        <v>8.07</v>
      </c>
      <c r="I627">
        <v>8.09</v>
      </c>
      <c r="J627">
        <v>8.1199999999999992</v>
      </c>
      <c r="K627">
        <v>8.16</v>
      </c>
      <c r="M627" s="3"/>
      <c r="N627" s="17"/>
      <c r="O627" s="17"/>
      <c r="P627" s="17"/>
      <c r="Q627" s="17"/>
      <c r="R627" s="17"/>
      <c r="S627" s="17"/>
      <c r="T627" s="17"/>
      <c r="U627" s="17"/>
      <c r="V627" s="17"/>
      <c r="AE627" s="2"/>
      <c r="AQ627" s="2"/>
      <c r="AR627" s="2"/>
      <c r="AS627" s="2"/>
      <c r="AT627" s="2"/>
      <c r="AU627" s="2"/>
      <c r="AV627" s="2"/>
      <c r="AW627" s="2"/>
      <c r="AX627" s="2"/>
      <c r="AY627" s="2"/>
    </row>
    <row r="628" spans="1:51" x14ac:dyDescent="0.25">
      <c r="A628" s="24">
        <v>44860</v>
      </c>
      <c r="B628" s="1">
        <v>44860</v>
      </c>
      <c r="C628">
        <v>6.92</v>
      </c>
      <c r="D628">
        <v>7.46</v>
      </c>
      <c r="E628">
        <v>7.58</v>
      </c>
      <c r="F628">
        <v>7.7</v>
      </c>
      <c r="G628">
        <v>7.86</v>
      </c>
      <c r="H628">
        <v>7.96</v>
      </c>
      <c r="I628">
        <v>8</v>
      </c>
      <c r="J628">
        <v>8</v>
      </c>
      <c r="K628">
        <v>8.14</v>
      </c>
      <c r="M628" s="3"/>
      <c r="N628" s="17"/>
      <c r="O628" s="17"/>
      <c r="P628" s="17"/>
      <c r="Q628" s="17"/>
      <c r="R628" s="17"/>
      <c r="S628" s="17"/>
      <c r="T628" s="17"/>
      <c r="U628" s="17"/>
      <c r="V628" s="17"/>
      <c r="AE628" s="2"/>
      <c r="AQ628" s="2"/>
      <c r="AR628" s="2"/>
      <c r="AS628" s="2"/>
      <c r="AT628" s="2"/>
      <c r="AU628" s="2"/>
      <c r="AV628" s="2"/>
      <c r="AW628" s="2"/>
      <c r="AX628" s="2"/>
      <c r="AY628" s="2"/>
    </row>
    <row r="629" spans="1:51" x14ac:dyDescent="0.25">
      <c r="A629" s="24">
        <v>44859</v>
      </c>
      <c r="B629" s="1">
        <v>44859</v>
      </c>
      <c r="C629">
        <v>7.07</v>
      </c>
      <c r="D629">
        <v>7.46</v>
      </c>
      <c r="E629">
        <v>7.61</v>
      </c>
      <c r="F629">
        <v>7.77</v>
      </c>
      <c r="G629">
        <v>7.96</v>
      </c>
      <c r="H629">
        <v>8.09</v>
      </c>
      <c r="I629">
        <v>8.11</v>
      </c>
      <c r="J629">
        <v>8.1300000000000008</v>
      </c>
      <c r="K629">
        <v>8.1999999999999993</v>
      </c>
      <c r="M629" s="3"/>
      <c r="N629" s="17"/>
      <c r="O629" s="17"/>
      <c r="P629" s="17"/>
      <c r="Q629" s="17"/>
      <c r="R629" s="17"/>
      <c r="S629" s="17"/>
      <c r="T629" s="17"/>
      <c r="U629" s="17"/>
      <c r="V629" s="17"/>
      <c r="AE629" s="2"/>
      <c r="AQ629" s="2"/>
      <c r="AR629" s="2"/>
      <c r="AS629" s="2"/>
      <c r="AT629" s="2"/>
      <c r="AU629" s="2"/>
      <c r="AV629" s="2"/>
      <c r="AW629" s="2"/>
      <c r="AX629" s="2"/>
      <c r="AY629" s="2"/>
    </row>
    <row r="630" spans="1:51" x14ac:dyDescent="0.25">
      <c r="A630" s="24">
        <v>44858</v>
      </c>
      <c r="B630" s="1">
        <v>44858</v>
      </c>
      <c r="C630">
        <v>5.43</v>
      </c>
      <c r="D630">
        <v>5.9</v>
      </c>
      <c r="E630">
        <v>6.24</v>
      </c>
      <c r="F630">
        <v>6.9</v>
      </c>
      <c r="G630">
        <v>7.43</v>
      </c>
      <c r="H630">
        <v>7.71</v>
      </c>
      <c r="I630">
        <v>7.91</v>
      </c>
      <c r="J630">
        <v>7.97</v>
      </c>
      <c r="K630">
        <v>8.02</v>
      </c>
      <c r="M630" s="3"/>
      <c r="N630" s="17"/>
      <c r="O630" s="17"/>
      <c r="P630" s="17"/>
      <c r="Q630" s="17"/>
      <c r="R630" s="17"/>
      <c r="S630" s="17"/>
      <c r="T630" s="17"/>
      <c r="U630" s="17"/>
      <c r="V630" s="17"/>
      <c r="AE630" s="2"/>
      <c r="AQ630" s="2"/>
      <c r="AR630" s="2"/>
      <c r="AS630" s="2"/>
      <c r="AT630" s="2"/>
      <c r="AU630" s="2"/>
      <c r="AV630" s="2"/>
      <c r="AW630" s="2"/>
      <c r="AX630" s="2"/>
      <c r="AY630" s="2"/>
    </row>
    <row r="631" spans="1:51" x14ac:dyDescent="0.25">
      <c r="A631" s="24">
        <v>44855</v>
      </c>
      <c r="B631" s="1">
        <v>44855</v>
      </c>
      <c r="C631">
        <v>4.5999999999999996</v>
      </c>
      <c r="D631">
        <v>5.4</v>
      </c>
      <c r="E631">
        <v>5.84</v>
      </c>
      <c r="F631">
        <v>6.63</v>
      </c>
      <c r="G631">
        <v>7.4</v>
      </c>
      <c r="H631">
        <v>7.63</v>
      </c>
      <c r="I631">
        <v>7.83</v>
      </c>
      <c r="J631">
        <v>7.9</v>
      </c>
      <c r="K631">
        <v>7.88</v>
      </c>
      <c r="M631" s="3"/>
      <c r="N631" s="17"/>
      <c r="O631" s="17"/>
      <c r="P631" s="17"/>
      <c r="Q631" s="17"/>
      <c r="R631" s="17"/>
      <c r="S631" s="17"/>
      <c r="T631" s="17"/>
      <c r="U631" s="17"/>
      <c r="V631" s="17"/>
      <c r="AE631" s="2"/>
      <c r="AQ631" s="2"/>
      <c r="AR631" s="2"/>
      <c r="AS631" s="2"/>
      <c r="AT631" s="2"/>
      <c r="AU631" s="2"/>
      <c r="AV631" s="2"/>
      <c r="AW631" s="2"/>
      <c r="AX631" s="2"/>
      <c r="AY631" s="2"/>
    </row>
    <row r="632" spans="1:51" x14ac:dyDescent="0.25">
      <c r="A632" s="24">
        <v>44854</v>
      </c>
      <c r="B632" s="1">
        <v>44854</v>
      </c>
      <c r="C632">
        <v>4.2699999999999996</v>
      </c>
      <c r="D632">
        <v>5.12</v>
      </c>
      <c r="E632">
        <v>5.68</v>
      </c>
      <c r="F632">
        <v>6.7</v>
      </c>
      <c r="G632">
        <v>7.32</v>
      </c>
      <c r="H632">
        <v>7.65</v>
      </c>
      <c r="I632">
        <v>7.88</v>
      </c>
      <c r="J632">
        <v>7.92</v>
      </c>
      <c r="K632">
        <v>7.96</v>
      </c>
      <c r="M632" s="3"/>
      <c r="N632" s="17"/>
      <c r="O632" s="17"/>
      <c r="P632" s="17"/>
      <c r="Q632" s="17"/>
      <c r="R632" s="17"/>
      <c r="S632" s="17"/>
      <c r="T632" s="17"/>
      <c r="U632" s="17"/>
      <c r="V632" s="17"/>
      <c r="AE632" s="2"/>
      <c r="AQ632" s="2"/>
      <c r="AR632" s="2"/>
      <c r="AS632" s="2"/>
      <c r="AT632" s="2"/>
      <c r="AU632" s="2"/>
      <c r="AV632" s="2"/>
      <c r="AW632" s="2"/>
      <c r="AX632" s="2"/>
      <c r="AY632" s="2"/>
    </row>
    <row r="633" spans="1:51" x14ac:dyDescent="0.25">
      <c r="A633" s="24">
        <v>44853</v>
      </c>
      <c r="B633" s="1">
        <v>44853</v>
      </c>
      <c r="C633">
        <v>3.14</v>
      </c>
      <c r="D633">
        <v>4.47</v>
      </c>
      <c r="E633">
        <v>5.27</v>
      </c>
      <c r="F633">
        <v>6.71</v>
      </c>
      <c r="G633">
        <v>7.34</v>
      </c>
      <c r="H633">
        <v>7.64</v>
      </c>
      <c r="I633">
        <v>7.79</v>
      </c>
      <c r="J633">
        <v>7.85</v>
      </c>
      <c r="K633">
        <v>7.93</v>
      </c>
      <c r="M633" s="3"/>
      <c r="N633" s="17"/>
      <c r="O633" s="17"/>
      <c r="P633" s="17"/>
      <c r="Q633" s="17"/>
      <c r="R633" s="17"/>
      <c r="S633" s="17"/>
      <c r="T633" s="17"/>
      <c r="U633" s="17"/>
      <c r="V633" s="17"/>
      <c r="AE633" s="2"/>
      <c r="AQ633" s="2"/>
      <c r="AR633" s="2"/>
      <c r="AS633" s="2"/>
      <c r="AT633" s="2"/>
      <c r="AU633" s="2"/>
      <c r="AV633" s="2"/>
      <c r="AW633" s="2"/>
      <c r="AX633" s="2"/>
      <c r="AY633" s="2"/>
    </row>
    <row r="634" spans="1:51" x14ac:dyDescent="0.25">
      <c r="A634" s="24">
        <v>44852</v>
      </c>
      <c r="B634" s="1">
        <v>44852</v>
      </c>
      <c r="C634">
        <v>3.4</v>
      </c>
      <c r="D634">
        <v>4.5999999999999996</v>
      </c>
      <c r="E634">
        <v>5.39</v>
      </c>
      <c r="F634">
        <v>6.6</v>
      </c>
      <c r="G634">
        <v>7.21</v>
      </c>
      <c r="H634">
        <v>7.39</v>
      </c>
      <c r="I634">
        <v>7.61</v>
      </c>
      <c r="J634">
        <v>7.85</v>
      </c>
      <c r="K634">
        <v>7.92</v>
      </c>
      <c r="M634" s="3"/>
      <c r="N634" s="17"/>
      <c r="O634" s="17"/>
      <c r="P634" s="17"/>
      <c r="Q634" s="17"/>
      <c r="R634" s="17"/>
      <c r="S634" s="17"/>
      <c r="T634" s="17"/>
      <c r="U634" s="17"/>
      <c r="V634" s="17"/>
      <c r="AE634" s="2"/>
      <c r="AQ634" s="2"/>
      <c r="AR634" s="2"/>
      <c r="AS634" s="2"/>
      <c r="AT634" s="2"/>
      <c r="AU634" s="2"/>
      <c r="AV634" s="2"/>
      <c r="AW634" s="2"/>
      <c r="AX634" s="2"/>
      <c r="AY634" s="2"/>
    </row>
    <row r="635" spans="1:51" x14ac:dyDescent="0.25">
      <c r="A635" s="24">
        <v>44851</v>
      </c>
      <c r="B635" s="1">
        <v>44851</v>
      </c>
      <c r="C635">
        <v>4.0999999999999996</v>
      </c>
      <c r="D635">
        <v>4.87</v>
      </c>
      <c r="E635">
        <v>5.55</v>
      </c>
      <c r="F635">
        <v>6.5</v>
      </c>
      <c r="G635">
        <v>7.17</v>
      </c>
      <c r="H635">
        <v>7.35</v>
      </c>
      <c r="I635">
        <v>7.55</v>
      </c>
      <c r="J635">
        <v>7.89</v>
      </c>
      <c r="K635">
        <v>7.97</v>
      </c>
      <c r="M635" s="3"/>
      <c r="N635" s="17"/>
      <c r="O635" s="17"/>
      <c r="P635" s="17"/>
      <c r="Q635" s="17"/>
      <c r="R635" s="17"/>
      <c r="S635" s="17"/>
      <c r="T635" s="17"/>
      <c r="U635" s="17"/>
      <c r="V635" s="17"/>
      <c r="AE635" s="2"/>
      <c r="AQ635" s="2"/>
      <c r="AR635" s="2"/>
      <c r="AS635" s="2"/>
      <c r="AT635" s="2"/>
      <c r="AU635" s="2"/>
      <c r="AV635" s="2"/>
      <c r="AW635" s="2"/>
      <c r="AX635" s="2"/>
      <c r="AY635" s="2"/>
    </row>
    <row r="636" spans="1:51" x14ac:dyDescent="0.25">
      <c r="A636" s="24">
        <v>44848</v>
      </c>
      <c r="B636" s="1">
        <v>44848</v>
      </c>
      <c r="C636">
        <v>4.95</v>
      </c>
      <c r="D636">
        <v>5.45</v>
      </c>
      <c r="E636">
        <v>5.95</v>
      </c>
      <c r="F636">
        <v>6.62</v>
      </c>
      <c r="G636">
        <v>7.12</v>
      </c>
      <c r="H636">
        <v>7.42</v>
      </c>
      <c r="I636">
        <v>7.68</v>
      </c>
      <c r="J636">
        <v>8</v>
      </c>
      <c r="K636">
        <v>8.06</v>
      </c>
      <c r="M636" s="3"/>
      <c r="N636" s="17"/>
      <c r="O636" s="17"/>
      <c r="P636" s="17"/>
      <c r="Q636" s="17"/>
      <c r="R636" s="17"/>
      <c r="S636" s="17"/>
      <c r="T636" s="17"/>
      <c r="U636" s="17"/>
      <c r="V636" s="17"/>
      <c r="AE636" s="2"/>
      <c r="AQ636" s="2"/>
      <c r="AR636" s="2"/>
      <c r="AS636" s="2"/>
      <c r="AT636" s="2"/>
      <c r="AU636" s="2"/>
      <c r="AV636" s="2"/>
      <c r="AW636" s="2"/>
      <c r="AX636" s="2"/>
      <c r="AY636" s="2"/>
    </row>
    <row r="637" spans="1:51" x14ac:dyDescent="0.25">
      <c r="A637" s="24">
        <v>44847</v>
      </c>
      <c r="B637" s="1">
        <v>44847</v>
      </c>
      <c r="C637">
        <v>5.56</v>
      </c>
      <c r="D637">
        <v>6.48</v>
      </c>
      <c r="E637">
        <v>6.96</v>
      </c>
      <c r="F637">
        <v>7.3</v>
      </c>
      <c r="G637">
        <v>7.64</v>
      </c>
      <c r="H637">
        <v>7.8</v>
      </c>
      <c r="I637">
        <v>7.92</v>
      </c>
      <c r="J637">
        <v>8.0500000000000007</v>
      </c>
      <c r="K637">
        <v>8.08</v>
      </c>
      <c r="M637" s="3"/>
      <c r="N637" s="17"/>
      <c r="O637" s="17"/>
      <c r="P637" s="17"/>
      <c r="Q637" s="17"/>
      <c r="R637" s="17"/>
      <c r="S637" s="17"/>
      <c r="T637" s="17"/>
      <c r="U637" s="17"/>
      <c r="V637" s="17"/>
      <c r="AE637" s="2"/>
      <c r="AQ637" s="2"/>
      <c r="AR637" s="2"/>
      <c r="AS637" s="2"/>
      <c r="AT637" s="2"/>
      <c r="AU637" s="2"/>
      <c r="AV637" s="2"/>
      <c r="AW637" s="2"/>
      <c r="AX637" s="2"/>
      <c r="AY637" s="2"/>
    </row>
    <row r="638" spans="1:51" x14ac:dyDescent="0.25">
      <c r="A638" s="24">
        <v>44846</v>
      </c>
      <c r="B638" s="1">
        <v>44846</v>
      </c>
      <c r="C638">
        <v>6.62</v>
      </c>
      <c r="D638">
        <v>7.05</v>
      </c>
      <c r="E638">
        <v>7.22</v>
      </c>
      <c r="F638">
        <v>7.63</v>
      </c>
      <c r="G638">
        <v>7.8</v>
      </c>
      <c r="H638">
        <v>7.88</v>
      </c>
      <c r="I638">
        <v>7.95</v>
      </c>
      <c r="J638">
        <v>7.98</v>
      </c>
      <c r="K638">
        <v>8</v>
      </c>
      <c r="M638" s="3"/>
      <c r="N638" s="17"/>
      <c r="O638" s="17"/>
      <c r="P638" s="17"/>
      <c r="Q638" s="17"/>
      <c r="R638" s="17"/>
      <c r="S638" s="17"/>
      <c r="T638" s="17"/>
      <c r="U638" s="17"/>
      <c r="V638" s="17"/>
      <c r="AE638" s="2"/>
      <c r="AQ638" s="2"/>
      <c r="AR638" s="2"/>
      <c r="AS638" s="2"/>
      <c r="AT638" s="2"/>
      <c r="AU638" s="2"/>
      <c r="AV638" s="2"/>
      <c r="AW638" s="2"/>
      <c r="AX638" s="2"/>
      <c r="AY638" s="2"/>
    </row>
    <row r="639" spans="1:51" x14ac:dyDescent="0.25">
      <c r="A639" s="24">
        <v>44845</v>
      </c>
      <c r="B639" s="1">
        <v>44845</v>
      </c>
      <c r="C639">
        <v>6.94</v>
      </c>
      <c r="D639">
        <v>7.3</v>
      </c>
      <c r="E639">
        <v>7.44</v>
      </c>
      <c r="F639">
        <v>7.69</v>
      </c>
      <c r="G639">
        <v>7.81</v>
      </c>
      <c r="H639">
        <v>7.91</v>
      </c>
      <c r="I639">
        <v>7.99</v>
      </c>
      <c r="J639">
        <v>8</v>
      </c>
      <c r="K639">
        <v>8.0399999999999991</v>
      </c>
      <c r="M639" s="3"/>
      <c r="N639" s="17"/>
      <c r="O639" s="17"/>
      <c r="P639" s="17"/>
      <c r="Q639" s="17"/>
      <c r="R639" s="17"/>
      <c r="S639" s="17"/>
      <c r="T639" s="17"/>
      <c r="U639" s="17"/>
      <c r="V639" s="17"/>
      <c r="AE639" s="2"/>
      <c r="AQ639" s="2"/>
      <c r="AR639" s="2"/>
      <c r="AS639" s="2"/>
      <c r="AT639" s="2"/>
      <c r="AU639" s="2"/>
      <c r="AV639" s="2"/>
      <c r="AW639" s="2"/>
      <c r="AX639" s="2"/>
      <c r="AY639" s="2"/>
    </row>
    <row r="640" spans="1:51" x14ac:dyDescent="0.25">
      <c r="A640" s="24">
        <v>44844</v>
      </c>
      <c r="B640" s="1">
        <v>44844</v>
      </c>
      <c r="C640">
        <v>7.56</v>
      </c>
      <c r="D640">
        <v>7.74</v>
      </c>
      <c r="E640">
        <v>7.98</v>
      </c>
      <c r="F640">
        <v>8.06</v>
      </c>
      <c r="G640">
        <v>8.02</v>
      </c>
      <c r="H640">
        <v>8.02</v>
      </c>
      <c r="I640">
        <v>8.0399999999999991</v>
      </c>
      <c r="J640">
        <v>8.0299999999999994</v>
      </c>
      <c r="K640">
        <v>8.14</v>
      </c>
      <c r="M640" s="3"/>
      <c r="N640" s="17"/>
      <c r="O640" s="17"/>
      <c r="P640" s="17"/>
      <c r="Q640" s="17"/>
      <c r="R640" s="17"/>
      <c r="S640" s="17"/>
      <c r="T640" s="17"/>
      <c r="U640" s="17"/>
      <c r="V640" s="17"/>
      <c r="AE640" s="2"/>
      <c r="AQ640" s="2"/>
      <c r="AR640" s="2"/>
      <c r="AS640" s="2"/>
      <c r="AT640" s="2"/>
      <c r="AU640" s="2"/>
      <c r="AV640" s="2"/>
      <c r="AW640" s="2"/>
      <c r="AX640" s="2"/>
      <c r="AY640" s="2"/>
    </row>
    <row r="641" spans="1:51" x14ac:dyDescent="0.25">
      <c r="A641" s="24">
        <v>44841</v>
      </c>
      <c r="B641" s="1">
        <v>44841</v>
      </c>
      <c r="C641">
        <v>6.54</v>
      </c>
      <c r="D641">
        <v>7.17</v>
      </c>
      <c r="E641">
        <v>7.39</v>
      </c>
      <c r="F641">
        <v>7.76</v>
      </c>
      <c r="G641">
        <v>7.86</v>
      </c>
      <c r="H641">
        <v>7.8</v>
      </c>
      <c r="I641">
        <v>7.8</v>
      </c>
      <c r="J641">
        <v>7.82</v>
      </c>
      <c r="K641">
        <v>7.88</v>
      </c>
      <c r="M641" s="3"/>
      <c r="N641" s="17"/>
      <c r="O641" s="17"/>
      <c r="P641" s="17"/>
      <c r="Q641" s="17"/>
      <c r="R641" s="17"/>
      <c r="S641" s="17"/>
      <c r="T641" s="17"/>
      <c r="U641" s="17"/>
      <c r="V641" s="17"/>
      <c r="AE641" s="2"/>
      <c r="AQ641" s="2"/>
      <c r="AR641" s="2"/>
      <c r="AS641" s="2"/>
      <c r="AT641" s="2"/>
      <c r="AU641" s="2"/>
      <c r="AV641" s="2"/>
      <c r="AW641" s="2"/>
      <c r="AX641" s="2"/>
      <c r="AY641" s="2"/>
    </row>
    <row r="642" spans="1:51" x14ac:dyDescent="0.25">
      <c r="A642" s="24">
        <v>44840</v>
      </c>
      <c r="B642" s="1">
        <v>44840</v>
      </c>
      <c r="C642">
        <v>7.72</v>
      </c>
      <c r="D642">
        <v>8.1199999999999992</v>
      </c>
      <c r="E642">
        <v>8.08</v>
      </c>
      <c r="F642">
        <v>8.1</v>
      </c>
      <c r="G642">
        <v>7.98</v>
      </c>
      <c r="H642">
        <v>7.95</v>
      </c>
      <c r="I642">
        <v>7.95</v>
      </c>
      <c r="J642">
        <v>7.96</v>
      </c>
      <c r="K642">
        <v>8</v>
      </c>
      <c r="M642" s="3"/>
      <c r="N642" s="17"/>
      <c r="O642" s="17"/>
      <c r="P642" s="17"/>
      <c r="Q642" s="17"/>
      <c r="R642" s="17"/>
      <c r="S642" s="17"/>
      <c r="T642" s="17"/>
      <c r="U642" s="17"/>
      <c r="V642" s="17"/>
      <c r="AE642" s="2"/>
      <c r="AQ642" s="2"/>
      <c r="AR642" s="2"/>
      <c r="AS642" s="2"/>
      <c r="AT642" s="2"/>
      <c r="AU642" s="2"/>
      <c r="AV642" s="2"/>
      <c r="AW642" s="2"/>
      <c r="AX642" s="2"/>
      <c r="AY642" s="2"/>
    </row>
    <row r="643" spans="1:51" x14ac:dyDescent="0.25">
      <c r="A643" s="24">
        <v>44839</v>
      </c>
      <c r="B643" s="1">
        <v>44839</v>
      </c>
      <c r="C643">
        <v>8.35</v>
      </c>
      <c r="D643">
        <v>8.3800000000000008</v>
      </c>
      <c r="E643">
        <v>8.15</v>
      </c>
      <c r="F643">
        <v>8.07</v>
      </c>
      <c r="G643">
        <v>7.88</v>
      </c>
      <c r="H643">
        <v>7.8</v>
      </c>
      <c r="I643">
        <v>7.79</v>
      </c>
      <c r="J643">
        <v>7.83</v>
      </c>
      <c r="K643">
        <v>7.9</v>
      </c>
      <c r="M643" s="3"/>
      <c r="N643" s="17"/>
      <c r="O643" s="17"/>
      <c r="P643" s="17"/>
      <c r="Q643" s="17"/>
      <c r="R643" s="17"/>
      <c r="S643" s="17"/>
      <c r="T643" s="17"/>
      <c r="U643" s="17"/>
      <c r="V643" s="17"/>
      <c r="AE643" s="2"/>
      <c r="AQ643" s="2"/>
      <c r="AR643" s="2"/>
      <c r="AS643" s="2"/>
      <c r="AT643" s="2"/>
      <c r="AU643" s="2"/>
      <c r="AV643" s="2"/>
      <c r="AW643" s="2"/>
      <c r="AX643" s="2"/>
      <c r="AY643" s="2"/>
    </row>
    <row r="644" spans="1:51" x14ac:dyDescent="0.25">
      <c r="A644" s="24">
        <v>44838</v>
      </c>
      <c r="B644" s="1">
        <v>44838</v>
      </c>
      <c r="C644">
        <v>7.74</v>
      </c>
      <c r="D644">
        <v>7.76</v>
      </c>
      <c r="E644">
        <v>7.62</v>
      </c>
      <c r="F644">
        <v>7.3</v>
      </c>
      <c r="G644">
        <v>7.4</v>
      </c>
      <c r="H644">
        <v>7.48</v>
      </c>
      <c r="I644">
        <v>7.48</v>
      </c>
      <c r="J644">
        <v>7.5</v>
      </c>
      <c r="K644">
        <v>7.65</v>
      </c>
      <c r="M644" s="3"/>
      <c r="N644" s="17"/>
      <c r="O644" s="17"/>
      <c r="P644" s="17"/>
      <c r="Q644" s="17"/>
      <c r="R644" s="17"/>
      <c r="S644" s="17"/>
      <c r="T644" s="17"/>
      <c r="U644" s="17"/>
      <c r="V644" s="17"/>
      <c r="AE644" s="2"/>
      <c r="AQ644" s="2"/>
      <c r="AR644" s="2"/>
      <c r="AS644" s="2"/>
      <c r="AT644" s="2"/>
      <c r="AU644" s="2"/>
      <c r="AV644" s="2"/>
      <c r="AW644" s="2"/>
      <c r="AX644" s="2"/>
      <c r="AY644" s="2"/>
    </row>
    <row r="645" spans="1:51" x14ac:dyDescent="0.25">
      <c r="A645" s="24">
        <v>44837</v>
      </c>
      <c r="B645" s="1">
        <v>44837</v>
      </c>
      <c r="C645">
        <v>5.16</v>
      </c>
      <c r="D645">
        <v>5.46</v>
      </c>
      <c r="E645">
        <v>5.61</v>
      </c>
      <c r="F645">
        <v>5.81</v>
      </c>
      <c r="G645">
        <v>6.07</v>
      </c>
      <c r="H645">
        <v>6.29</v>
      </c>
      <c r="I645">
        <v>6.5</v>
      </c>
      <c r="J645">
        <v>6.55</v>
      </c>
      <c r="K645">
        <v>6.6</v>
      </c>
      <c r="M645" s="3"/>
      <c r="N645" s="17"/>
      <c r="O645" s="17"/>
      <c r="P645" s="17"/>
      <c r="Q645" s="17"/>
      <c r="R645" s="17"/>
      <c r="S645" s="17"/>
      <c r="T645" s="17"/>
      <c r="U645" s="17"/>
      <c r="V645" s="17"/>
      <c r="AE645" s="2"/>
      <c r="AQ645" s="2"/>
      <c r="AR645" s="2"/>
      <c r="AS645" s="2"/>
      <c r="AT645" s="2"/>
      <c r="AU645" s="2"/>
      <c r="AV645" s="2"/>
      <c r="AW645" s="2"/>
      <c r="AX645" s="2"/>
      <c r="AY645" s="2"/>
    </row>
    <row r="646" spans="1:51" x14ac:dyDescent="0.25">
      <c r="A646" s="24">
        <v>44834</v>
      </c>
      <c r="B646" s="1">
        <v>44834</v>
      </c>
      <c r="C646">
        <v>4.9800000000000004</v>
      </c>
      <c r="D646">
        <v>5.43</v>
      </c>
      <c r="E646">
        <v>5.63</v>
      </c>
      <c r="F646">
        <v>5.83</v>
      </c>
      <c r="G646">
        <v>6</v>
      </c>
      <c r="H646">
        <v>6.18</v>
      </c>
      <c r="I646">
        <v>6.4</v>
      </c>
      <c r="J646">
        <v>6.46</v>
      </c>
      <c r="K646">
        <v>6.53</v>
      </c>
      <c r="M646" s="3"/>
      <c r="N646" s="17"/>
      <c r="O646" s="17"/>
      <c r="P646" s="17"/>
      <c r="Q646" s="17"/>
      <c r="R646" s="17"/>
      <c r="S646" s="17"/>
      <c r="T646" s="17"/>
      <c r="U646" s="17"/>
      <c r="V646" s="17"/>
      <c r="AE646" s="2"/>
      <c r="AQ646" s="2"/>
      <c r="AR646" s="2"/>
      <c r="AS646" s="2"/>
      <c r="AT646" s="2"/>
      <c r="AU646" s="2"/>
      <c r="AV646" s="2"/>
      <c r="AW646" s="2"/>
      <c r="AX646" s="2"/>
      <c r="AY646" s="2"/>
    </row>
    <row r="647" spans="1:51" x14ac:dyDescent="0.25">
      <c r="A647" s="24">
        <v>44833</v>
      </c>
      <c r="B647" s="1">
        <v>44833</v>
      </c>
      <c r="C647">
        <v>4.95</v>
      </c>
      <c r="D647">
        <v>5.5</v>
      </c>
      <c r="E647">
        <v>5.67</v>
      </c>
      <c r="F647">
        <v>5.89</v>
      </c>
      <c r="G647">
        <v>6.11</v>
      </c>
      <c r="H647">
        <v>6.31</v>
      </c>
      <c r="I647">
        <v>6.5</v>
      </c>
      <c r="J647">
        <v>6.58</v>
      </c>
      <c r="K647">
        <v>6.64</v>
      </c>
      <c r="M647" s="3"/>
      <c r="N647" s="17"/>
      <c r="O647" s="17"/>
      <c r="P647" s="17"/>
      <c r="Q647" s="17"/>
      <c r="R647" s="17"/>
      <c r="S647" s="17"/>
      <c r="T647" s="17"/>
      <c r="U647" s="17"/>
      <c r="V647" s="17"/>
      <c r="AE647" s="2"/>
      <c r="AQ647" s="2"/>
      <c r="AR647" s="2"/>
      <c r="AS647" s="2"/>
      <c r="AT647" s="2"/>
      <c r="AU647" s="2"/>
      <c r="AV647" s="2"/>
      <c r="AW647" s="2"/>
      <c r="AX647" s="2"/>
      <c r="AY647" s="2"/>
    </row>
    <row r="648" spans="1:51" x14ac:dyDescent="0.25">
      <c r="A648" s="24">
        <v>44832</v>
      </c>
      <c r="B648" s="1">
        <v>44832</v>
      </c>
      <c r="C648">
        <v>5.1100000000000003</v>
      </c>
      <c r="D648">
        <v>5.44</v>
      </c>
      <c r="E648">
        <v>5.6</v>
      </c>
      <c r="F648">
        <v>5.8</v>
      </c>
      <c r="G648">
        <v>6.01</v>
      </c>
      <c r="H648">
        <v>6.23</v>
      </c>
      <c r="I648">
        <v>6.4</v>
      </c>
      <c r="J648">
        <v>6.47</v>
      </c>
      <c r="K648">
        <v>6.5</v>
      </c>
      <c r="M648" s="3"/>
      <c r="N648" s="17"/>
      <c r="O648" s="17"/>
      <c r="P648" s="17"/>
      <c r="Q648" s="17"/>
      <c r="R648" s="17"/>
      <c r="S648" s="17"/>
      <c r="T648" s="17"/>
      <c r="U648" s="17"/>
      <c r="V648" s="17"/>
      <c r="AE648" s="2"/>
      <c r="AQ648" s="2"/>
      <c r="AR648" s="2"/>
      <c r="AS648" s="2"/>
      <c r="AT648" s="2"/>
      <c r="AU648" s="2"/>
      <c r="AV648" s="2"/>
      <c r="AW648" s="2"/>
      <c r="AX648" s="2"/>
      <c r="AY648" s="2"/>
    </row>
    <row r="649" spans="1:51" x14ac:dyDescent="0.25">
      <c r="A649" s="24">
        <v>44831</v>
      </c>
      <c r="B649" s="1">
        <v>44831</v>
      </c>
      <c r="C649">
        <v>5.17</v>
      </c>
      <c r="D649">
        <v>5.45</v>
      </c>
      <c r="E649">
        <v>5.6</v>
      </c>
      <c r="F649">
        <v>5.83</v>
      </c>
      <c r="G649">
        <v>6</v>
      </c>
      <c r="H649">
        <v>6.22</v>
      </c>
      <c r="I649">
        <v>6.37</v>
      </c>
      <c r="J649">
        <v>6.44</v>
      </c>
      <c r="K649">
        <v>6.52</v>
      </c>
      <c r="M649" s="3"/>
      <c r="N649" s="17"/>
      <c r="O649" s="17"/>
      <c r="P649" s="17"/>
      <c r="Q649" s="17"/>
      <c r="R649" s="17"/>
      <c r="S649" s="17"/>
      <c r="T649" s="17"/>
      <c r="U649" s="17"/>
      <c r="V649" s="17"/>
      <c r="AE649" s="2"/>
      <c r="AQ649" s="2"/>
      <c r="AR649" s="2"/>
      <c r="AS649" s="2"/>
      <c r="AT649" s="2"/>
      <c r="AU649" s="2"/>
      <c r="AV649" s="2"/>
      <c r="AW649" s="2"/>
      <c r="AX649" s="2"/>
      <c r="AY649" s="2"/>
    </row>
    <row r="650" spans="1:51" x14ac:dyDescent="0.25">
      <c r="A650" s="24">
        <v>44830</v>
      </c>
      <c r="B650" s="1">
        <v>44830</v>
      </c>
      <c r="C650">
        <v>5.1100000000000003</v>
      </c>
      <c r="D650">
        <v>5.43</v>
      </c>
      <c r="E650">
        <v>5.56</v>
      </c>
      <c r="F650">
        <v>5.77</v>
      </c>
      <c r="G650">
        <v>5.96</v>
      </c>
      <c r="H650">
        <v>6.17</v>
      </c>
      <c r="I650">
        <v>6.33</v>
      </c>
      <c r="J650">
        <v>6.4</v>
      </c>
      <c r="K650">
        <v>6.47</v>
      </c>
      <c r="M650" s="3"/>
      <c r="N650" s="17"/>
      <c r="O650" s="17"/>
      <c r="P650" s="17"/>
      <c r="Q650" s="17"/>
      <c r="R650" s="17"/>
      <c r="S650" s="17"/>
      <c r="T650" s="17"/>
      <c r="U650" s="17"/>
      <c r="V650" s="17"/>
      <c r="AE650" s="2"/>
      <c r="AQ650" s="2"/>
      <c r="AR650" s="2"/>
      <c r="AS650" s="2"/>
      <c r="AT650" s="2"/>
      <c r="AU650" s="2"/>
      <c r="AV650" s="2"/>
      <c r="AW650" s="2"/>
      <c r="AX650" s="2"/>
      <c r="AY650" s="2"/>
    </row>
    <row r="651" spans="1:51" x14ac:dyDescent="0.25">
      <c r="A651" s="24">
        <v>44827</v>
      </c>
      <c r="B651" s="1">
        <v>44827</v>
      </c>
      <c r="C651">
        <v>5.03</v>
      </c>
      <c r="D651">
        <v>5.28</v>
      </c>
      <c r="E651">
        <v>5.4</v>
      </c>
      <c r="F651">
        <v>5.6</v>
      </c>
      <c r="G651">
        <v>5.8</v>
      </c>
      <c r="H651">
        <v>6.02</v>
      </c>
      <c r="I651">
        <v>6.17</v>
      </c>
      <c r="J651">
        <v>6.24</v>
      </c>
      <c r="K651">
        <v>6.3</v>
      </c>
      <c r="M651" s="3"/>
      <c r="N651" s="17"/>
      <c r="O651" s="17"/>
      <c r="P651" s="17"/>
      <c r="Q651" s="17"/>
      <c r="R651" s="17"/>
      <c r="S651" s="17"/>
      <c r="T651" s="17"/>
      <c r="U651" s="17"/>
      <c r="V651" s="17"/>
      <c r="AE651" s="2"/>
      <c r="AQ651" s="2"/>
      <c r="AR651" s="2"/>
      <c r="AS651" s="2"/>
      <c r="AT651" s="2"/>
      <c r="AU651" s="2"/>
      <c r="AV651" s="2"/>
      <c r="AW651" s="2"/>
      <c r="AX651" s="2"/>
      <c r="AY651" s="2"/>
    </row>
    <row r="652" spans="1:51" x14ac:dyDescent="0.25">
      <c r="A652" s="24">
        <v>44826</v>
      </c>
      <c r="B652" s="1">
        <v>44826</v>
      </c>
      <c r="C652">
        <v>4.87</v>
      </c>
      <c r="D652">
        <v>5.0999999999999996</v>
      </c>
      <c r="E652">
        <v>5.27</v>
      </c>
      <c r="F652">
        <v>5.44</v>
      </c>
      <c r="G652">
        <v>5.66</v>
      </c>
      <c r="H652">
        <v>5.89</v>
      </c>
      <c r="I652">
        <v>6.03</v>
      </c>
      <c r="J652">
        <v>6.13</v>
      </c>
      <c r="K652">
        <v>6.2</v>
      </c>
      <c r="M652" s="3"/>
      <c r="N652" s="17"/>
      <c r="O652" s="17"/>
      <c r="P652" s="17"/>
      <c r="Q652" s="17"/>
      <c r="R652" s="17"/>
      <c r="S652" s="17"/>
      <c r="T652" s="17"/>
      <c r="U652" s="17"/>
      <c r="V652" s="17"/>
      <c r="AE652" s="2"/>
      <c r="AQ652" s="2"/>
      <c r="AR652" s="2"/>
      <c r="AS652" s="2"/>
      <c r="AT652" s="2"/>
      <c r="AU652" s="2"/>
      <c r="AV652" s="2"/>
      <c r="AW652" s="2"/>
      <c r="AX652" s="2"/>
      <c r="AY652" s="2"/>
    </row>
    <row r="653" spans="1:51" x14ac:dyDescent="0.25">
      <c r="A653" s="24">
        <v>44825</v>
      </c>
      <c r="B653" s="1">
        <v>44825</v>
      </c>
      <c r="C653">
        <v>4.68</v>
      </c>
      <c r="D653">
        <v>4.8</v>
      </c>
      <c r="E653">
        <v>5.0199999999999996</v>
      </c>
      <c r="F653">
        <v>5.28</v>
      </c>
      <c r="G653">
        <v>5.54</v>
      </c>
      <c r="H653">
        <v>5.82</v>
      </c>
      <c r="I653">
        <v>5.96</v>
      </c>
      <c r="J653">
        <v>6.1</v>
      </c>
      <c r="K653">
        <v>6.18</v>
      </c>
      <c r="M653" s="3"/>
      <c r="N653" s="17"/>
      <c r="O653" s="17"/>
      <c r="P653" s="17"/>
      <c r="Q653" s="17"/>
      <c r="R653" s="17"/>
      <c r="S653" s="17"/>
      <c r="T653" s="17"/>
      <c r="U653" s="17"/>
      <c r="V653" s="17"/>
      <c r="AE653" s="2"/>
      <c r="AQ653" s="2"/>
      <c r="AR653" s="2"/>
      <c r="AS653" s="2"/>
      <c r="AT653" s="2"/>
      <c r="AU653" s="2"/>
      <c r="AV653" s="2"/>
      <c r="AW653" s="2"/>
      <c r="AX653" s="2"/>
      <c r="AY653" s="2"/>
    </row>
    <row r="654" spans="1:51" x14ac:dyDescent="0.25">
      <c r="A654" s="24">
        <v>44824</v>
      </c>
      <c r="B654" s="1">
        <v>44824</v>
      </c>
      <c r="C654">
        <v>4.58</v>
      </c>
      <c r="D654">
        <v>4.8</v>
      </c>
      <c r="E654">
        <v>4.93</v>
      </c>
      <c r="F654">
        <v>5.2</v>
      </c>
      <c r="G654">
        <v>5.43</v>
      </c>
      <c r="H654">
        <v>5.65</v>
      </c>
      <c r="I654">
        <v>5.83</v>
      </c>
      <c r="J654">
        <v>5.86</v>
      </c>
      <c r="K654">
        <v>5.98</v>
      </c>
      <c r="M654" s="3"/>
      <c r="N654" s="17"/>
      <c r="O654" s="17"/>
      <c r="P654" s="17"/>
      <c r="Q654" s="17"/>
      <c r="R654" s="17"/>
      <c r="S654" s="17"/>
      <c r="T654" s="17"/>
      <c r="U654" s="17"/>
      <c r="V654" s="17"/>
      <c r="AE654" s="2"/>
      <c r="AQ654" s="2"/>
      <c r="AR654" s="2"/>
      <c r="AS654" s="2"/>
      <c r="AT654" s="2"/>
      <c r="AU654" s="2"/>
      <c r="AV654" s="2"/>
      <c r="AW654" s="2"/>
      <c r="AX654" s="2"/>
      <c r="AY654" s="2"/>
    </row>
    <row r="655" spans="1:51" x14ac:dyDescent="0.25">
      <c r="A655" s="24">
        <v>44823</v>
      </c>
      <c r="B655" s="1">
        <v>44823</v>
      </c>
      <c r="C655">
        <v>4.3</v>
      </c>
      <c r="D655">
        <v>4.5</v>
      </c>
      <c r="E655">
        <v>4.6399999999999997</v>
      </c>
      <c r="F655">
        <v>5</v>
      </c>
      <c r="G655">
        <v>5.32</v>
      </c>
      <c r="H655">
        <v>5.48</v>
      </c>
      <c r="I655">
        <v>5.62</v>
      </c>
      <c r="J655">
        <v>5.72</v>
      </c>
      <c r="K655">
        <v>5.85</v>
      </c>
      <c r="M655" s="3"/>
      <c r="N655" s="17"/>
      <c r="O655" s="17"/>
      <c r="P655" s="17"/>
      <c r="Q655" s="17"/>
      <c r="R655" s="17"/>
      <c r="S655" s="17"/>
      <c r="T655" s="17"/>
      <c r="U655" s="17"/>
      <c r="V655" s="17"/>
      <c r="AE655" s="2"/>
      <c r="AQ655" s="2"/>
      <c r="AR655" s="2"/>
      <c r="AS655" s="2"/>
      <c r="AT655" s="2"/>
      <c r="AU655" s="2"/>
      <c r="AV655" s="2"/>
      <c r="AW655" s="2"/>
      <c r="AX655" s="2"/>
      <c r="AY655" s="2"/>
    </row>
    <row r="656" spans="1:51" x14ac:dyDescent="0.25">
      <c r="A656" s="24">
        <v>44820</v>
      </c>
      <c r="B656" s="1">
        <v>44820</v>
      </c>
      <c r="C656">
        <v>4.28</v>
      </c>
      <c r="D656">
        <v>4.54</v>
      </c>
      <c r="E656">
        <v>4.6399999999999997</v>
      </c>
      <c r="F656">
        <v>5.0199999999999996</v>
      </c>
      <c r="G656">
        <v>5.36</v>
      </c>
      <c r="H656">
        <v>5.48</v>
      </c>
      <c r="I656">
        <v>5.76</v>
      </c>
      <c r="J656">
        <v>5.83</v>
      </c>
      <c r="K656">
        <v>5.88</v>
      </c>
      <c r="M656" s="3"/>
      <c r="N656" s="17"/>
      <c r="O656" s="17"/>
      <c r="P656" s="17"/>
      <c r="Q656" s="17"/>
      <c r="R656" s="17"/>
      <c r="S656" s="17"/>
      <c r="T656" s="17"/>
      <c r="U656" s="17"/>
      <c r="V656" s="17"/>
      <c r="AE656" s="2"/>
      <c r="AQ656" s="2"/>
      <c r="AR656" s="2"/>
      <c r="AS656" s="2"/>
      <c r="AT656" s="2"/>
      <c r="AU656" s="2"/>
      <c r="AV656" s="2"/>
      <c r="AW656" s="2"/>
      <c r="AX656" s="2"/>
      <c r="AY656" s="2"/>
    </row>
    <row r="657" spans="1:51" x14ac:dyDescent="0.25">
      <c r="A657" s="24">
        <v>44819</v>
      </c>
      <c r="B657" s="1">
        <v>44819</v>
      </c>
      <c r="C657">
        <v>4.25</v>
      </c>
      <c r="D657">
        <v>4.5</v>
      </c>
      <c r="E657">
        <v>4.63</v>
      </c>
      <c r="F657">
        <v>4.97</v>
      </c>
      <c r="G657">
        <v>5.28</v>
      </c>
      <c r="H657">
        <v>5.43</v>
      </c>
      <c r="I657">
        <v>5.63</v>
      </c>
      <c r="J657">
        <v>5.7</v>
      </c>
      <c r="K657">
        <v>5.78</v>
      </c>
      <c r="M657" s="3"/>
      <c r="N657" s="17"/>
      <c r="O657" s="17"/>
      <c r="P657" s="17"/>
      <c r="Q657" s="17"/>
      <c r="R657" s="17"/>
      <c r="S657" s="17"/>
      <c r="T657" s="17"/>
      <c r="U657" s="17"/>
      <c r="V657" s="17"/>
      <c r="AE657" s="2"/>
      <c r="AQ657" s="2"/>
      <c r="AR657" s="2"/>
      <c r="AS657" s="2"/>
      <c r="AT657" s="2"/>
      <c r="AU657" s="2"/>
      <c r="AV657" s="2"/>
      <c r="AW657" s="2"/>
      <c r="AX657" s="2"/>
      <c r="AY657" s="2"/>
    </row>
    <row r="658" spans="1:51" x14ac:dyDescent="0.25">
      <c r="A658" s="24">
        <v>44818</v>
      </c>
      <c r="B658" s="1">
        <v>44818</v>
      </c>
      <c r="C658">
        <v>4.21</v>
      </c>
      <c r="D658">
        <v>4.5</v>
      </c>
      <c r="E658">
        <v>4.6399999999999997</v>
      </c>
      <c r="F658">
        <v>4.97</v>
      </c>
      <c r="G658">
        <v>5.31</v>
      </c>
      <c r="H658">
        <v>5.49</v>
      </c>
      <c r="I658">
        <v>5.73</v>
      </c>
      <c r="J658">
        <v>5.77</v>
      </c>
      <c r="K658">
        <v>5.8</v>
      </c>
      <c r="M658" s="3"/>
      <c r="N658" s="17"/>
      <c r="O658" s="17"/>
      <c r="P658" s="17"/>
      <c r="Q658" s="17"/>
      <c r="R658" s="17"/>
      <c r="S658" s="17"/>
      <c r="T658" s="17"/>
      <c r="U658" s="17"/>
      <c r="V658" s="17"/>
      <c r="AE658" s="2"/>
      <c r="AQ658" s="2"/>
      <c r="AR658" s="2"/>
      <c r="AS658" s="2"/>
      <c r="AT658" s="2"/>
      <c r="AU658" s="2"/>
      <c r="AV658" s="2"/>
      <c r="AW658" s="2"/>
      <c r="AX658" s="2"/>
      <c r="AY658" s="2"/>
    </row>
    <row r="659" spans="1:51" x14ac:dyDescent="0.25">
      <c r="A659" s="24">
        <v>44817</v>
      </c>
      <c r="B659" s="1">
        <v>44817</v>
      </c>
      <c r="C659">
        <v>4.29</v>
      </c>
      <c r="D659">
        <v>4.49</v>
      </c>
      <c r="E659">
        <v>4.6100000000000003</v>
      </c>
      <c r="F659">
        <v>4.9400000000000004</v>
      </c>
      <c r="G659">
        <v>5.31</v>
      </c>
      <c r="H659">
        <v>5.46</v>
      </c>
      <c r="I659">
        <v>5.73</v>
      </c>
      <c r="J659">
        <v>5.77</v>
      </c>
      <c r="K659">
        <v>5.8</v>
      </c>
      <c r="M659" s="3"/>
      <c r="N659" s="17"/>
      <c r="O659" s="17"/>
      <c r="P659" s="17"/>
      <c r="Q659" s="17"/>
      <c r="R659" s="17"/>
      <c r="S659" s="17"/>
      <c r="T659" s="17"/>
      <c r="U659" s="17"/>
      <c r="V659" s="17"/>
      <c r="AE659" s="2"/>
      <c r="AQ659" s="2"/>
      <c r="AR659" s="2"/>
      <c r="AS659" s="2"/>
      <c r="AT659" s="2"/>
      <c r="AU659" s="2"/>
      <c r="AV659" s="2"/>
      <c r="AW659" s="2"/>
      <c r="AX659" s="2"/>
      <c r="AY659" s="2"/>
    </row>
    <row r="660" spans="1:51" x14ac:dyDescent="0.25">
      <c r="A660" s="24">
        <v>44816</v>
      </c>
      <c r="B660" s="1">
        <v>44816</v>
      </c>
      <c r="C660">
        <v>4.33</v>
      </c>
      <c r="D660">
        <v>4.53</v>
      </c>
      <c r="E660">
        <v>4.67</v>
      </c>
      <c r="F660">
        <v>4.97</v>
      </c>
      <c r="G660">
        <v>5.32</v>
      </c>
      <c r="H660">
        <v>5.47</v>
      </c>
      <c r="I660">
        <v>5.72</v>
      </c>
      <c r="J660">
        <v>5.73</v>
      </c>
      <c r="K660">
        <v>5.75</v>
      </c>
      <c r="M660" s="3"/>
      <c r="N660" s="17"/>
      <c r="O660" s="17"/>
      <c r="P660" s="17"/>
      <c r="Q660" s="17"/>
      <c r="R660" s="17"/>
      <c r="S660" s="17"/>
      <c r="T660" s="17"/>
      <c r="U660" s="17"/>
      <c r="V660" s="17"/>
      <c r="AE660" s="2"/>
      <c r="AQ660" s="2"/>
      <c r="AR660" s="2"/>
      <c r="AS660" s="2"/>
      <c r="AT660" s="2"/>
      <c r="AU660" s="2"/>
      <c r="AV660" s="2"/>
      <c r="AW660" s="2"/>
      <c r="AX660" s="2"/>
      <c r="AY660" s="2"/>
    </row>
    <row r="661" spans="1:51" x14ac:dyDescent="0.25">
      <c r="A661" s="24">
        <v>44813</v>
      </c>
      <c r="B661" s="1">
        <v>44813</v>
      </c>
      <c r="C661">
        <v>4.51</v>
      </c>
      <c r="D661">
        <v>4.6900000000000004</v>
      </c>
      <c r="E661">
        <v>4.87</v>
      </c>
      <c r="F661">
        <v>5.16</v>
      </c>
      <c r="G661">
        <v>5.39</v>
      </c>
      <c r="H661">
        <v>5.51</v>
      </c>
      <c r="I661">
        <v>5.76</v>
      </c>
      <c r="J661">
        <v>5.77</v>
      </c>
      <c r="K661">
        <v>5.76</v>
      </c>
      <c r="M661" s="3"/>
      <c r="N661" s="17"/>
      <c r="O661" s="17"/>
      <c r="P661" s="17"/>
      <c r="Q661" s="17"/>
      <c r="R661" s="17"/>
      <c r="S661" s="17"/>
      <c r="T661" s="17"/>
      <c r="U661" s="17"/>
      <c r="V661" s="17"/>
      <c r="AE661" s="2"/>
      <c r="AQ661" s="2"/>
      <c r="AR661" s="2"/>
      <c r="AS661" s="2"/>
      <c r="AT661" s="2"/>
      <c r="AU661" s="2"/>
      <c r="AV661" s="2"/>
      <c r="AW661" s="2"/>
      <c r="AX661" s="2"/>
      <c r="AY661" s="2"/>
    </row>
    <row r="662" spans="1:51" x14ac:dyDescent="0.25">
      <c r="A662" s="24">
        <v>44812</v>
      </c>
      <c r="B662" s="1">
        <v>44812</v>
      </c>
      <c r="C662">
        <v>5.46</v>
      </c>
      <c r="D662">
        <v>5.66</v>
      </c>
      <c r="E662">
        <v>5.73</v>
      </c>
      <c r="F662">
        <v>5.81</v>
      </c>
      <c r="G662">
        <v>5.94</v>
      </c>
      <c r="H662">
        <v>5.97</v>
      </c>
      <c r="I662">
        <v>6.06</v>
      </c>
      <c r="J662">
        <v>6</v>
      </c>
      <c r="K662">
        <v>6</v>
      </c>
      <c r="M662" s="3"/>
      <c r="N662" s="17"/>
      <c r="O662" s="17"/>
      <c r="P662" s="17"/>
      <c r="Q662" s="17"/>
      <c r="R662" s="17"/>
      <c r="S662" s="17"/>
      <c r="T662" s="17"/>
      <c r="U662" s="17"/>
      <c r="V662" s="17"/>
      <c r="AE662" s="2"/>
      <c r="AQ662" s="2"/>
      <c r="AR662" s="2"/>
      <c r="AS662" s="2"/>
      <c r="AT662" s="2"/>
      <c r="AU662" s="2"/>
      <c r="AV662" s="2"/>
      <c r="AW662" s="2"/>
      <c r="AX662" s="2"/>
      <c r="AY662" s="2"/>
    </row>
    <row r="663" spans="1:51" x14ac:dyDescent="0.25">
      <c r="A663" s="24">
        <v>44811</v>
      </c>
      <c r="B663" s="1">
        <v>44811</v>
      </c>
      <c r="C663">
        <v>6.48</v>
      </c>
      <c r="D663">
        <v>6.52</v>
      </c>
      <c r="E663">
        <v>6.45</v>
      </c>
      <c r="F663">
        <v>6.21</v>
      </c>
      <c r="G663">
        <v>6.26</v>
      </c>
      <c r="H663">
        <v>6.29</v>
      </c>
      <c r="I663">
        <v>6.26</v>
      </c>
      <c r="J663">
        <v>6.2</v>
      </c>
      <c r="K663">
        <v>6.16</v>
      </c>
      <c r="M663" s="3"/>
      <c r="N663" s="17"/>
      <c r="O663" s="17"/>
      <c r="P663" s="17"/>
      <c r="Q663" s="17"/>
      <c r="R663" s="17"/>
      <c r="S663" s="17"/>
      <c r="T663" s="17"/>
      <c r="U663" s="17"/>
      <c r="V663" s="17"/>
      <c r="AE663" s="2"/>
      <c r="AQ663" s="2"/>
      <c r="AR663" s="2"/>
      <c r="AS663" s="2"/>
      <c r="AT663" s="2"/>
      <c r="AU663" s="2"/>
      <c r="AV663" s="2"/>
      <c r="AW663" s="2"/>
      <c r="AX663" s="2"/>
      <c r="AY663" s="2"/>
    </row>
    <row r="664" spans="1:51" x14ac:dyDescent="0.25">
      <c r="A664" s="24">
        <v>44810</v>
      </c>
      <c r="B664" s="1">
        <v>44810</v>
      </c>
      <c r="C664">
        <v>5.44</v>
      </c>
      <c r="D664">
        <v>5.57</v>
      </c>
      <c r="E664">
        <v>5.6</v>
      </c>
      <c r="F664">
        <v>5.57</v>
      </c>
      <c r="G664">
        <v>5.63</v>
      </c>
      <c r="H664">
        <v>5.64</v>
      </c>
      <c r="I664">
        <v>5.69</v>
      </c>
      <c r="J664">
        <v>5.67</v>
      </c>
      <c r="K664">
        <v>5.71</v>
      </c>
      <c r="M664" s="3"/>
      <c r="N664" s="17"/>
      <c r="O664" s="17"/>
      <c r="P664" s="17"/>
      <c r="Q664" s="17"/>
      <c r="R664" s="17"/>
      <c r="S664" s="17"/>
      <c r="T664" s="17"/>
      <c r="U664" s="17"/>
      <c r="V664" s="17"/>
      <c r="AE664" s="2"/>
      <c r="AQ664" s="2"/>
      <c r="AR664" s="2"/>
      <c r="AS664" s="2"/>
      <c r="AT664" s="2"/>
      <c r="AU664" s="2"/>
      <c r="AV664" s="2"/>
      <c r="AW664" s="2"/>
      <c r="AX664" s="2"/>
      <c r="AY664" s="2"/>
    </row>
    <row r="665" spans="1:51" x14ac:dyDescent="0.25">
      <c r="A665" s="24">
        <v>44809</v>
      </c>
      <c r="B665" s="1">
        <v>44809</v>
      </c>
      <c r="C665">
        <v>5.17</v>
      </c>
      <c r="D665">
        <v>5.25</v>
      </c>
      <c r="E665">
        <v>5.3</v>
      </c>
      <c r="F665">
        <v>5.38</v>
      </c>
      <c r="G665">
        <v>5.33</v>
      </c>
      <c r="H665">
        <v>5.37</v>
      </c>
      <c r="I665">
        <v>5.39</v>
      </c>
      <c r="J665">
        <v>5.4</v>
      </c>
      <c r="K665">
        <v>5.49</v>
      </c>
      <c r="M665" s="3"/>
      <c r="N665" s="17"/>
      <c r="O665" s="17"/>
      <c r="P665" s="17"/>
      <c r="Q665" s="17"/>
      <c r="R665" s="17"/>
      <c r="S665" s="17"/>
      <c r="T665" s="17"/>
      <c r="U665" s="17"/>
      <c r="V665" s="17"/>
      <c r="AE665" s="2"/>
      <c r="AQ665" s="2"/>
      <c r="AR665" s="2"/>
      <c r="AS665" s="2"/>
      <c r="AT665" s="2"/>
      <c r="AU665" s="2"/>
      <c r="AV665" s="2"/>
      <c r="AW665" s="2"/>
      <c r="AX665" s="2"/>
      <c r="AY665" s="2"/>
    </row>
    <row r="666" spans="1:51" x14ac:dyDescent="0.25">
      <c r="A666" s="24">
        <v>44804</v>
      </c>
      <c r="B666" s="1">
        <v>44804</v>
      </c>
      <c r="C666">
        <v>5.03</v>
      </c>
      <c r="D666">
        <v>5.09</v>
      </c>
      <c r="E666">
        <v>5.09</v>
      </c>
      <c r="F666">
        <v>5.0599999999999996</v>
      </c>
      <c r="G666">
        <v>5.13</v>
      </c>
      <c r="H666">
        <v>5.19</v>
      </c>
      <c r="I666">
        <v>5.31</v>
      </c>
      <c r="J666">
        <v>5.33</v>
      </c>
      <c r="K666">
        <v>5.36</v>
      </c>
      <c r="M666" s="3"/>
      <c r="N666" s="17"/>
      <c r="O666" s="17"/>
      <c r="P666" s="17"/>
      <c r="Q666" s="17"/>
      <c r="R666" s="17"/>
      <c r="S666" s="17"/>
      <c r="T666" s="17"/>
      <c r="U666" s="17"/>
      <c r="V666" s="17"/>
      <c r="AE666" s="2"/>
      <c r="AQ666" s="2"/>
      <c r="AR666" s="2"/>
      <c r="AS666" s="2"/>
      <c r="AT666" s="2"/>
      <c r="AU666" s="2"/>
      <c r="AV666" s="2"/>
      <c r="AW666" s="2"/>
      <c r="AX666" s="2"/>
      <c r="AY666" s="2"/>
    </row>
    <row r="667" spans="1:51" x14ac:dyDescent="0.25">
      <c r="A667" s="24">
        <v>44803</v>
      </c>
      <c r="B667" s="1">
        <v>44803</v>
      </c>
      <c r="C667">
        <v>4.4000000000000004</v>
      </c>
      <c r="D667">
        <v>4.5599999999999996</v>
      </c>
      <c r="E667">
        <v>4.7</v>
      </c>
      <c r="F667">
        <v>4.88</v>
      </c>
      <c r="G667">
        <v>5</v>
      </c>
      <c r="H667">
        <v>5.0199999999999996</v>
      </c>
      <c r="I667">
        <v>5.16</v>
      </c>
      <c r="J667">
        <v>5.25</v>
      </c>
      <c r="K667">
        <v>5.3</v>
      </c>
      <c r="M667" s="3"/>
      <c r="N667" s="17"/>
      <c r="O667" s="17"/>
      <c r="P667" s="17"/>
      <c r="Q667" s="17"/>
      <c r="R667" s="17"/>
      <c r="S667" s="17"/>
      <c r="T667" s="17"/>
      <c r="U667" s="17"/>
      <c r="V667" s="17"/>
      <c r="AE667" s="2"/>
      <c r="AQ667" s="2"/>
      <c r="AR667" s="2"/>
      <c r="AS667" s="2"/>
      <c r="AT667" s="2"/>
      <c r="AU667" s="2"/>
      <c r="AV667" s="2"/>
      <c r="AW667" s="2"/>
      <c r="AX667" s="2"/>
      <c r="AY667" s="2"/>
    </row>
    <row r="668" spans="1:51" x14ac:dyDescent="0.25">
      <c r="A668" s="24">
        <v>44802</v>
      </c>
      <c r="B668" s="1">
        <v>44802</v>
      </c>
      <c r="C668">
        <v>3.97</v>
      </c>
      <c r="D668">
        <v>4.34</v>
      </c>
      <c r="E668">
        <v>4.46</v>
      </c>
      <c r="F668">
        <v>4.7</v>
      </c>
      <c r="G668">
        <v>4.96</v>
      </c>
      <c r="H668">
        <v>5.03</v>
      </c>
      <c r="I668">
        <v>5.14</v>
      </c>
      <c r="J668">
        <v>5.22</v>
      </c>
      <c r="K668">
        <v>5.22</v>
      </c>
      <c r="M668" s="3"/>
      <c r="N668" s="17"/>
      <c r="O668" s="17"/>
      <c r="P668" s="17"/>
      <c r="Q668" s="17"/>
      <c r="R668" s="17"/>
      <c r="S668" s="17"/>
      <c r="T668" s="17"/>
      <c r="U668" s="17"/>
      <c r="V668" s="17"/>
      <c r="AE668" s="2"/>
      <c r="AQ668" s="2"/>
      <c r="AR668" s="2"/>
      <c r="AS668" s="2"/>
      <c r="AT668" s="2"/>
      <c r="AU668" s="2"/>
      <c r="AV668" s="2"/>
      <c r="AW668" s="2"/>
      <c r="AX668" s="2"/>
      <c r="AY668" s="2"/>
    </row>
    <row r="669" spans="1:51" x14ac:dyDescent="0.25">
      <c r="A669" s="24">
        <v>44799</v>
      </c>
      <c r="B669" s="1">
        <v>44799</v>
      </c>
      <c r="C669">
        <v>3.63</v>
      </c>
      <c r="D669">
        <v>4.12</v>
      </c>
      <c r="E669">
        <v>4.32</v>
      </c>
      <c r="F669">
        <v>4.62</v>
      </c>
      <c r="G669">
        <v>4.8499999999999996</v>
      </c>
      <c r="H669">
        <v>4.95</v>
      </c>
      <c r="I669">
        <v>5</v>
      </c>
      <c r="J669">
        <v>5.0599999999999996</v>
      </c>
      <c r="K669">
        <v>5.03</v>
      </c>
      <c r="M669" s="3"/>
      <c r="N669" s="17"/>
      <c r="O669" s="17"/>
      <c r="P669" s="17"/>
      <c r="Q669" s="17"/>
      <c r="R669" s="17"/>
      <c r="S669" s="17"/>
      <c r="T669" s="17"/>
      <c r="U669" s="17"/>
      <c r="V669" s="17"/>
      <c r="AE669" s="2"/>
      <c r="AQ669" s="2"/>
      <c r="AR669" s="2"/>
      <c r="AS669" s="2"/>
      <c r="AT669" s="2"/>
      <c r="AU669" s="2"/>
      <c r="AV669" s="2"/>
      <c r="AW669" s="2"/>
      <c r="AX669" s="2"/>
      <c r="AY669" s="2"/>
    </row>
    <row r="670" spans="1:51" x14ac:dyDescent="0.25">
      <c r="A670" s="24">
        <v>44798</v>
      </c>
      <c r="B670" s="1">
        <v>44798</v>
      </c>
      <c r="C670">
        <v>3.73</v>
      </c>
      <c r="D670">
        <v>4.13</v>
      </c>
      <c r="E670">
        <v>4.33</v>
      </c>
      <c r="F670">
        <v>4.6100000000000003</v>
      </c>
      <c r="G670">
        <v>4.9000000000000004</v>
      </c>
      <c r="H670">
        <v>4.99</v>
      </c>
      <c r="I670">
        <v>5.0999999999999996</v>
      </c>
      <c r="J670">
        <v>5.17</v>
      </c>
      <c r="K670">
        <v>5.16</v>
      </c>
      <c r="M670" s="3"/>
      <c r="N670" s="17"/>
      <c r="O670" s="17"/>
      <c r="P670" s="17"/>
      <c r="Q670" s="17"/>
      <c r="R670" s="17"/>
      <c r="S670" s="17"/>
      <c r="T670" s="17"/>
      <c r="U670" s="17"/>
      <c r="V670" s="17"/>
      <c r="AE670" s="2"/>
      <c r="AQ670" s="2"/>
      <c r="AR670" s="2"/>
      <c r="AS670" s="2"/>
      <c r="AT670" s="2"/>
      <c r="AU670" s="2"/>
      <c r="AV670" s="2"/>
      <c r="AW670" s="2"/>
      <c r="AX670" s="2"/>
      <c r="AY670" s="2"/>
    </row>
    <row r="671" spans="1:51" x14ac:dyDescent="0.25">
      <c r="A671" s="24">
        <v>44797</v>
      </c>
      <c r="B671" s="1">
        <v>44797</v>
      </c>
      <c r="C671">
        <v>3.85</v>
      </c>
      <c r="D671">
        <v>4.1500000000000004</v>
      </c>
      <c r="E671">
        <v>4.33</v>
      </c>
      <c r="F671">
        <v>4.63</v>
      </c>
      <c r="G671">
        <v>4.92</v>
      </c>
      <c r="H671">
        <v>4.9800000000000004</v>
      </c>
      <c r="I671">
        <v>5.0999999999999996</v>
      </c>
      <c r="J671">
        <v>5.12</v>
      </c>
      <c r="K671">
        <v>5.14</v>
      </c>
      <c r="M671" s="3"/>
      <c r="N671" s="17"/>
      <c r="O671" s="17"/>
      <c r="P671" s="17"/>
      <c r="Q671" s="17"/>
      <c r="R671" s="17"/>
      <c r="S671" s="17"/>
      <c r="T671" s="17"/>
      <c r="U671" s="17"/>
      <c r="V671" s="17"/>
      <c r="AE671" s="2"/>
      <c r="AQ671" s="2"/>
      <c r="AR671" s="2"/>
      <c r="AS671" s="2"/>
      <c r="AT671" s="2"/>
      <c r="AU671" s="2"/>
      <c r="AV671" s="2"/>
      <c r="AW671" s="2"/>
      <c r="AX671" s="2"/>
      <c r="AY671" s="2"/>
    </row>
    <row r="672" spans="1:51" x14ac:dyDescent="0.25">
      <c r="A672" s="24">
        <v>44796</v>
      </c>
      <c r="B672" s="1">
        <v>44796</v>
      </c>
      <c r="C672">
        <v>3.86</v>
      </c>
      <c r="D672">
        <v>4.1100000000000003</v>
      </c>
      <c r="E672">
        <v>4.3099999999999996</v>
      </c>
      <c r="F672">
        <v>4.6100000000000003</v>
      </c>
      <c r="G672">
        <v>4.84</v>
      </c>
      <c r="H672">
        <v>4.96</v>
      </c>
      <c r="I672">
        <v>5.04</v>
      </c>
      <c r="J672">
        <v>5.07</v>
      </c>
      <c r="K672">
        <v>5.08</v>
      </c>
      <c r="M672" s="3"/>
      <c r="N672" s="17"/>
      <c r="O672" s="17"/>
      <c r="P672" s="17"/>
      <c r="Q672" s="17"/>
      <c r="R672" s="17"/>
      <c r="S672" s="17"/>
      <c r="T672" s="17"/>
      <c r="U672" s="17"/>
      <c r="V672" s="17"/>
      <c r="AE672" s="2"/>
      <c r="AQ672" s="2"/>
      <c r="AR672" s="2"/>
      <c r="AS672" s="2"/>
      <c r="AT672" s="2"/>
      <c r="AU672" s="2"/>
      <c r="AV672" s="2"/>
      <c r="AW672" s="2"/>
      <c r="AX672" s="2"/>
      <c r="AY672" s="2"/>
    </row>
    <row r="673" spans="1:51" x14ac:dyDescent="0.25">
      <c r="A673" s="24">
        <v>44795</v>
      </c>
      <c r="B673" s="1">
        <v>44795</v>
      </c>
      <c r="C673">
        <v>2.74</v>
      </c>
      <c r="D673">
        <v>3.06</v>
      </c>
      <c r="E673">
        <v>3.59</v>
      </c>
      <c r="F673">
        <v>4.1900000000000004</v>
      </c>
      <c r="G673">
        <v>4.54</v>
      </c>
      <c r="H673">
        <v>4.71</v>
      </c>
      <c r="I673">
        <v>4.84</v>
      </c>
      <c r="J673">
        <v>4.92</v>
      </c>
      <c r="K673">
        <v>4.95</v>
      </c>
      <c r="M673" s="3"/>
      <c r="N673" s="17"/>
      <c r="O673" s="17"/>
      <c r="P673" s="17"/>
      <c r="Q673" s="17"/>
      <c r="R673" s="17"/>
      <c r="S673" s="17"/>
      <c r="T673" s="17"/>
      <c r="U673" s="17"/>
      <c r="V673" s="17"/>
      <c r="AE673" s="2"/>
      <c r="AQ673" s="2"/>
      <c r="AR673" s="2"/>
      <c r="AS673" s="2"/>
      <c r="AT673" s="2"/>
      <c r="AU673" s="2"/>
      <c r="AV673" s="2"/>
      <c r="AW673" s="2"/>
      <c r="AX673" s="2"/>
      <c r="AY673" s="2"/>
    </row>
    <row r="674" spans="1:51" x14ac:dyDescent="0.25">
      <c r="A674" s="24">
        <v>44792</v>
      </c>
      <c r="B674" s="1">
        <v>44792</v>
      </c>
      <c r="C674">
        <v>2.57</v>
      </c>
      <c r="D674">
        <v>2.87</v>
      </c>
      <c r="E674">
        <v>3.44</v>
      </c>
      <c r="F674">
        <v>4.09</v>
      </c>
      <c r="G674">
        <v>4.4000000000000004</v>
      </c>
      <c r="H674">
        <v>4.63</v>
      </c>
      <c r="I674">
        <v>4.74</v>
      </c>
      <c r="J674">
        <v>4.87</v>
      </c>
      <c r="K674">
        <v>4.8600000000000003</v>
      </c>
      <c r="M674" s="3"/>
      <c r="N674" s="17"/>
      <c r="O674" s="17"/>
      <c r="P674" s="17"/>
      <c r="Q674" s="17"/>
      <c r="R674" s="17"/>
      <c r="S674" s="17"/>
      <c r="T674" s="17"/>
      <c r="U674" s="17"/>
      <c r="V674" s="17"/>
      <c r="AE674" s="2"/>
      <c r="AQ674" s="2"/>
      <c r="AR674" s="2"/>
      <c r="AS674" s="2"/>
      <c r="AT674" s="2"/>
      <c r="AU674" s="2"/>
      <c r="AV674" s="2"/>
      <c r="AW674" s="2"/>
      <c r="AX674" s="2"/>
      <c r="AY674" s="2"/>
    </row>
    <row r="675" spans="1:51" x14ac:dyDescent="0.25">
      <c r="A675" s="24">
        <v>44791</v>
      </c>
      <c r="B675" s="1">
        <v>44791</v>
      </c>
      <c r="C675">
        <v>2.41</v>
      </c>
      <c r="D675">
        <v>2.74</v>
      </c>
      <c r="E675">
        <v>3.1</v>
      </c>
      <c r="F675">
        <v>3.81</v>
      </c>
      <c r="G675">
        <v>4.22</v>
      </c>
      <c r="H675">
        <v>4.34</v>
      </c>
      <c r="I675">
        <v>4.5599999999999996</v>
      </c>
      <c r="J675">
        <v>4.67</v>
      </c>
      <c r="K675">
        <v>4.6900000000000004</v>
      </c>
      <c r="M675" s="3"/>
      <c r="N675" s="17"/>
      <c r="O675" s="17"/>
      <c r="P675" s="17"/>
      <c r="Q675" s="17"/>
      <c r="R675" s="17"/>
      <c r="S675" s="17"/>
      <c r="T675" s="17"/>
      <c r="U675" s="17"/>
      <c r="V675" s="17"/>
      <c r="AE675" s="2"/>
      <c r="AQ675" s="2"/>
      <c r="AR675" s="2"/>
      <c r="AS675" s="2"/>
      <c r="AT675" s="2"/>
      <c r="AU675" s="2"/>
      <c r="AV675" s="2"/>
      <c r="AW675" s="2"/>
      <c r="AX675" s="2"/>
      <c r="AY675" s="2"/>
    </row>
    <row r="676" spans="1:51" x14ac:dyDescent="0.25">
      <c r="A676" s="24">
        <v>44790</v>
      </c>
      <c r="B676" s="1">
        <v>44790</v>
      </c>
      <c r="C676">
        <v>2.1800000000000002</v>
      </c>
      <c r="D676">
        <v>2.6</v>
      </c>
      <c r="E676">
        <v>3</v>
      </c>
      <c r="F676">
        <v>3.53</v>
      </c>
      <c r="G676">
        <v>4.13</v>
      </c>
      <c r="H676">
        <v>4.25</v>
      </c>
      <c r="I676">
        <v>4.53</v>
      </c>
      <c r="J676">
        <v>4.66</v>
      </c>
      <c r="K676">
        <v>4.68</v>
      </c>
      <c r="M676" s="3"/>
      <c r="N676" s="17"/>
      <c r="O676" s="17"/>
      <c r="P676" s="17"/>
      <c r="Q676" s="17"/>
      <c r="R676" s="17"/>
      <c r="S676" s="17"/>
      <c r="T676" s="17"/>
      <c r="U676" s="17"/>
      <c r="V676" s="17"/>
      <c r="AE676" s="2"/>
      <c r="AQ676" s="2"/>
      <c r="AR676" s="2"/>
      <c r="AS676" s="2"/>
      <c r="AT676" s="2"/>
      <c r="AU676" s="2"/>
      <c r="AV676" s="2"/>
      <c r="AW676" s="2"/>
      <c r="AX676" s="2"/>
      <c r="AY676" s="2"/>
    </row>
    <row r="677" spans="1:51" x14ac:dyDescent="0.25">
      <c r="A677" s="24">
        <v>44789</v>
      </c>
      <c r="B677" s="1">
        <v>44789</v>
      </c>
      <c r="C677">
        <v>2.08</v>
      </c>
      <c r="D677">
        <v>2.62</v>
      </c>
      <c r="E677">
        <v>2.93</v>
      </c>
      <c r="F677">
        <v>3.6</v>
      </c>
      <c r="G677">
        <v>4.25</v>
      </c>
      <c r="H677">
        <v>4.42</v>
      </c>
      <c r="I677">
        <v>4.67</v>
      </c>
      <c r="J677">
        <v>4.78</v>
      </c>
      <c r="K677">
        <v>4.8</v>
      </c>
      <c r="M677" s="3"/>
      <c r="N677" s="17"/>
      <c r="O677" s="17"/>
      <c r="P677" s="17"/>
      <c r="Q677" s="17"/>
      <c r="R677" s="17"/>
      <c r="S677" s="17"/>
      <c r="T677" s="17"/>
      <c r="U677" s="17"/>
      <c r="V677" s="17"/>
      <c r="AE677" s="2"/>
      <c r="AQ677" s="2"/>
      <c r="AR677" s="2"/>
      <c r="AS677" s="2"/>
      <c r="AT677" s="2"/>
      <c r="AU677" s="2"/>
      <c r="AV677" s="2"/>
      <c r="AW677" s="2"/>
      <c r="AX677" s="2"/>
      <c r="AY677" s="2"/>
    </row>
    <row r="678" spans="1:51" x14ac:dyDescent="0.25">
      <c r="A678" s="24">
        <v>44788</v>
      </c>
      <c r="B678" s="1">
        <v>44788</v>
      </c>
      <c r="C678">
        <v>2.38</v>
      </c>
      <c r="D678">
        <v>2.67</v>
      </c>
      <c r="E678">
        <v>2.97</v>
      </c>
      <c r="F678">
        <v>3.65</v>
      </c>
      <c r="G678">
        <v>4.22</v>
      </c>
      <c r="H678">
        <v>4.38</v>
      </c>
      <c r="I678">
        <v>4.58</v>
      </c>
      <c r="J678">
        <v>4.67</v>
      </c>
      <c r="K678">
        <v>4.7</v>
      </c>
      <c r="M678" s="3"/>
      <c r="N678" s="17"/>
      <c r="O678" s="17"/>
      <c r="P678" s="17"/>
      <c r="Q678" s="17"/>
      <c r="R678" s="17"/>
      <c r="S678" s="17"/>
      <c r="T678" s="17"/>
      <c r="U678" s="17"/>
      <c r="V678" s="17"/>
      <c r="AE678" s="2"/>
      <c r="AQ678" s="2"/>
      <c r="AR678" s="2"/>
      <c r="AS678" s="2"/>
      <c r="AT678" s="2"/>
      <c r="AU678" s="2"/>
      <c r="AV678" s="2"/>
      <c r="AW678" s="2"/>
      <c r="AX678" s="2"/>
      <c r="AY678" s="2"/>
    </row>
    <row r="679" spans="1:51" x14ac:dyDescent="0.25">
      <c r="A679" s="24">
        <v>44785</v>
      </c>
      <c r="B679" s="1">
        <v>44785</v>
      </c>
      <c r="C679">
        <v>2.67</v>
      </c>
      <c r="D679">
        <v>2.87</v>
      </c>
      <c r="E679">
        <v>3.12</v>
      </c>
      <c r="F679">
        <v>3.68</v>
      </c>
      <c r="G679">
        <v>4.25</v>
      </c>
      <c r="H679">
        <v>4.4000000000000004</v>
      </c>
      <c r="I679">
        <v>4.53</v>
      </c>
      <c r="J679">
        <v>4.7699999999999996</v>
      </c>
      <c r="K679">
        <v>4.7699999999999996</v>
      </c>
      <c r="M679" s="3"/>
      <c r="N679" s="17"/>
      <c r="O679" s="17"/>
      <c r="P679" s="17"/>
      <c r="Q679" s="17"/>
      <c r="R679" s="17"/>
      <c r="S679" s="17"/>
      <c r="T679" s="17"/>
      <c r="U679" s="17"/>
      <c r="V679" s="17"/>
      <c r="AE679" s="2"/>
      <c r="AQ679" s="2"/>
      <c r="AR679" s="2"/>
      <c r="AS679" s="2"/>
      <c r="AT679" s="2"/>
      <c r="AU679" s="2"/>
      <c r="AV679" s="2"/>
      <c r="AW679" s="2"/>
      <c r="AX679" s="2"/>
      <c r="AY679" s="2"/>
    </row>
    <row r="680" spans="1:51" x14ac:dyDescent="0.25">
      <c r="A680" s="24">
        <v>44784</v>
      </c>
      <c r="B680" s="1">
        <v>44784</v>
      </c>
      <c r="C680">
        <v>3.27</v>
      </c>
      <c r="D680">
        <v>3.57</v>
      </c>
      <c r="E680">
        <v>3.92</v>
      </c>
      <c r="F680">
        <v>4.3</v>
      </c>
      <c r="G680">
        <v>4.53</v>
      </c>
      <c r="H680">
        <v>4.58</v>
      </c>
      <c r="I680">
        <v>4.6500000000000004</v>
      </c>
      <c r="J680">
        <v>4.8</v>
      </c>
      <c r="K680">
        <v>4.78</v>
      </c>
      <c r="M680" s="3"/>
      <c r="N680" s="17"/>
      <c r="O680" s="17"/>
      <c r="P680" s="17"/>
      <c r="Q680" s="17"/>
      <c r="R680" s="17"/>
      <c r="S680" s="17"/>
      <c r="T680" s="17"/>
      <c r="U680" s="17"/>
      <c r="V680" s="17"/>
      <c r="AE680" s="2"/>
      <c r="AQ680" s="2"/>
      <c r="AR680" s="2"/>
      <c r="AS680" s="2"/>
      <c r="AT680" s="2"/>
      <c r="AU680" s="2"/>
      <c r="AV680" s="2"/>
      <c r="AW680" s="2"/>
      <c r="AX680" s="2"/>
      <c r="AY680" s="2"/>
    </row>
    <row r="681" spans="1:51" x14ac:dyDescent="0.25">
      <c r="A681" s="24">
        <v>44783</v>
      </c>
      <c r="B681" s="1">
        <v>44783</v>
      </c>
      <c r="C681">
        <v>3.85</v>
      </c>
      <c r="D681">
        <v>4.18</v>
      </c>
      <c r="E681">
        <v>4.28</v>
      </c>
      <c r="F681">
        <v>4.45</v>
      </c>
      <c r="G681">
        <v>4.58</v>
      </c>
      <c r="H681">
        <v>4.63</v>
      </c>
      <c r="I681">
        <v>4.71</v>
      </c>
      <c r="J681">
        <v>4.74</v>
      </c>
      <c r="K681">
        <v>4.83</v>
      </c>
      <c r="M681" s="3"/>
      <c r="N681" s="17"/>
      <c r="O681" s="17"/>
      <c r="P681" s="17"/>
      <c r="Q681" s="17"/>
      <c r="R681" s="17"/>
      <c r="S681" s="17"/>
      <c r="T681" s="17"/>
      <c r="U681" s="17"/>
      <c r="V681" s="17"/>
      <c r="AE681" s="2"/>
      <c r="AQ681" s="2"/>
      <c r="AR681" s="2"/>
      <c r="AS681" s="2"/>
      <c r="AT681" s="2"/>
      <c r="AU681" s="2"/>
      <c r="AV681" s="2"/>
      <c r="AW681" s="2"/>
      <c r="AX681" s="2"/>
      <c r="AY681" s="2"/>
    </row>
    <row r="682" spans="1:51" x14ac:dyDescent="0.25">
      <c r="A682" s="24">
        <v>44782</v>
      </c>
      <c r="B682" s="1">
        <v>44782</v>
      </c>
      <c r="C682">
        <v>4.1900000000000004</v>
      </c>
      <c r="D682">
        <v>4.3899999999999997</v>
      </c>
      <c r="E682">
        <v>4.49</v>
      </c>
      <c r="F682">
        <v>4.57</v>
      </c>
      <c r="G682">
        <v>4.71</v>
      </c>
      <c r="H682">
        <v>4.76</v>
      </c>
      <c r="I682">
        <v>4.91</v>
      </c>
      <c r="J682">
        <v>5.03</v>
      </c>
      <c r="K682">
        <v>5.0999999999999996</v>
      </c>
      <c r="M682" s="3"/>
      <c r="N682" s="17"/>
      <c r="O682" s="17"/>
      <c r="P682" s="17"/>
      <c r="Q682" s="17"/>
      <c r="R682" s="17"/>
      <c r="S682" s="17"/>
      <c r="T682" s="17"/>
      <c r="U682" s="17"/>
      <c r="V682" s="17"/>
      <c r="AE682" s="2"/>
      <c r="AQ682" s="2"/>
      <c r="AR682" s="2"/>
      <c r="AS682" s="2"/>
      <c r="AT682" s="2"/>
      <c r="AU682" s="2"/>
      <c r="AV682" s="2"/>
      <c r="AW682" s="2"/>
      <c r="AX682" s="2"/>
      <c r="AY682" s="2"/>
    </row>
    <row r="683" spans="1:51" x14ac:dyDescent="0.25">
      <c r="A683" s="24">
        <v>44781</v>
      </c>
      <c r="B683" s="1">
        <v>44781</v>
      </c>
      <c r="C683">
        <v>4.33</v>
      </c>
      <c r="D683">
        <v>4.4800000000000004</v>
      </c>
      <c r="E683">
        <v>4.55</v>
      </c>
      <c r="F683">
        <v>4.62</v>
      </c>
      <c r="G683">
        <v>4.7</v>
      </c>
      <c r="H683">
        <v>4.7699999999999996</v>
      </c>
      <c r="I683">
        <v>4.8499999999999996</v>
      </c>
      <c r="J683">
        <v>4.91</v>
      </c>
      <c r="K683">
        <v>4.9000000000000004</v>
      </c>
      <c r="M683" s="3"/>
      <c r="N683" s="17"/>
      <c r="O683" s="17"/>
      <c r="P683" s="17"/>
      <c r="Q683" s="17"/>
      <c r="R683" s="17"/>
      <c r="S683" s="17"/>
      <c r="T683" s="17"/>
      <c r="U683" s="17"/>
      <c r="V683" s="17"/>
      <c r="AE683" s="2"/>
      <c r="AQ683" s="2"/>
      <c r="AR683" s="2"/>
      <c r="AS683" s="2"/>
      <c r="AT683" s="2"/>
      <c r="AU683" s="2"/>
      <c r="AV683" s="2"/>
      <c r="AW683" s="2"/>
      <c r="AX683" s="2"/>
      <c r="AY683" s="2"/>
    </row>
    <row r="684" spans="1:51" x14ac:dyDescent="0.25">
      <c r="A684" s="24">
        <v>44778</v>
      </c>
      <c r="B684" s="1">
        <v>44778</v>
      </c>
      <c r="C684">
        <v>4.22</v>
      </c>
      <c r="D684">
        <v>4.32</v>
      </c>
      <c r="E684">
        <v>4.32</v>
      </c>
      <c r="F684">
        <v>4.38</v>
      </c>
      <c r="G684">
        <v>4.45</v>
      </c>
      <c r="H684">
        <v>4.47</v>
      </c>
      <c r="I684">
        <v>4.63</v>
      </c>
      <c r="J684">
        <v>4.59</v>
      </c>
      <c r="K684">
        <v>4.75</v>
      </c>
      <c r="M684" s="3"/>
      <c r="N684" s="17"/>
      <c r="O684" s="17"/>
      <c r="P684" s="17"/>
      <c r="Q684" s="17"/>
      <c r="R684" s="17"/>
      <c r="S684" s="17"/>
      <c r="T684" s="17"/>
      <c r="U684" s="17"/>
      <c r="V684" s="17"/>
      <c r="AE684" s="2"/>
      <c r="AQ684" s="2"/>
      <c r="AR684" s="2"/>
      <c r="AS684" s="2"/>
      <c r="AT684" s="2"/>
      <c r="AU684" s="2"/>
      <c r="AV684" s="2"/>
      <c r="AW684" s="2"/>
      <c r="AX684" s="2"/>
      <c r="AY684" s="2"/>
    </row>
    <row r="685" spans="1:51" x14ac:dyDescent="0.25">
      <c r="A685" s="24">
        <v>44777</v>
      </c>
      <c r="B685" s="1">
        <v>44777</v>
      </c>
      <c r="C685">
        <v>4.03</v>
      </c>
      <c r="D685">
        <v>4.05</v>
      </c>
      <c r="E685">
        <v>4</v>
      </c>
      <c r="F685">
        <v>3.98</v>
      </c>
      <c r="G685">
        <v>4.0999999999999996</v>
      </c>
      <c r="H685">
        <v>4.2300000000000004</v>
      </c>
      <c r="I685">
        <v>4.3499999999999996</v>
      </c>
      <c r="J685">
        <v>4.32</v>
      </c>
      <c r="K685">
        <v>4.4800000000000004</v>
      </c>
      <c r="M685" s="3"/>
      <c r="N685" s="17"/>
      <c r="O685" s="17"/>
      <c r="P685" s="17"/>
      <c r="Q685" s="17"/>
      <c r="R685" s="17"/>
      <c r="S685" s="17"/>
      <c r="T685" s="17"/>
      <c r="U685" s="17"/>
      <c r="V685" s="17"/>
      <c r="AE685" s="2"/>
      <c r="AQ685" s="2"/>
      <c r="AR685" s="2"/>
      <c r="AS685" s="2"/>
      <c r="AT685" s="2"/>
      <c r="AU685" s="2"/>
      <c r="AV685" s="2"/>
      <c r="AW685" s="2"/>
      <c r="AX685" s="2"/>
      <c r="AY685" s="2"/>
    </row>
    <row r="686" spans="1:51" x14ac:dyDescent="0.25">
      <c r="A686" s="24">
        <v>44776</v>
      </c>
      <c r="B686" s="1">
        <v>44776</v>
      </c>
      <c r="C686">
        <v>3.93</v>
      </c>
      <c r="D686">
        <v>4.03</v>
      </c>
      <c r="E686">
        <v>3.93</v>
      </c>
      <c r="F686">
        <v>3.94</v>
      </c>
      <c r="G686">
        <v>4.04</v>
      </c>
      <c r="H686">
        <v>4.2699999999999996</v>
      </c>
      <c r="I686">
        <v>4.37</v>
      </c>
      <c r="J686">
        <v>4.32</v>
      </c>
      <c r="K686">
        <v>4.5</v>
      </c>
      <c r="M686" s="3"/>
      <c r="N686" s="17"/>
      <c r="O686" s="17"/>
      <c r="P686" s="17"/>
      <c r="Q686" s="17"/>
      <c r="R686" s="17"/>
      <c r="S686" s="17"/>
      <c r="T686" s="17"/>
      <c r="U686" s="17"/>
      <c r="V686" s="17"/>
      <c r="AE686" s="2"/>
      <c r="AQ686" s="2"/>
      <c r="AR686" s="2"/>
      <c r="AS686" s="2"/>
      <c r="AT686" s="2"/>
      <c r="AU686" s="2"/>
      <c r="AV686" s="2"/>
      <c r="AW686" s="2"/>
      <c r="AX686" s="2"/>
      <c r="AY686" s="2"/>
    </row>
    <row r="687" spans="1:51" x14ac:dyDescent="0.25">
      <c r="A687" s="24">
        <v>44775</v>
      </c>
      <c r="B687" s="1">
        <v>44775</v>
      </c>
      <c r="C687">
        <v>4.03</v>
      </c>
      <c r="D687">
        <v>4.0599999999999996</v>
      </c>
      <c r="E687">
        <v>3.89</v>
      </c>
      <c r="F687">
        <v>3.87</v>
      </c>
      <c r="G687">
        <v>3.9</v>
      </c>
      <c r="H687">
        <v>4.13</v>
      </c>
      <c r="I687">
        <v>4.1900000000000004</v>
      </c>
      <c r="J687">
        <v>4.08</v>
      </c>
      <c r="K687">
        <v>4.18</v>
      </c>
      <c r="M687" s="3"/>
      <c r="N687" s="17"/>
      <c r="O687" s="17"/>
      <c r="P687" s="17"/>
      <c r="Q687" s="17"/>
      <c r="R687" s="17"/>
      <c r="S687" s="17"/>
      <c r="T687" s="17"/>
      <c r="U687" s="17"/>
      <c r="V687" s="17"/>
      <c r="AE687" s="2"/>
      <c r="AQ687" s="2"/>
      <c r="AR687" s="2"/>
      <c r="AS687" s="2"/>
      <c r="AT687" s="2"/>
      <c r="AU687" s="2"/>
      <c r="AV687" s="2"/>
      <c r="AW687" s="2"/>
      <c r="AX687" s="2"/>
      <c r="AY687" s="2"/>
    </row>
    <row r="688" spans="1:51" x14ac:dyDescent="0.25">
      <c r="A688" s="24">
        <v>44774</v>
      </c>
      <c r="B688" s="1">
        <v>44774</v>
      </c>
      <c r="C688">
        <v>3.94</v>
      </c>
      <c r="D688">
        <v>4.03</v>
      </c>
      <c r="E688">
        <v>3.91</v>
      </c>
      <c r="F688">
        <v>3.91</v>
      </c>
      <c r="G688">
        <v>4.01</v>
      </c>
      <c r="H688">
        <v>4.2</v>
      </c>
      <c r="I688">
        <v>4.33</v>
      </c>
      <c r="J688">
        <v>4.25</v>
      </c>
      <c r="K688">
        <v>4.38</v>
      </c>
      <c r="M688" s="3"/>
      <c r="N688" s="17"/>
      <c r="O688" s="17"/>
      <c r="P688" s="17"/>
      <c r="Q688" s="17"/>
      <c r="R688" s="17"/>
      <c r="S688" s="17"/>
      <c r="T688" s="17"/>
      <c r="U688" s="17"/>
      <c r="V688" s="17"/>
      <c r="AE688" s="2"/>
      <c r="AQ688" s="2"/>
      <c r="AR688" s="2"/>
      <c r="AS688" s="2"/>
      <c r="AT688" s="2"/>
      <c r="AU688" s="2"/>
      <c r="AV688" s="2"/>
      <c r="AW688" s="2"/>
      <c r="AX688" s="2"/>
      <c r="AY688" s="2"/>
    </row>
    <row r="689" spans="1:51" x14ac:dyDescent="0.25">
      <c r="A689" s="24">
        <v>44771</v>
      </c>
      <c r="B689" s="1">
        <v>44771</v>
      </c>
      <c r="C689">
        <v>3.83</v>
      </c>
      <c r="D689">
        <v>3.92</v>
      </c>
      <c r="E689">
        <v>3.72</v>
      </c>
      <c r="F689">
        <v>3.68</v>
      </c>
      <c r="G689">
        <v>3.7</v>
      </c>
      <c r="H689">
        <v>3.9</v>
      </c>
      <c r="I689">
        <v>4.0199999999999996</v>
      </c>
      <c r="J689">
        <v>4.04</v>
      </c>
      <c r="K689">
        <v>4.05</v>
      </c>
      <c r="M689" s="3"/>
      <c r="N689" s="17"/>
      <c r="O689" s="17"/>
      <c r="P689" s="17"/>
      <c r="Q689" s="17"/>
      <c r="R689" s="17"/>
      <c r="S689" s="17"/>
      <c r="T689" s="17"/>
      <c r="U689" s="17"/>
      <c r="V689" s="17"/>
      <c r="AE689" s="2"/>
      <c r="AQ689" s="2"/>
      <c r="AR689" s="2"/>
      <c r="AS689" s="2"/>
      <c r="AT689" s="2"/>
      <c r="AU689" s="2"/>
      <c r="AV689" s="2"/>
      <c r="AW689" s="2"/>
      <c r="AX689" s="2"/>
      <c r="AY689" s="2"/>
    </row>
    <row r="690" spans="1:51" x14ac:dyDescent="0.25">
      <c r="A690" s="24">
        <v>44770</v>
      </c>
      <c r="B690" s="1">
        <v>44770</v>
      </c>
      <c r="C690">
        <v>4.03</v>
      </c>
      <c r="D690">
        <v>3.93</v>
      </c>
      <c r="E690">
        <v>3.73</v>
      </c>
      <c r="F690">
        <v>3.7</v>
      </c>
      <c r="G690">
        <v>3.7</v>
      </c>
      <c r="H690">
        <v>4.0199999999999996</v>
      </c>
      <c r="I690">
        <v>4.12</v>
      </c>
      <c r="J690">
        <v>4.1399999999999997</v>
      </c>
      <c r="K690">
        <v>4.17</v>
      </c>
      <c r="M690" s="3"/>
      <c r="N690" s="17"/>
      <c r="O690" s="17"/>
      <c r="P690" s="17"/>
      <c r="Q690" s="17"/>
      <c r="R690" s="17"/>
      <c r="S690" s="17"/>
      <c r="T690" s="17"/>
      <c r="U690" s="17"/>
      <c r="V690" s="17"/>
      <c r="AE690" s="2"/>
      <c r="AQ690" s="2"/>
      <c r="AR690" s="2"/>
      <c r="AS690" s="2"/>
      <c r="AT690" s="2"/>
      <c r="AU690" s="2"/>
      <c r="AV690" s="2"/>
      <c r="AW690" s="2"/>
      <c r="AX690" s="2"/>
      <c r="AY690" s="2"/>
    </row>
    <row r="691" spans="1:51" x14ac:dyDescent="0.25">
      <c r="A691" s="24">
        <v>44769</v>
      </c>
      <c r="B691" s="1">
        <v>44769</v>
      </c>
      <c r="C691">
        <v>4.47</v>
      </c>
      <c r="D691">
        <v>4.5</v>
      </c>
      <c r="E691">
        <v>4.2</v>
      </c>
      <c r="F691">
        <v>4.03</v>
      </c>
      <c r="G691">
        <v>4</v>
      </c>
      <c r="H691">
        <v>4.0999999999999996</v>
      </c>
      <c r="I691">
        <v>4.2</v>
      </c>
      <c r="J691">
        <v>4.16</v>
      </c>
      <c r="K691">
        <v>4.1500000000000004</v>
      </c>
      <c r="M691" s="3"/>
      <c r="N691" s="17"/>
      <c r="O691" s="17"/>
      <c r="P691" s="17"/>
      <c r="Q691" s="17"/>
      <c r="R691" s="17"/>
      <c r="S691" s="17"/>
      <c r="T691" s="17"/>
      <c r="U691" s="17"/>
      <c r="V691" s="17"/>
      <c r="AE691" s="2"/>
      <c r="AQ691" s="2"/>
      <c r="AR691" s="2"/>
      <c r="AS691" s="2"/>
      <c r="AT691" s="2"/>
      <c r="AU691" s="2"/>
      <c r="AV691" s="2"/>
      <c r="AW691" s="2"/>
      <c r="AX691" s="2"/>
      <c r="AY691" s="2"/>
    </row>
    <row r="692" spans="1:51" x14ac:dyDescent="0.25">
      <c r="A692" s="24">
        <v>44768</v>
      </c>
      <c r="B692" s="1">
        <v>44768</v>
      </c>
      <c r="C692">
        <v>4.29</v>
      </c>
      <c r="D692">
        <v>4.2300000000000004</v>
      </c>
      <c r="E692">
        <v>3.94</v>
      </c>
      <c r="F692">
        <v>3.91</v>
      </c>
      <c r="G692">
        <v>3.91</v>
      </c>
      <c r="H692">
        <v>4.0599999999999996</v>
      </c>
      <c r="I692">
        <v>4.01</v>
      </c>
      <c r="J692">
        <v>3.93</v>
      </c>
      <c r="K692">
        <v>4.1900000000000004</v>
      </c>
      <c r="M692" s="3"/>
      <c r="N692" s="17"/>
      <c r="O692" s="17"/>
      <c r="P692" s="17"/>
      <c r="Q692" s="17"/>
      <c r="R692" s="17"/>
      <c r="S692" s="17"/>
      <c r="T692" s="17"/>
      <c r="U692" s="17"/>
      <c r="V692" s="17"/>
      <c r="AE692" s="2"/>
      <c r="AQ692" s="2"/>
      <c r="AR692" s="2"/>
      <c r="AS692" s="2"/>
      <c r="AT692" s="2"/>
      <c r="AU692" s="2"/>
      <c r="AV692" s="2"/>
      <c r="AW692" s="2"/>
      <c r="AX692" s="2"/>
      <c r="AY692" s="2"/>
    </row>
    <row r="693" spans="1:51" x14ac:dyDescent="0.25">
      <c r="A693" s="24">
        <v>44767</v>
      </c>
      <c r="B693" s="1">
        <v>44767</v>
      </c>
      <c r="C693">
        <v>3.53</v>
      </c>
      <c r="D693">
        <v>3.68</v>
      </c>
      <c r="E693">
        <v>3.75</v>
      </c>
      <c r="F693">
        <v>3.9</v>
      </c>
      <c r="G693">
        <v>3.68</v>
      </c>
      <c r="H693">
        <v>4</v>
      </c>
      <c r="I693">
        <v>3.93</v>
      </c>
      <c r="J693">
        <v>3.7</v>
      </c>
      <c r="K693">
        <v>4.2</v>
      </c>
      <c r="M693" s="3"/>
      <c r="N693" s="17"/>
      <c r="O693" s="17"/>
      <c r="P693" s="17"/>
      <c r="Q693" s="17"/>
      <c r="R693" s="17"/>
      <c r="S693" s="17"/>
      <c r="T693" s="17"/>
      <c r="U693" s="17"/>
      <c r="V693" s="17"/>
      <c r="AE693" s="2"/>
      <c r="AQ693" s="2"/>
      <c r="AR693" s="2"/>
      <c r="AS693" s="2"/>
      <c r="AT693" s="2"/>
      <c r="AU693" s="2"/>
      <c r="AV693" s="2"/>
      <c r="AW693" s="2"/>
      <c r="AX693" s="2"/>
      <c r="AY693" s="2"/>
    </row>
    <row r="694" spans="1:51" x14ac:dyDescent="0.25">
      <c r="A694" s="24">
        <v>44764</v>
      </c>
      <c r="B694" s="1">
        <v>44764</v>
      </c>
      <c r="C694">
        <v>2.57</v>
      </c>
      <c r="D694">
        <v>2.68</v>
      </c>
      <c r="E694">
        <v>2.77</v>
      </c>
      <c r="F694">
        <v>2.77</v>
      </c>
      <c r="G694">
        <v>2.9</v>
      </c>
      <c r="H694">
        <v>3.02</v>
      </c>
      <c r="I694">
        <v>3.32</v>
      </c>
      <c r="J694">
        <v>3.31</v>
      </c>
      <c r="K694">
        <v>3.43</v>
      </c>
      <c r="M694" s="3"/>
      <c r="N694" s="17"/>
      <c r="O694" s="17"/>
      <c r="P694" s="17"/>
      <c r="Q694" s="17"/>
      <c r="R694" s="17"/>
      <c r="S694" s="17"/>
      <c r="T694" s="17"/>
      <c r="U694" s="17"/>
      <c r="V694" s="17"/>
      <c r="AE694" s="2"/>
      <c r="AQ694" s="2"/>
      <c r="AR694" s="2"/>
      <c r="AS694" s="2"/>
      <c r="AT694" s="2"/>
      <c r="AU694" s="2"/>
      <c r="AV694" s="2"/>
      <c r="AW694" s="2"/>
      <c r="AX694" s="2"/>
      <c r="AY694" s="2"/>
    </row>
    <row r="695" spans="1:51" x14ac:dyDescent="0.25">
      <c r="A695" s="24">
        <v>44763</v>
      </c>
      <c r="B695" s="1">
        <v>44763</v>
      </c>
      <c r="C695">
        <v>2.13</v>
      </c>
      <c r="D695">
        <v>2.2400000000000002</v>
      </c>
      <c r="E695">
        <v>2.39</v>
      </c>
      <c r="F695">
        <v>2.5099999999999998</v>
      </c>
      <c r="G695">
        <v>2.7</v>
      </c>
      <c r="H695">
        <v>2.86</v>
      </c>
      <c r="I695">
        <v>3.04</v>
      </c>
      <c r="J695">
        <v>3.07</v>
      </c>
      <c r="K695">
        <v>3.23</v>
      </c>
      <c r="M695" s="3"/>
      <c r="N695" s="17"/>
      <c r="O695" s="17"/>
      <c r="P695" s="17"/>
      <c r="Q695" s="17"/>
      <c r="R695" s="17"/>
      <c r="S695" s="17"/>
      <c r="T695" s="17"/>
      <c r="U695" s="17"/>
      <c r="V695" s="17"/>
      <c r="AE695" s="2"/>
      <c r="AQ695" s="2"/>
      <c r="AR695" s="2"/>
      <c r="AS695" s="2"/>
      <c r="AT695" s="2"/>
      <c r="AU695" s="2"/>
      <c r="AV695" s="2"/>
      <c r="AW695" s="2"/>
      <c r="AX695" s="2"/>
      <c r="AY695" s="2"/>
    </row>
    <row r="696" spans="1:51" x14ac:dyDescent="0.25">
      <c r="A696" s="24">
        <v>44762</v>
      </c>
      <c r="B696" s="1">
        <v>44762</v>
      </c>
      <c r="C696">
        <v>1.4</v>
      </c>
      <c r="D696">
        <v>1.69</v>
      </c>
      <c r="E696">
        <v>1.89</v>
      </c>
      <c r="F696">
        <v>2.31</v>
      </c>
      <c r="G696">
        <v>2.61</v>
      </c>
      <c r="H696">
        <v>2.77</v>
      </c>
      <c r="I696">
        <v>3</v>
      </c>
      <c r="J696">
        <v>3.05</v>
      </c>
      <c r="K696">
        <v>3.24</v>
      </c>
      <c r="M696" s="3"/>
      <c r="N696" s="17"/>
      <c r="O696" s="17"/>
      <c r="P696" s="17"/>
      <c r="Q696" s="17"/>
      <c r="R696" s="17"/>
      <c r="S696" s="17"/>
      <c r="T696" s="17"/>
      <c r="U696" s="17"/>
      <c r="V696" s="17"/>
      <c r="AE696" s="2"/>
      <c r="AQ696" s="2"/>
      <c r="AR696" s="2"/>
      <c r="AS696" s="2"/>
      <c r="AT696" s="2"/>
      <c r="AU696" s="2"/>
      <c r="AV696" s="2"/>
      <c r="AW696" s="2"/>
      <c r="AX696" s="2"/>
      <c r="AY696" s="2"/>
    </row>
    <row r="697" spans="1:51" x14ac:dyDescent="0.25">
      <c r="A697" s="24">
        <v>44761</v>
      </c>
      <c r="B697" s="1">
        <v>44761</v>
      </c>
      <c r="C697">
        <v>1.1499999999999999</v>
      </c>
      <c r="D697">
        <v>1.57</v>
      </c>
      <c r="E697">
        <v>1.82</v>
      </c>
      <c r="F697">
        <v>2.27</v>
      </c>
      <c r="G697">
        <v>2.5299999999999998</v>
      </c>
      <c r="H697">
        <v>2.68</v>
      </c>
      <c r="I697">
        <v>2.83</v>
      </c>
      <c r="J697">
        <v>2.91</v>
      </c>
      <c r="K697">
        <v>3.07</v>
      </c>
      <c r="M697" s="3"/>
      <c r="N697" s="17"/>
      <c r="O697" s="17"/>
      <c r="P697" s="17"/>
      <c r="Q697" s="17"/>
      <c r="R697" s="17"/>
      <c r="S697" s="17"/>
      <c r="T697" s="17"/>
      <c r="U697" s="17"/>
      <c r="V697" s="17"/>
      <c r="AE697" s="2"/>
      <c r="AQ697" s="2"/>
      <c r="AR697" s="2"/>
      <c r="AS697" s="2"/>
      <c r="AT697" s="2"/>
      <c r="AU697" s="2"/>
      <c r="AV697" s="2"/>
      <c r="AW697" s="2"/>
      <c r="AX697" s="2"/>
      <c r="AY697" s="2"/>
    </row>
    <row r="698" spans="1:51" x14ac:dyDescent="0.25">
      <c r="A698" s="24">
        <v>44760</v>
      </c>
      <c r="B698" s="1">
        <v>44760</v>
      </c>
      <c r="C698">
        <v>0.99</v>
      </c>
      <c r="D698">
        <v>1.44</v>
      </c>
      <c r="E698">
        <v>1.79</v>
      </c>
      <c r="F698">
        <v>2.2999999999999998</v>
      </c>
      <c r="G698">
        <v>2.57</v>
      </c>
      <c r="H698">
        <v>2.7</v>
      </c>
      <c r="I698">
        <v>2.91</v>
      </c>
      <c r="J698">
        <v>3.05</v>
      </c>
      <c r="K698">
        <v>3.14</v>
      </c>
      <c r="M698" s="3"/>
      <c r="N698" s="17"/>
      <c r="O698" s="17"/>
      <c r="P698" s="17"/>
      <c r="Q698" s="17"/>
      <c r="R698" s="17"/>
      <c r="S698" s="17"/>
      <c r="T698" s="17"/>
      <c r="U698" s="17"/>
      <c r="V698" s="17"/>
      <c r="AE698" s="2"/>
      <c r="AQ698" s="2"/>
      <c r="AR698" s="2"/>
      <c r="AS698" s="2"/>
      <c r="AT698" s="2"/>
      <c r="AU698" s="2"/>
      <c r="AV698" s="2"/>
      <c r="AW698" s="2"/>
      <c r="AX698" s="2"/>
      <c r="AY698" s="2"/>
    </row>
    <row r="699" spans="1:51" x14ac:dyDescent="0.25">
      <c r="A699" s="24">
        <v>44757</v>
      </c>
      <c r="B699" s="1">
        <v>44757</v>
      </c>
      <c r="C699">
        <v>0.82</v>
      </c>
      <c r="D699">
        <v>1.32</v>
      </c>
      <c r="E699">
        <v>1.64</v>
      </c>
      <c r="F699">
        <v>1.98</v>
      </c>
      <c r="G699">
        <v>2.2599999999999998</v>
      </c>
      <c r="H699">
        <v>2.4</v>
      </c>
      <c r="I699">
        <v>2.62</v>
      </c>
      <c r="J699">
        <v>2.84</v>
      </c>
      <c r="K699">
        <v>3.03</v>
      </c>
      <c r="M699" s="3"/>
      <c r="N699" s="17"/>
      <c r="O699" s="17"/>
      <c r="P699" s="17"/>
      <c r="Q699" s="17"/>
      <c r="R699" s="17"/>
      <c r="S699" s="17"/>
      <c r="T699" s="17"/>
      <c r="U699" s="17"/>
      <c r="V699" s="17"/>
      <c r="AE699" s="2"/>
      <c r="AQ699" s="2"/>
      <c r="AR699" s="2"/>
      <c r="AS699" s="2"/>
      <c r="AT699" s="2"/>
      <c r="AU699" s="2"/>
      <c r="AV699" s="2"/>
      <c r="AW699" s="2"/>
      <c r="AX699" s="2"/>
      <c r="AY699" s="2"/>
    </row>
    <row r="700" spans="1:51" x14ac:dyDescent="0.25">
      <c r="A700" s="24">
        <v>44756</v>
      </c>
      <c r="B700" s="1">
        <v>44756</v>
      </c>
      <c r="C700">
        <v>0.8</v>
      </c>
      <c r="D700">
        <v>1.35</v>
      </c>
      <c r="E700">
        <v>1.68</v>
      </c>
      <c r="F700">
        <v>2.12</v>
      </c>
      <c r="G700">
        <v>2.37</v>
      </c>
      <c r="H700">
        <v>2.5299999999999998</v>
      </c>
      <c r="I700">
        <v>2.72</v>
      </c>
      <c r="J700">
        <v>2.88</v>
      </c>
      <c r="K700">
        <v>3.03</v>
      </c>
      <c r="M700" s="3"/>
      <c r="N700" s="17"/>
      <c r="O700" s="17"/>
      <c r="P700" s="17"/>
      <c r="Q700" s="17"/>
      <c r="R700" s="17"/>
      <c r="S700" s="17"/>
      <c r="T700" s="17"/>
      <c r="U700" s="17"/>
      <c r="V700" s="17"/>
      <c r="AE700" s="2"/>
      <c r="AQ700" s="2"/>
      <c r="AR700" s="2"/>
      <c r="AS700" s="2"/>
      <c r="AT700" s="2"/>
      <c r="AU700" s="2"/>
      <c r="AV700" s="2"/>
      <c r="AW700" s="2"/>
      <c r="AX700" s="2"/>
      <c r="AY700" s="2"/>
    </row>
    <row r="701" spans="1:51" x14ac:dyDescent="0.25">
      <c r="A701" s="24">
        <v>44755</v>
      </c>
      <c r="B701" s="1">
        <v>44755</v>
      </c>
      <c r="C701">
        <v>0.77</v>
      </c>
      <c r="D701">
        <v>1.33</v>
      </c>
      <c r="E701">
        <v>1.65</v>
      </c>
      <c r="F701">
        <v>2.2200000000000002</v>
      </c>
      <c r="G701">
        <v>2.4700000000000002</v>
      </c>
      <c r="H701">
        <v>2.62</v>
      </c>
      <c r="I701">
        <v>2.83</v>
      </c>
      <c r="J701">
        <v>2.91</v>
      </c>
      <c r="K701">
        <v>3.07</v>
      </c>
      <c r="M701" s="3"/>
      <c r="N701" s="17"/>
      <c r="O701" s="17"/>
      <c r="P701" s="17"/>
      <c r="Q701" s="17"/>
      <c r="R701" s="17"/>
      <c r="S701" s="17"/>
      <c r="T701" s="17"/>
      <c r="U701" s="17"/>
      <c r="V701" s="17"/>
      <c r="AE701" s="2"/>
      <c r="AQ701" s="2"/>
      <c r="AR701" s="2"/>
      <c r="AS701" s="2"/>
      <c r="AT701" s="2"/>
      <c r="AU701" s="2"/>
      <c r="AV701" s="2"/>
      <c r="AW701" s="2"/>
      <c r="AX701" s="2"/>
      <c r="AY701" s="2"/>
    </row>
    <row r="702" spans="1:51" x14ac:dyDescent="0.25">
      <c r="A702" s="24">
        <v>44754</v>
      </c>
      <c r="B702" s="1">
        <v>44754</v>
      </c>
      <c r="C702">
        <v>0.76</v>
      </c>
      <c r="D702">
        <v>1.34</v>
      </c>
      <c r="E702">
        <v>1.67</v>
      </c>
      <c r="F702">
        <v>2.17</v>
      </c>
      <c r="G702">
        <v>2.44</v>
      </c>
      <c r="H702">
        <v>2.6</v>
      </c>
      <c r="I702">
        <v>2.8</v>
      </c>
      <c r="J702">
        <v>2.9</v>
      </c>
      <c r="K702">
        <v>2.98</v>
      </c>
      <c r="M702" s="3"/>
      <c r="N702" s="17"/>
      <c r="O702" s="17"/>
      <c r="P702" s="17"/>
      <c r="Q702" s="17"/>
      <c r="R702" s="17"/>
      <c r="S702" s="17"/>
      <c r="T702" s="17"/>
      <c r="U702" s="17"/>
      <c r="V702" s="17"/>
      <c r="AE702" s="2"/>
      <c r="AQ702" s="2"/>
      <c r="AR702" s="2"/>
      <c r="AS702" s="2"/>
      <c r="AT702" s="2"/>
      <c r="AU702" s="2"/>
      <c r="AV702" s="2"/>
      <c r="AW702" s="2"/>
      <c r="AX702" s="2"/>
      <c r="AY702" s="2"/>
    </row>
    <row r="703" spans="1:51" x14ac:dyDescent="0.25">
      <c r="A703" s="24">
        <v>44753</v>
      </c>
      <c r="B703" s="1">
        <v>44753</v>
      </c>
      <c r="C703">
        <v>0.74</v>
      </c>
      <c r="D703">
        <v>1.36</v>
      </c>
      <c r="E703">
        <v>1.74</v>
      </c>
      <c r="F703">
        <v>2.2000000000000002</v>
      </c>
      <c r="G703">
        <v>2.44</v>
      </c>
      <c r="H703">
        <v>2.58</v>
      </c>
      <c r="I703">
        <v>2.78</v>
      </c>
      <c r="J703">
        <v>2.98</v>
      </c>
      <c r="K703">
        <v>3.08</v>
      </c>
      <c r="M703" s="3"/>
      <c r="N703" s="17"/>
      <c r="O703" s="17"/>
      <c r="P703" s="17"/>
      <c r="Q703" s="17"/>
      <c r="R703" s="17"/>
      <c r="S703" s="17"/>
      <c r="T703" s="17"/>
      <c r="U703" s="17"/>
      <c r="V703" s="17"/>
      <c r="AE703" s="2"/>
      <c r="AQ703" s="2"/>
      <c r="AR703" s="2"/>
      <c r="AS703" s="2"/>
      <c r="AT703" s="2"/>
      <c r="AU703" s="2"/>
      <c r="AV703" s="2"/>
      <c r="AW703" s="2"/>
      <c r="AX703" s="2"/>
      <c r="AY703" s="2"/>
    </row>
    <row r="704" spans="1:51" x14ac:dyDescent="0.25">
      <c r="A704" s="24">
        <v>44750</v>
      </c>
      <c r="B704" s="1">
        <v>44750</v>
      </c>
      <c r="C704">
        <v>0.8</v>
      </c>
      <c r="D704">
        <v>1.3</v>
      </c>
      <c r="E704">
        <v>1.62</v>
      </c>
      <c r="F704">
        <v>1.98</v>
      </c>
      <c r="G704">
        <v>2.2599999999999998</v>
      </c>
      <c r="H704">
        <v>2.42</v>
      </c>
      <c r="I704">
        <v>2.66</v>
      </c>
      <c r="J704">
        <v>2.8</v>
      </c>
      <c r="K704">
        <v>2.98</v>
      </c>
      <c r="M704" s="3"/>
      <c r="N704" s="17"/>
      <c r="O704" s="17"/>
      <c r="P704" s="17"/>
      <c r="Q704" s="17"/>
      <c r="R704" s="17"/>
      <c r="S704" s="17"/>
      <c r="T704" s="17"/>
      <c r="U704" s="17"/>
      <c r="V704" s="17"/>
      <c r="AE704" s="2"/>
      <c r="AQ704" s="2"/>
      <c r="AR704" s="2"/>
      <c r="AS704" s="2"/>
      <c r="AT704" s="2"/>
      <c r="AU704" s="2"/>
      <c r="AV704" s="2"/>
      <c r="AW704" s="2"/>
      <c r="AX704" s="2"/>
      <c r="AY704" s="2"/>
    </row>
    <row r="705" spans="1:51" x14ac:dyDescent="0.25">
      <c r="A705" s="24">
        <v>44749</v>
      </c>
      <c r="B705" s="1">
        <v>44749</v>
      </c>
      <c r="C705">
        <v>0.74</v>
      </c>
      <c r="D705">
        <v>1.33</v>
      </c>
      <c r="E705">
        <v>1.67</v>
      </c>
      <c r="F705">
        <v>2.11</v>
      </c>
      <c r="G705">
        <v>2.37</v>
      </c>
      <c r="H705">
        <v>2.5099999999999998</v>
      </c>
      <c r="I705">
        <v>2.71</v>
      </c>
      <c r="J705">
        <v>2.9</v>
      </c>
      <c r="K705">
        <v>3.01</v>
      </c>
      <c r="M705" s="3"/>
      <c r="N705" s="17"/>
      <c r="O705" s="17"/>
      <c r="P705" s="17"/>
      <c r="Q705" s="17"/>
      <c r="R705" s="17"/>
      <c r="S705" s="17"/>
      <c r="T705" s="17"/>
      <c r="U705" s="17"/>
      <c r="V705" s="17"/>
      <c r="AE705" s="2"/>
      <c r="AQ705" s="2"/>
      <c r="AR705" s="2"/>
      <c r="AS705" s="2"/>
      <c r="AT705" s="2"/>
      <c r="AU705" s="2"/>
      <c r="AV705" s="2"/>
      <c r="AW705" s="2"/>
      <c r="AX705" s="2"/>
      <c r="AY705" s="2"/>
    </row>
    <row r="706" spans="1:51" x14ac:dyDescent="0.25">
      <c r="A706" s="24">
        <v>44748</v>
      </c>
      <c r="B706" s="1">
        <v>44748</v>
      </c>
      <c r="C706">
        <v>0.88</v>
      </c>
      <c r="D706">
        <v>1.35</v>
      </c>
      <c r="E706">
        <v>1.7</v>
      </c>
      <c r="F706">
        <v>2.08</v>
      </c>
      <c r="G706">
        <v>2.38</v>
      </c>
      <c r="H706">
        <v>2.5299999999999998</v>
      </c>
      <c r="I706">
        <v>2.75</v>
      </c>
      <c r="J706">
        <v>2.86</v>
      </c>
      <c r="K706">
        <v>2.98</v>
      </c>
      <c r="M706" s="3"/>
      <c r="N706" s="17"/>
      <c r="O706" s="17"/>
      <c r="P706" s="17"/>
      <c r="Q706" s="17"/>
      <c r="R706" s="17"/>
      <c r="S706" s="17"/>
      <c r="T706" s="17"/>
      <c r="U706" s="17"/>
      <c r="V706" s="17"/>
      <c r="AE706" s="2"/>
      <c r="AQ706" s="2"/>
      <c r="AR706" s="2"/>
      <c r="AS706" s="2"/>
      <c r="AT706" s="2"/>
      <c r="AU706" s="2"/>
      <c r="AV706" s="2"/>
      <c r="AW706" s="2"/>
      <c r="AX706" s="2"/>
      <c r="AY706" s="2"/>
    </row>
    <row r="707" spans="1:51" x14ac:dyDescent="0.25">
      <c r="A707" s="24">
        <v>44747</v>
      </c>
      <c r="B707" s="1">
        <v>44747</v>
      </c>
      <c r="C707">
        <v>0.9</v>
      </c>
      <c r="D707">
        <v>1.38</v>
      </c>
      <c r="E707">
        <v>1.68</v>
      </c>
      <c r="F707">
        <v>2.2200000000000002</v>
      </c>
      <c r="G707">
        <v>2.5</v>
      </c>
      <c r="H707">
        <v>2.6</v>
      </c>
      <c r="I707">
        <v>2.82</v>
      </c>
      <c r="J707">
        <v>2.93</v>
      </c>
      <c r="K707">
        <v>3.06</v>
      </c>
      <c r="M707" s="3"/>
      <c r="N707" s="17"/>
      <c r="O707" s="17"/>
      <c r="P707" s="17"/>
      <c r="Q707" s="17"/>
      <c r="R707" s="17"/>
      <c r="S707" s="17"/>
      <c r="T707" s="17"/>
      <c r="U707" s="17"/>
      <c r="V707" s="17"/>
      <c r="AE707" s="2"/>
      <c r="AQ707" s="2"/>
      <c r="AR707" s="2"/>
      <c r="AS707" s="2"/>
      <c r="AT707" s="2"/>
      <c r="AU707" s="2"/>
      <c r="AV707" s="2"/>
      <c r="AW707" s="2"/>
      <c r="AX707" s="2"/>
      <c r="AY707" s="2"/>
    </row>
    <row r="708" spans="1:51" x14ac:dyDescent="0.25">
      <c r="A708" s="24">
        <v>44746</v>
      </c>
      <c r="B708" s="1">
        <v>44746</v>
      </c>
      <c r="C708">
        <v>0.9</v>
      </c>
      <c r="D708">
        <v>1.4</v>
      </c>
      <c r="E708">
        <v>1.72</v>
      </c>
      <c r="F708">
        <v>2.0499999999999998</v>
      </c>
      <c r="G708">
        <v>2.35</v>
      </c>
      <c r="H708">
        <v>2.48</v>
      </c>
      <c r="I708">
        <v>2.7</v>
      </c>
      <c r="J708">
        <v>2.84</v>
      </c>
      <c r="K708">
        <v>3.02</v>
      </c>
      <c r="M708" s="3"/>
      <c r="N708" s="17"/>
      <c r="O708" s="17"/>
      <c r="P708" s="17"/>
      <c r="Q708" s="17"/>
      <c r="R708" s="17"/>
      <c r="S708" s="17"/>
      <c r="T708" s="17"/>
      <c r="U708" s="17"/>
      <c r="V708" s="17"/>
      <c r="AE708" s="2"/>
      <c r="AQ708" s="2"/>
      <c r="AR708" s="2"/>
      <c r="AS708" s="2"/>
      <c r="AT708" s="2"/>
      <c r="AU708" s="2"/>
      <c r="AV708" s="2"/>
      <c r="AW708" s="2"/>
      <c r="AX708" s="2"/>
      <c r="AY708" s="2"/>
    </row>
    <row r="709" spans="1:51" x14ac:dyDescent="0.25">
      <c r="A709" s="24">
        <v>44743</v>
      </c>
      <c r="B709" s="1">
        <v>44743</v>
      </c>
      <c r="C709">
        <v>0.84</v>
      </c>
      <c r="D709">
        <v>1.4</v>
      </c>
      <c r="E709">
        <v>1.68</v>
      </c>
      <c r="F709">
        <v>2.1</v>
      </c>
      <c r="G709">
        <v>2.42</v>
      </c>
      <c r="H709">
        <v>2.56</v>
      </c>
      <c r="I709">
        <v>2.82</v>
      </c>
      <c r="J709">
        <v>2.98</v>
      </c>
      <c r="K709">
        <v>3.12</v>
      </c>
      <c r="M709" s="3"/>
      <c r="N709" s="17"/>
      <c r="O709" s="17"/>
      <c r="P709" s="17"/>
      <c r="Q709" s="17"/>
      <c r="R709" s="17"/>
      <c r="S709" s="17"/>
      <c r="T709" s="17"/>
      <c r="U709" s="17"/>
      <c r="V709" s="17"/>
      <c r="AE709" s="2"/>
      <c r="AQ709" s="2"/>
      <c r="AR709" s="2"/>
      <c r="AS709" s="2"/>
      <c r="AT709" s="2"/>
      <c r="AU709" s="2"/>
      <c r="AV709" s="2"/>
      <c r="AW709" s="2"/>
      <c r="AX709" s="2"/>
      <c r="AY709" s="2"/>
    </row>
    <row r="710" spans="1:51" x14ac:dyDescent="0.25">
      <c r="A710" s="24">
        <v>44742</v>
      </c>
      <c r="B710" s="1">
        <v>44742</v>
      </c>
      <c r="C710">
        <v>0.81</v>
      </c>
      <c r="D710">
        <v>1.25</v>
      </c>
      <c r="E710">
        <v>1.63</v>
      </c>
      <c r="F710">
        <v>1.98</v>
      </c>
      <c r="G710">
        <v>2.27</v>
      </c>
      <c r="H710">
        <v>2.4</v>
      </c>
      <c r="I710">
        <v>2.68</v>
      </c>
      <c r="J710">
        <v>2.78</v>
      </c>
      <c r="K710">
        <v>2.98</v>
      </c>
      <c r="M710" s="3"/>
      <c r="N710" s="17"/>
      <c r="O710" s="17"/>
      <c r="P710" s="17"/>
      <c r="Q710" s="17"/>
      <c r="R710" s="17"/>
      <c r="S710" s="17"/>
      <c r="T710" s="17"/>
      <c r="U710" s="17"/>
      <c r="V710" s="17"/>
      <c r="AE710" s="2"/>
      <c r="AQ710" s="2"/>
      <c r="AR710" s="2"/>
      <c r="AS710" s="2"/>
      <c r="AT710" s="2"/>
      <c r="AU710" s="2"/>
      <c r="AV710" s="2"/>
      <c r="AW710" s="2"/>
      <c r="AX710" s="2"/>
      <c r="AY710" s="2"/>
    </row>
    <row r="711" spans="1:51" x14ac:dyDescent="0.25">
      <c r="A711" s="24">
        <v>44741</v>
      </c>
      <c r="B711" s="1">
        <v>44741</v>
      </c>
      <c r="C711">
        <v>0.73</v>
      </c>
      <c r="D711">
        <v>1.26</v>
      </c>
      <c r="E711">
        <v>1.7</v>
      </c>
      <c r="F711">
        <v>2.0699999999999998</v>
      </c>
      <c r="G711">
        <v>2.4</v>
      </c>
      <c r="H711">
        <v>2.52</v>
      </c>
      <c r="I711">
        <v>2.8</v>
      </c>
      <c r="J711">
        <v>2.85</v>
      </c>
      <c r="K711">
        <v>2.98</v>
      </c>
      <c r="M711" s="3"/>
      <c r="N711" s="17"/>
      <c r="O711" s="17"/>
      <c r="P711" s="17"/>
      <c r="Q711" s="17"/>
      <c r="R711" s="17"/>
      <c r="S711" s="17"/>
      <c r="T711" s="17"/>
      <c r="U711" s="17"/>
      <c r="V711" s="17"/>
      <c r="AE711" s="2"/>
      <c r="AQ711" s="2"/>
      <c r="AR711" s="2"/>
      <c r="AS711" s="2"/>
      <c r="AT711" s="2"/>
      <c r="AU711" s="2"/>
      <c r="AV711" s="2"/>
      <c r="AW711" s="2"/>
      <c r="AX711" s="2"/>
      <c r="AY711" s="2"/>
    </row>
    <row r="712" spans="1:51" x14ac:dyDescent="0.25">
      <c r="A712" s="24">
        <v>44740</v>
      </c>
      <c r="B712" s="1">
        <v>44740</v>
      </c>
      <c r="C712">
        <v>0.7</v>
      </c>
      <c r="D712">
        <v>1.24</v>
      </c>
      <c r="E712">
        <v>1.6</v>
      </c>
      <c r="F712">
        <v>2.19</v>
      </c>
      <c r="G712">
        <v>2.4</v>
      </c>
      <c r="H712">
        <v>2.5</v>
      </c>
      <c r="I712">
        <v>2.76</v>
      </c>
      <c r="J712">
        <v>2.88</v>
      </c>
      <c r="K712">
        <v>3</v>
      </c>
      <c r="M712" s="3"/>
      <c r="N712" s="17"/>
      <c r="O712" s="17"/>
      <c r="P712" s="17"/>
      <c r="Q712" s="17"/>
      <c r="R712" s="17"/>
      <c r="S712" s="17"/>
      <c r="T712" s="17"/>
      <c r="U712" s="17"/>
      <c r="V712" s="17"/>
      <c r="AE712" s="2"/>
      <c r="AQ712" s="2"/>
      <c r="AR712" s="2"/>
      <c r="AS712" s="2"/>
      <c r="AT712" s="2"/>
      <c r="AU712" s="2"/>
      <c r="AV712" s="2"/>
      <c r="AW712" s="2"/>
      <c r="AX712" s="2"/>
      <c r="AY712" s="2"/>
    </row>
    <row r="713" spans="1:51" x14ac:dyDescent="0.25">
      <c r="A713" s="24">
        <v>44739</v>
      </c>
      <c r="B713" s="1">
        <v>44739</v>
      </c>
      <c r="C713">
        <v>0.72</v>
      </c>
      <c r="D713">
        <v>1.27</v>
      </c>
      <c r="E713">
        <v>1.68</v>
      </c>
      <c r="F713">
        <v>2.08</v>
      </c>
      <c r="G713">
        <v>2.37</v>
      </c>
      <c r="H713">
        <v>2.48</v>
      </c>
      <c r="I713">
        <v>2.75</v>
      </c>
      <c r="J713">
        <v>2.82</v>
      </c>
      <c r="K713">
        <v>2.94</v>
      </c>
      <c r="M713" s="3"/>
      <c r="N713" s="17"/>
      <c r="O713" s="17"/>
      <c r="P713" s="17"/>
      <c r="Q713" s="17"/>
      <c r="R713" s="17"/>
      <c r="S713" s="17"/>
      <c r="T713" s="17"/>
      <c r="U713" s="17"/>
      <c r="V713" s="17"/>
      <c r="AE713" s="2"/>
      <c r="AQ713" s="2"/>
      <c r="AR713" s="2"/>
      <c r="AS713" s="2"/>
      <c r="AT713" s="2"/>
      <c r="AU713" s="2"/>
      <c r="AV713" s="2"/>
      <c r="AW713" s="2"/>
      <c r="AX713" s="2"/>
      <c r="AY713" s="2"/>
    </row>
    <row r="714" spans="1:51" x14ac:dyDescent="0.25">
      <c r="A714" s="24">
        <v>44736</v>
      </c>
      <c r="B714" s="1">
        <v>44736</v>
      </c>
      <c r="C714">
        <v>0.64</v>
      </c>
      <c r="D714">
        <v>1.24</v>
      </c>
      <c r="E714">
        <v>1.71</v>
      </c>
      <c r="F714">
        <v>2.16</v>
      </c>
      <c r="G714">
        <v>2.4700000000000002</v>
      </c>
      <c r="H714">
        <v>2.59</v>
      </c>
      <c r="I714">
        <v>2.83</v>
      </c>
      <c r="J714">
        <v>2.92</v>
      </c>
      <c r="K714">
        <v>3.06</v>
      </c>
      <c r="M714" s="3"/>
      <c r="N714" s="17"/>
      <c r="O714" s="17"/>
      <c r="P714" s="17"/>
      <c r="Q714" s="17"/>
      <c r="R714" s="17"/>
      <c r="S714" s="17"/>
      <c r="T714" s="17"/>
      <c r="U714" s="17"/>
      <c r="V714" s="17"/>
      <c r="AE714" s="2"/>
      <c r="AQ714" s="2"/>
      <c r="AR714" s="2"/>
      <c r="AS714" s="2"/>
      <c r="AT714" s="2"/>
      <c r="AU714" s="2"/>
      <c r="AV714" s="2"/>
      <c r="AW714" s="2"/>
      <c r="AX714" s="2"/>
      <c r="AY714" s="2"/>
    </row>
    <row r="715" spans="1:51" x14ac:dyDescent="0.25">
      <c r="A715" s="24">
        <v>44735</v>
      </c>
      <c r="B715" s="1">
        <v>44735</v>
      </c>
      <c r="C715">
        <v>0.54</v>
      </c>
      <c r="D715">
        <v>1.1299999999999999</v>
      </c>
      <c r="E715">
        <v>1.65</v>
      </c>
      <c r="F715">
        <v>2.11</v>
      </c>
      <c r="G715">
        <v>2.38</v>
      </c>
      <c r="H715">
        <v>2.5499999999999998</v>
      </c>
      <c r="I715">
        <v>2.78</v>
      </c>
      <c r="J715">
        <v>2.88</v>
      </c>
      <c r="K715">
        <v>3.03</v>
      </c>
      <c r="M715" s="3"/>
      <c r="N715" s="17"/>
      <c r="O715" s="17"/>
      <c r="P715" s="17"/>
      <c r="Q715" s="17"/>
      <c r="R715" s="17"/>
      <c r="S715" s="17"/>
      <c r="T715" s="17"/>
      <c r="U715" s="17"/>
      <c r="V715" s="17"/>
      <c r="AE715" s="2"/>
      <c r="AQ715" s="2"/>
      <c r="AR715" s="2"/>
      <c r="AS715" s="2"/>
      <c r="AT715" s="2"/>
      <c r="AU715" s="2"/>
      <c r="AV715" s="2"/>
      <c r="AW715" s="2"/>
      <c r="AX715" s="2"/>
      <c r="AY715" s="2"/>
    </row>
    <row r="716" spans="1:51" x14ac:dyDescent="0.25">
      <c r="A716" s="24">
        <v>44734</v>
      </c>
      <c r="B716" s="1">
        <v>44734</v>
      </c>
      <c r="C716">
        <v>0.46</v>
      </c>
      <c r="D716">
        <v>1.17</v>
      </c>
      <c r="E716">
        <v>1.71</v>
      </c>
      <c r="F716">
        <v>2.14</v>
      </c>
      <c r="G716">
        <v>2.46</v>
      </c>
      <c r="H716">
        <v>2.54</v>
      </c>
      <c r="I716">
        <v>2.79</v>
      </c>
      <c r="J716">
        <v>2.88</v>
      </c>
      <c r="K716">
        <v>3.02</v>
      </c>
      <c r="M716" s="3"/>
      <c r="N716" s="17"/>
      <c r="O716" s="17"/>
      <c r="P716" s="17"/>
      <c r="Q716" s="17"/>
      <c r="R716" s="17"/>
      <c r="S716" s="17"/>
      <c r="T716" s="17"/>
      <c r="U716" s="17"/>
      <c r="V716" s="17"/>
      <c r="AE716" s="2"/>
      <c r="AQ716" s="2"/>
      <c r="AR716" s="2"/>
      <c r="AS716" s="2"/>
      <c r="AT716" s="2"/>
      <c r="AU716" s="2"/>
      <c r="AV716" s="2"/>
      <c r="AW716" s="2"/>
      <c r="AX716" s="2"/>
      <c r="AY716" s="2"/>
    </row>
    <row r="717" spans="1:51" x14ac:dyDescent="0.25">
      <c r="A717" s="24">
        <v>44733</v>
      </c>
      <c r="B717" s="1">
        <v>44733</v>
      </c>
      <c r="C717">
        <v>0.43</v>
      </c>
      <c r="D717">
        <v>1.1499999999999999</v>
      </c>
      <c r="E717">
        <v>1.67</v>
      </c>
      <c r="F717">
        <v>2.15</v>
      </c>
      <c r="G717">
        <v>2.4300000000000002</v>
      </c>
      <c r="H717">
        <v>2.58</v>
      </c>
      <c r="I717">
        <v>2.8</v>
      </c>
      <c r="J717">
        <v>2.89</v>
      </c>
      <c r="K717">
        <v>3.02</v>
      </c>
      <c r="M717" s="3"/>
      <c r="N717" s="17"/>
      <c r="O717" s="17"/>
      <c r="P717" s="17"/>
      <c r="Q717" s="17"/>
      <c r="R717" s="17"/>
      <c r="S717" s="17"/>
      <c r="T717" s="17"/>
      <c r="U717" s="17"/>
      <c r="V717" s="17"/>
      <c r="AE717" s="2"/>
      <c r="AQ717" s="2"/>
      <c r="AR717" s="2"/>
      <c r="AS717" s="2"/>
      <c r="AT717" s="2"/>
      <c r="AU717" s="2"/>
      <c r="AV717" s="2"/>
      <c r="AW717" s="2"/>
      <c r="AX717" s="2"/>
      <c r="AY717" s="2"/>
    </row>
    <row r="718" spans="1:51" x14ac:dyDescent="0.25">
      <c r="A718" s="24">
        <v>44732</v>
      </c>
      <c r="B718" s="1">
        <v>44732</v>
      </c>
      <c r="C718">
        <v>0.43</v>
      </c>
      <c r="D718">
        <v>1.1299999999999999</v>
      </c>
      <c r="E718">
        <v>1.65</v>
      </c>
      <c r="F718">
        <v>2.16</v>
      </c>
      <c r="G718">
        <v>2.4500000000000002</v>
      </c>
      <c r="H718">
        <v>2.6</v>
      </c>
      <c r="I718">
        <v>2.78</v>
      </c>
      <c r="J718">
        <v>2.86</v>
      </c>
      <c r="K718">
        <v>2.96</v>
      </c>
      <c r="M718" s="3"/>
      <c r="N718" s="17"/>
      <c r="O718" s="17"/>
      <c r="P718" s="17"/>
      <c r="Q718" s="17"/>
      <c r="R718" s="17"/>
      <c r="S718" s="17"/>
      <c r="T718" s="17"/>
      <c r="U718" s="17"/>
      <c r="V718" s="17"/>
      <c r="AE718" s="2"/>
      <c r="AQ718" s="2"/>
      <c r="AR718" s="2"/>
      <c r="AS718" s="2"/>
      <c r="AT718" s="2"/>
      <c r="AU718" s="2"/>
      <c r="AV718" s="2"/>
      <c r="AW718" s="2"/>
      <c r="AX718" s="2"/>
      <c r="AY718" s="2"/>
    </row>
    <row r="719" spans="1:51" x14ac:dyDescent="0.25">
      <c r="A719" s="24">
        <v>44729</v>
      </c>
      <c r="B719" s="1">
        <v>44729</v>
      </c>
      <c r="C719">
        <v>0.39</v>
      </c>
      <c r="D719">
        <v>1.07</v>
      </c>
      <c r="E719">
        <v>1.5</v>
      </c>
      <c r="F719">
        <v>2.15</v>
      </c>
      <c r="G719">
        <v>2.44</v>
      </c>
      <c r="H719">
        <v>2.59</v>
      </c>
      <c r="I719">
        <v>2.79</v>
      </c>
      <c r="J719">
        <v>2.88</v>
      </c>
      <c r="K719">
        <v>2.97</v>
      </c>
      <c r="M719" s="3"/>
      <c r="N719" s="17"/>
      <c r="O719" s="17"/>
      <c r="P719" s="17"/>
      <c r="Q719" s="17"/>
      <c r="R719" s="17"/>
      <c r="S719" s="17"/>
      <c r="T719" s="17"/>
      <c r="U719" s="17"/>
      <c r="V719" s="17"/>
      <c r="AE719" s="2"/>
      <c r="AQ719" s="2"/>
      <c r="AR719" s="2"/>
      <c r="AS719" s="2"/>
      <c r="AT719" s="2"/>
      <c r="AU719" s="2"/>
      <c r="AV719" s="2"/>
      <c r="AW719" s="2"/>
      <c r="AX719" s="2"/>
      <c r="AY719" s="2"/>
    </row>
    <row r="720" spans="1:51" x14ac:dyDescent="0.25">
      <c r="A720" s="24">
        <v>44728</v>
      </c>
      <c r="B720" s="1">
        <v>44728</v>
      </c>
      <c r="C720">
        <v>0.4</v>
      </c>
      <c r="D720">
        <v>1.0900000000000001</v>
      </c>
      <c r="E720">
        <v>1.53</v>
      </c>
      <c r="F720">
        <v>2.11</v>
      </c>
      <c r="G720">
        <v>2.33</v>
      </c>
      <c r="H720">
        <v>2.48</v>
      </c>
      <c r="I720">
        <v>2.69</v>
      </c>
      <c r="J720">
        <v>2.86</v>
      </c>
      <c r="K720">
        <v>2.97</v>
      </c>
      <c r="M720" s="3"/>
      <c r="N720" s="17"/>
      <c r="O720" s="17"/>
      <c r="P720" s="17"/>
      <c r="Q720" s="17"/>
      <c r="R720" s="17"/>
      <c r="S720" s="17"/>
      <c r="T720" s="17"/>
      <c r="U720" s="17"/>
      <c r="V720" s="17"/>
      <c r="AE720" s="2"/>
      <c r="AQ720" s="2"/>
      <c r="AR720" s="2"/>
      <c r="AS720" s="2"/>
      <c r="AT720" s="2"/>
      <c r="AU720" s="2"/>
      <c r="AV720" s="2"/>
      <c r="AW720" s="2"/>
      <c r="AX720" s="2"/>
      <c r="AY720" s="2"/>
    </row>
    <row r="721" spans="1:51" x14ac:dyDescent="0.25">
      <c r="A721" s="24">
        <v>44727</v>
      </c>
      <c r="B721" s="1">
        <v>44727</v>
      </c>
      <c r="C721">
        <v>0.43</v>
      </c>
      <c r="D721">
        <v>1.1100000000000001</v>
      </c>
      <c r="E721">
        <v>1.51</v>
      </c>
      <c r="F721">
        <v>2.06</v>
      </c>
      <c r="G721">
        <v>2.37</v>
      </c>
      <c r="H721">
        <v>2.4900000000000002</v>
      </c>
      <c r="I721">
        <v>2.71</v>
      </c>
      <c r="J721">
        <v>2.86</v>
      </c>
      <c r="K721">
        <v>2.95</v>
      </c>
      <c r="M721" s="3"/>
      <c r="N721" s="17"/>
      <c r="O721" s="17"/>
      <c r="P721" s="17"/>
      <c r="Q721" s="17"/>
      <c r="R721" s="17"/>
      <c r="S721" s="17"/>
      <c r="T721" s="17"/>
      <c r="U721" s="17"/>
      <c r="V721" s="17"/>
      <c r="AE721" s="2"/>
      <c r="AQ721" s="2"/>
      <c r="AR721" s="2"/>
      <c r="AS721" s="2"/>
      <c r="AT721" s="2"/>
      <c r="AU721" s="2"/>
      <c r="AV721" s="2"/>
      <c r="AW721" s="2"/>
      <c r="AX721" s="2"/>
      <c r="AY721" s="2"/>
    </row>
    <row r="722" spans="1:51" x14ac:dyDescent="0.25">
      <c r="A722" s="24">
        <v>44726</v>
      </c>
      <c r="B722" s="1">
        <v>44726</v>
      </c>
      <c r="C722">
        <v>0.44</v>
      </c>
      <c r="D722">
        <v>1.06</v>
      </c>
      <c r="E722">
        <v>1.54</v>
      </c>
      <c r="F722">
        <v>2.09</v>
      </c>
      <c r="G722">
        <v>2.33</v>
      </c>
      <c r="H722">
        <v>2.48</v>
      </c>
      <c r="I722">
        <v>2.69</v>
      </c>
      <c r="J722">
        <v>2.86</v>
      </c>
      <c r="K722">
        <v>2.97</v>
      </c>
      <c r="M722" s="3"/>
      <c r="N722" s="17"/>
      <c r="O722" s="17"/>
      <c r="P722" s="17"/>
      <c r="Q722" s="17"/>
      <c r="R722" s="17"/>
      <c r="S722" s="17"/>
      <c r="T722" s="17"/>
      <c r="U722" s="17"/>
      <c r="V722" s="17"/>
      <c r="AE722" s="2"/>
      <c r="AQ722" s="2"/>
      <c r="AR722" s="2"/>
      <c r="AS722" s="2"/>
      <c r="AT722" s="2"/>
      <c r="AU722" s="2"/>
      <c r="AV722" s="2"/>
      <c r="AW722" s="2"/>
      <c r="AX722" s="2"/>
      <c r="AY722" s="2"/>
    </row>
    <row r="723" spans="1:51" x14ac:dyDescent="0.25">
      <c r="A723" s="24">
        <v>44725</v>
      </c>
      <c r="B723" s="1">
        <v>44725</v>
      </c>
      <c r="C723">
        <v>0.45</v>
      </c>
      <c r="D723">
        <v>1.1399999999999999</v>
      </c>
      <c r="E723">
        <v>1.54</v>
      </c>
      <c r="F723">
        <v>2.0299999999999998</v>
      </c>
      <c r="G723">
        <v>2.2999999999999998</v>
      </c>
      <c r="H723">
        <v>2.42</v>
      </c>
      <c r="I723">
        <v>2.64</v>
      </c>
      <c r="J723">
        <v>2.73</v>
      </c>
      <c r="K723">
        <v>2.87</v>
      </c>
      <c r="M723" s="3"/>
      <c r="N723" s="17"/>
      <c r="O723" s="17"/>
      <c r="P723" s="17"/>
      <c r="Q723" s="17"/>
      <c r="R723" s="17"/>
      <c r="S723" s="17"/>
      <c r="T723" s="17"/>
      <c r="U723" s="17"/>
      <c r="V723" s="17"/>
      <c r="AE723" s="2"/>
      <c r="AQ723" s="2"/>
      <c r="AR723" s="2"/>
      <c r="AS723" s="2"/>
      <c r="AT723" s="2"/>
      <c r="AU723" s="2"/>
      <c r="AV723" s="2"/>
      <c r="AW723" s="2"/>
      <c r="AX723" s="2"/>
      <c r="AY723" s="2"/>
    </row>
    <row r="724" spans="1:51" x14ac:dyDescent="0.25">
      <c r="A724" s="24">
        <v>44722</v>
      </c>
      <c r="B724" s="1">
        <v>44722</v>
      </c>
      <c r="C724">
        <v>0.44</v>
      </c>
      <c r="D724">
        <v>1.1200000000000001</v>
      </c>
      <c r="E724">
        <v>1.52</v>
      </c>
      <c r="F724">
        <v>2.02</v>
      </c>
      <c r="G724">
        <v>2.2999999999999998</v>
      </c>
      <c r="H724">
        <v>2.4300000000000002</v>
      </c>
      <c r="I724">
        <v>2.69</v>
      </c>
      <c r="J724">
        <v>2.76</v>
      </c>
      <c r="K724">
        <v>2.89</v>
      </c>
      <c r="M724" s="3"/>
      <c r="N724" s="17"/>
      <c r="O724" s="17"/>
      <c r="P724" s="17"/>
      <c r="Q724" s="17"/>
      <c r="R724" s="17"/>
      <c r="S724" s="17"/>
      <c r="T724" s="17"/>
      <c r="U724" s="17"/>
      <c r="V724" s="17"/>
      <c r="AE724" s="2"/>
      <c r="AQ724" s="2"/>
      <c r="AR724" s="2"/>
      <c r="AS724" s="2"/>
      <c r="AT724" s="2"/>
      <c r="AU724" s="2"/>
      <c r="AV724" s="2"/>
      <c r="AW724" s="2"/>
      <c r="AX724" s="2"/>
      <c r="AY724" s="2"/>
    </row>
    <row r="725" spans="1:51" x14ac:dyDescent="0.25">
      <c r="A725" s="24">
        <v>44721</v>
      </c>
      <c r="B725" s="1">
        <v>44721</v>
      </c>
      <c r="C725">
        <v>0.46</v>
      </c>
      <c r="D725">
        <v>1.1200000000000001</v>
      </c>
      <c r="E725">
        <v>1.52</v>
      </c>
      <c r="F725">
        <v>2.02</v>
      </c>
      <c r="G725">
        <v>2.2999999999999998</v>
      </c>
      <c r="H725">
        <v>2.4300000000000002</v>
      </c>
      <c r="I725">
        <v>2.69</v>
      </c>
      <c r="J725">
        <v>2.76</v>
      </c>
      <c r="K725">
        <v>2.89</v>
      </c>
      <c r="M725" s="3"/>
      <c r="N725" s="17"/>
      <c r="O725" s="17"/>
      <c r="P725" s="17"/>
      <c r="Q725" s="17"/>
      <c r="R725" s="17"/>
      <c r="S725" s="17"/>
      <c r="T725" s="17"/>
      <c r="U725" s="17"/>
      <c r="V725" s="17"/>
      <c r="AE725" s="2"/>
      <c r="AQ725" s="2"/>
      <c r="AR725" s="2"/>
      <c r="AS725" s="2"/>
      <c r="AT725" s="2"/>
      <c r="AU725" s="2"/>
      <c r="AV725" s="2"/>
      <c r="AW725" s="2"/>
      <c r="AX725" s="2"/>
      <c r="AY725" s="2"/>
    </row>
    <row r="726" spans="1:51" x14ac:dyDescent="0.25">
      <c r="A726" s="24">
        <v>44720</v>
      </c>
      <c r="B726" s="1">
        <v>44720</v>
      </c>
      <c r="C726">
        <v>0.46</v>
      </c>
      <c r="D726">
        <v>1.08</v>
      </c>
      <c r="E726">
        <v>1.6</v>
      </c>
      <c r="F726">
        <v>2</v>
      </c>
      <c r="G726">
        <v>2.2999999999999998</v>
      </c>
      <c r="H726">
        <v>2.4300000000000002</v>
      </c>
      <c r="I726">
        <v>2.69</v>
      </c>
      <c r="J726">
        <v>2.76</v>
      </c>
      <c r="K726">
        <v>2.89</v>
      </c>
      <c r="M726" s="3"/>
      <c r="N726" s="17"/>
      <c r="O726" s="17"/>
      <c r="P726" s="17"/>
      <c r="Q726" s="17"/>
      <c r="R726" s="17"/>
      <c r="S726" s="17"/>
      <c r="T726" s="17"/>
      <c r="U726" s="17"/>
      <c r="V726" s="17"/>
      <c r="AE726" s="2"/>
      <c r="AQ726" s="2"/>
      <c r="AR726" s="2"/>
      <c r="AS726" s="2"/>
      <c r="AT726" s="2"/>
      <c r="AU726" s="2"/>
      <c r="AV726" s="2"/>
      <c r="AW726" s="2"/>
      <c r="AX726" s="2"/>
      <c r="AY726" s="2"/>
    </row>
    <row r="727" spans="1:51" x14ac:dyDescent="0.25">
      <c r="A727" s="24">
        <v>44719</v>
      </c>
      <c r="B727" s="1">
        <v>44719</v>
      </c>
      <c r="C727">
        <v>0.48</v>
      </c>
      <c r="D727">
        <v>1.1299999999999999</v>
      </c>
      <c r="E727">
        <v>1.58</v>
      </c>
      <c r="F727">
        <v>2.06</v>
      </c>
      <c r="G727">
        <v>2.4</v>
      </c>
      <c r="H727">
        <v>2.5099999999999998</v>
      </c>
      <c r="I727">
        <v>2.74</v>
      </c>
      <c r="J727">
        <v>2.83</v>
      </c>
      <c r="K727">
        <v>2.94</v>
      </c>
      <c r="M727" s="3"/>
      <c r="N727" s="17"/>
      <c r="O727" s="17"/>
      <c r="P727" s="17"/>
      <c r="Q727" s="17"/>
      <c r="R727" s="17"/>
      <c r="S727" s="17"/>
      <c r="T727" s="17"/>
      <c r="U727" s="17"/>
      <c r="V727" s="17"/>
      <c r="AE727" s="2"/>
      <c r="AQ727" s="2"/>
      <c r="AR727" s="2"/>
      <c r="AS727" s="2"/>
      <c r="AT727" s="2"/>
      <c r="AU727" s="2"/>
      <c r="AV727" s="2"/>
      <c r="AW727" s="2"/>
      <c r="AX727" s="2"/>
      <c r="AY727" s="2"/>
    </row>
    <row r="728" spans="1:51" x14ac:dyDescent="0.25">
      <c r="A728" s="24">
        <v>44718</v>
      </c>
      <c r="B728" s="1">
        <v>44718</v>
      </c>
      <c r="C728">
        <v>0.48</v>
      </c>
      <c r="D728">
        <v>1.1200000000000001</v>
      </c>
      <c r="E728">
        <v>1.67</v>
      </c>
      <c r="F728">
        <v>2.08</v>
      </c>
      <c r="G728">
        <v>2.3199999999999998</v>
      </c>
      <c r="H728">
        <v>2.41</v>
      </c>
      <c r="I728">
        <v>2.68</v>
      </c>
      <c r="J728">
        <v>2.76</v>
      </c>
      <c r="K728">
        <v>2.91</v>
      </c>
      <c r="M728" s="3"/>
      <c r="N728" s="17"/>
      <c r="O728" s="17"/>
      <c r="P728" s="17"/>
      <c r="Q728" s="17"/>
      <c r="R728" s="17"/>
      <c r="S728" s="17"/>
      <c r="T728" s="17"/>
      <c r="U728" s="17"/>
      <c r="V728" s="17"/>
      <c r="AE728" s="2"/>
      <c r="AQ728" s="2"/>
      <c r="AR728" s="2"/>
      <c r="AS728" s="2"/>
      <c r="AT728" s="2"/>
      <c r="AU728" s="2"/>
      <c r="AV728" s="2"/>
      <c r="AW728" s="2"/>
      <c r="AX728" s="2"/>
      <c r="AY728" s="2"/>
    </row>
    <row r="729" spans="1:51" x14ac:dyDescent="0.25">
      <c r="A729" s="24">
        <v>44715</v>
      </c>
      <c r="B729" s="1">
        <v>44715</v>
      </c>
      <c r="C729">
        <v>0.5</v>
      </c>
      <c r="D729">
        <v>1.24</v>
      </c>
      <c r="E729">
        <v>1.71</v>
      </c>
      <c r="F729">
        <v>2.15</v>
      </c>
      <c r="G729">
        <v>2.36</v>
      </c>
      <c r="H729">
        <v>2.48</v>
      </c>
      <c r="I729">
        <v>2.71</v>
      </c>
      <c r="J729">
        <v>2.78</v>
      </c>
      <c r="K729">
        <v>2.89</v>
      </c>
      <c r="M729" s="3"/>
      <c r="N729" s="17"/>
      <c r="O729" s="17"/>
      <c r="P729" s="17"/>
      <c r="Q729" s="17"/>
      <c r="R729" s="17"/>
      <c r="S729" s="17"/>
      <c r="T729" s="17"/>
      <c r="U729" s="17"/>
      <c r="V729" s="17"/>
      <c r="AE729" s="2"/>
      <c r="AQ729" s="2"/>
      <c r="AR729" s="2"/>
      <c r="AS729" s="2"/>
      <c r="AT729" s="2"/>
      <c r="AU729" s="2"/>
      <c r="AV729" s="2"/>
      <c r="AW729" s="2"/>
      <c r="AX729" s="2"/>
      <c r="AY729" s="2"/>
    </row>
    <row r="730" spans="1:51" x14ac:dyDescent="0.25">
      <c r="A730" s="24">
        <v>44714</v>
      </c>
      <c r="B730" s="1">
        <v>44714</v>
      </c>
      <c r="C730">
        <v>0.56999999999999995</v>
      </c>
      <c r="D730">
        <v>1.32</v>
      </c>
      <c r="E730">
        <v>1.79</v>
      </c>
      <c r="F730">
        <v>2.09</v>
      </c>
      <c r="G730">
        <v>2.31</v>
      </c>
      <c r="H730">
        <v>2.41</v>
      </c>
      <c r="I730">
        <v>2.66</v>
      </c>
      <c r="J730">
        <v>2.81</v>
      </c>
      <c r="K730">
        <v>2.94</v>
      </c>
      <c r="M730" s="3"/>
      <c r="N730" s="17"/>
      <c r="O730" s="17"/>
      <c r="P730" s="17"/>
      <c r="Q730" s="17"/>
      <c r="R730" s="17"/>
      <c r="S730" s="17"/>
      <c r="T730" s="17"/>
      <c r="U730" s="17"/>
      <c r="V730" s="17"/>
      <c r="AE730" s="2"/>
      <c r="AQ730" s="2"/>
      <c r="AR730" s="2"/>
      <c r="AS730" s="2"/>
      <c r="AT730" s="2"/>
      <c r="AU730" s="2"/>
      <c r="AV730" s="2"/>
      <c r="AW730" s="2"/>
      <c r="AX730" s="2"/>
      <c r="AY730" s="2"/>
    </row>
    <row r="731" spans="1:51" x14ac:dyDescent="0.25">
      <c r="A731" s="24">
        <v>44713</v>
      </c>
      <c r="B731" s="1">
        <v>44713</v>
      </c>
      <c r="C731">
        <v>0.54</v>
      </c>
      <c r="D731">
        <v>1.36</v>
      </c>
      <c r="E731">
        <v>1.76</v>
      </c>
      <c r="F731">
        <v>2.14</v>
      </c>
      <c r="G731">
        <v>2.34</v>
      </c>
      <c r="H731">
        <v>2.4500000000000002</v>
      </c>
      <c r="I731">
        <v>2.66</v>
      </c>
      <c r="J731">
        <v>2.78</v>
      </c>
      <c r="K731">
        <v>2.91</v>
      </c>
      <c r="M731" s="3"/>
      <c r="N731" s="17"/>
      <c r="O731" s="17"/>
      <c r="P731" s="17"/>
      <c r="Q731" s="17"/>
      <c r="R731" s="17"/>
      <c r="S731" s="17"/>
      <c r="T731" s="17"/>
      <c r="U731" s="17"/>
      <c r="V731" s="17"/>
      <c r="AE731" s="2"/>
      <c r="AQ731" s="2"/>
      <c r="AR731" s="2"/>
      <c r="AS731" s="2"/>
      <c r="AT731" s="2"/>
      <c r="AU731" s="2"/>
      <c r="AV731" s="2"/>
      <c r="AW731" s="2"/>
      <c r="AX731" s="2"/>
      <c r="AY731" s="2"/>
    </row>
    <row r="732" spans="1:51" x14ac:dyDescent="0.25">
      <c r="A732" s="24">
        <v>44712</v>
      </c>
      <c r="B732" s="1">
        <v>44712</v>
      </c>
      <c r="C732">
        <v>0.43</v>
      </c>
      <c r="D732">
        <v>1.33</v>
      </c>
      <c r="E732">
        <v>1.81</v>
      </c>
      <c r="F732">
        <v>2.1800000000000002</v>
      </c>
      <c r="G732">
        <v>2.36</v>
      </c>
      <c r="H732">
        <v>2.46</v>
      </c>
      <c r="I732">
        <v>2.71</v>
      </c>
      <c r="J732">
        <v>2.81</v>
      </c>
      <c r="K732">
        <v>2.94</v>
      </c>
      <c r="M732" s="3"/>
      <c r="N732" s="17"/>
      <c r="O732" s="17"/>
      <c r="P732" s="17"/>
      <c r="Q732" s="17"/>
      <c r="R732" s="17"/>
      <c r="S732" s="17"/>
      <c r="T732" s="17"/>
      <c r="U732" s="17"/>
      <c r="V732" s="17"/>
      <c r="AE732" s="2"/>
      <c r="AQ732" s="2"/>
      <c r="AR732" s="2"/>
      <c r="AS732" s="2"/>
      <c r="AT732" s="2"/>
      <c r="AU732" s="2"/>
      <c r="AV732" s="2"/>
      <c r="AW732" s="2"/>
      <c r="AX732" s="2"/>
      <c r="AY732" s="2"/>
    </row>
    <row r="733" spans="1:51" x14ac:dyDescent="0.25">
      <c r="A733" s="24">
        <v>44711</v>
      </c>
      <c r="B733" s="1">
        <v>44711</v>
      </c>
      <c r="C733">
        <v>0.48</v>
      </c>
      <c r="D733">
        <v>1.31</v>
      </c>
      <c r="E733">
        <v>1.84</v>
      </c>
      <c r="F733">
        <v>2.21</v>
      </c>
      <c r="G733">
        <v>2.41</v>
      </c>
      <c r="H733">
        <v>2.4900000000000002</v>
      </c>
      <c r="I733">
        <v>2.73</v>
      </c>
      <c r="J733">
        <v>2.83</v>
      </c>
      <c r="K733">
        <v>2.94</v>
      </c>
      <c r="M733" s="3"/>
      <c r="N733" s="17"/>
      <c r="O733" s="17"/>
      <c r="P733" s="17"/>
      <c r="Q733" s="17"/>
      <c r="R733" s="17"/>
      <c r="S733" s="17"/>
      <c r="T733" s="17"/>
      <c r="U733" s="17"/>
      <c r="V733" s="17"/>
      <c r="AE733" s="2"/>
      <c r="AQ733" s="2"/>
      <c r="AR733" s="2"/>
      <c r="AS733" s="2"/>
      <c r="AT733" s="2"/>
      <c r="AU733" s="2"/>
      <c r="AV733" s="2"/>
      <c r="AW733" s="2"/>
      <c r="AX733" s="2"/>
      <c r="AY733" s="2"/>
    </row>
    <row r="734" spans="1:51" x14ac:dyDescent="0.25">
      <c r="A734" s="24">
        <v>44708</v>
      </c>
      <c r="B734" s="1">
        <v>44708</v>
      </c>
      <c r="C734">
        <v>0.68</v>
      </c>
      <c r="D734">
        <v>1.55</v>
      </c>
      <c r="E734">
        <v>1.76</v>
      </c>
      <c r="F734">
        <v>2.1</v>
      </c>
      <c r="G734">
        <v>2.2599999999999998</v>
      </c>
      <c r="H734">
        <v>2.36</v>
      </c>
      <c r="I734">
        <v>2.64</v>
      </c>
      <c r="J734">
        <v>2.77</v>
      </c>
      <c r="K734">
        <v>2.94</v>
      </c>
      <c r="M734" s="3"/>
      <c r="N734" s="17"/>
      <c r="O734" s="17"/>
      <c r="P734" s="17"/>
      <c r="Q734" s="17"/>
      <c r="R734" s="17"/>
      <c r="S734" s="17"/>
      <c r="T734" s="17"/>
      <c r="U734" s="17"/>
      <c r="V734" s="17"/>
      <c r="AE734" s="2"/>
      <c r="AQ734" s="2"/>
      <c r="AR734" s="2"/>
      <c r="AS734" s="2"/>
      <c r="AT734" s="2"/>
      <c r="AU734" s="2"/>
      <c r="AV734" s="2"/>
      <c r="AW734" s="2"/>
      <c r="AX734" s="2"/>
      <c r="AY734" s="2"/>
    </row>
    <row r="735" spans="1:51" x14ac:dyDescent="0.25">
      <c r="A735" s="24">
        <v>44707</v>
      </c>
      <c r="B735" s="1">
        <v>44707</v>
      </c>
      <c r="C735">
        <v>0.84</v>
      </c>
      <c r="D735">
        <v>1.53</v>
      </c>
      <c r="E735">
        <v>1.84</v>
      </c>
      <c r="F735">
        <v>2.12</v>
      </c>
      <c r="G735">
        <v>2.31</v>
      </c>
      <c r="H735">
        <v>2.42</v>
      </c>
      <c r="I735">
        <v>2.64</v>
      </c>
      <c r="J735">
        <v>2.73</v>
      </c>
      <c r="K735">
        <v>2.87</v>
      </c>
      <c r="M735" s="3"/>
      <c r="N735" s="17"/>
      <c r="O735" s="17"/>
      <c r="P735" s="17"/>
      <c r="Q735" s="17"/>
      <c r="R735" s="17"/>
      <c r="S735" s="17"/>
      <c r="T735" s="17"/>
      <c r="U735" s="17"/>
      <c r="V735" s="17"/>
      <c r="AE735" s="2"/>
      <c r="AQ735" s="2"/>
      <c r="AR735" s="2"/>
      <c r="AS735" s="2"/>
      <c r="AT735" s="2"/>
      <c r="AU735" s="2"/>
      <c r="AV735" s="2"/>
      <c r="AW735" s="2"/>
      <c r="AX735" s="2"/>
      <c r="AY735" s="2"/>
    </row>
    <row r="736" spans="1:51" x14ac:dyDescent="0.25">
      <c r="A736" s="24">
        <v>44706</v>
      </c>
      <c r="B736" s="1">
        <v>44706</v>
      </c>
      <c r="C736">
        <v>1.04</v>
      </c>
      <c r="D736">
        <v>1.56</v>
      </c>
      <c r="E736">
        <v>1.92</v>
      </c>
      <c r="F736">
        <v>2.14</v>
      </c>
      <c r="G736">
        <v>2.31</v>
      </c>
      <c r="H736">
        <v>2.37</v>
      </c>
      <c r="I736">
        <v>2.63</v>
      </c>
      <c r="J736">
        <v>2.74</v>
      </c>
      <c r="K736">
        <v>2.87</v>
      </c>
      <c r="M736" s="3"/>
      <c r="N736" s="17"/>
      <c r="O736" s="17"/>
      <c r="P736" s="17"/>
      <c r="Q736" s="17"/>
      <c r="R736" s="17"/>
      <c r="S736" s="17"/>
      <c r="T736" s="17"/>
      <c r="U736" s="17"/>
      <c r="V736" s="17"/>
      <c r="AE736" s="2"/>
      <c r="AQ736" s="2"/>
      <c r="AR736" s="2"/>
      <c r="AS736" s="2"/>
      <c r="AT736" s="2"/>
      <c r="AU736" s="2"/>
      <c r="AV736" s="2"/>
      <c r="AW736" s="2"/>
      <c r="AX736" s="2"/>
      <c r="AY736" s="2"/>
    </row>
    <row r="737" spans="1:51" x14ac:dyDescent="0.25">
      <c r="A737" s="24">
        <v>44705</v>
      </c>
      <c r="B737" s="1">
        <v>44705</v>
      </c>
      <c r="C737">
        <v>1.1399999999999999</v>
      </c>
      <c r="D737">
        <v>1.66</v>
      </c>
      <c r="E737">
        <v>1.96</v>
      </c>
      <c r="F737">
        <v>2.17</v>
      </c>
      <c r="G737">
        <v>2.36</v>
      </c>
      <c r="H737">
        <v>2.48</v>
      </c>
      <c r="I737">
        <v>2.71</v>
      </c>
      <c r="J737">
        <v>2.81</v>
      </c>
      <c r="K737">
        <v>2.91</v>
      </c>
      <c r="M737" s="3"/>
      <c r="N737" s="17"/>
      <c r="O737" s="17"/>
      <c r="P737" s="17"/>
      <c r="Q737" s="17"/>
      <c r="R737" s="17"/>
      <c r="S737" s="17"/>
      <c r="T737" s="17"/>
      <c r="U737" s="17"/>
      <c r="V737" s="17"/>
      <c r="AE737" s="2"/>
      <c r="AQ737" s="2"/>
      <c r="AR737" s="2"/>
      <c r="AS737" s="2"/>
      <c r="AT737" s="2"/>
      <c r="AU737" s="2"/>
      <c r="AV737" s="2"/>
      <c r="AW737" s="2"/>
      <c r="AX737" s="2"/>
      <c r="AY737" s="2"/>
    </row>
    <row r="738" spans="1:51" x14ac:dyDescent="0.25">
      <c r="A738" s="24">
        <v>44704</v>
      </c>
      <c r="B738" s="1">
        <v>44704</v>
      </c>
      <c r="C738">
        <v>1.23</v>
      </c>
      <c r="D738">
        <v>1.72</v>
      </c>
      <c r="E738">
        <v>2</v>
      </c>
      <c r="F738">
        <v>2.2000000000000002</v>
      </c>
      <c r="G738">
        <v>2.36</v>
      </c>
      <c r="H738">
        <v>2.46</v>
      </c>
      <c r="I738">
        <v>2.71</v>
      </c>
      <c r="J738">
        <v>2.81</v>
      </c>
      <c r="K738">
        <v>2.94</v>
      </c>
      <c r="M738" s="3"/>
      <c r="N738" s="17"/>
      <c r="O738" s="17"/>
      <c r="P738" s="17"/>
      <c r="Q738" s="17"/>
      <c r="R738" s="17"/>
      <c r="S738" s="17"/>
      <c r="T738" s="17"/>
      <c r="U738" s="17"/>
      <c r="V738" s="17"/>
      <c r="AE738" s="2"/>
      <c r="AQ738" s="2"/>
      <c r="AR738" s="2"/>
      <c r="AS738" s="2"/>
      <c r="AT738" s="2"/>
      <c r="AU738" s="2"/>
      <c r="AV738" s="2"/>
      <c r="AW738" s="2"/>
      <c r="AX738" s="2"/>
      <c r="AY738" s="2"/>
    </row>
    <row r="739" spans="1:51" x14ac:dyDescent="0.25">
      <c r="A739" s="24">
        <v>44701</v>
      </c>
      <c r="B739" s="1">
        <v>44701</v>
      </c>
      <c r="C739">
        <v>1.35</v>
      </c>
      <c r="D739">
        <v>1.78</v>
      </c>
      <c r="E739">
        <v>2.02</v>
      </c>
      <c r="F739">
        <v>2.2200000000000002</v>
      </c>
      <c r="G739">
        <v>2.41</v>
      </c>
      <c r="H739">
        <v>2.5099999999999998</v>
      </c>
      <c r="I739">
        <v>2.74</v>
      </c>
      <c r="J739">
        <v>2.84</v>
      </c>
      <c r="K739">
        <v>2.94</v>
      </c>
      <c r="M739" s="3"/>
      <c r="N739" s="17"/>
      <c r="O739" s="17"/>
      <c r="P739" s="17"/>
      <c r="Q739" s="17"/>
      <c r="R739" s="17"/>
      <c r="S739" s="17"/>
      <c r="T739" s="17"/>
      <c r="U739" s="17"/>
      <c r="V739" s="17"/>
      <c r="AE739" s="2"/>
      <c r="AQ739" s="2"/>
      <c r="AR739" s="2"/>
      <c r="AS739" s="2"/>
      <c r="AT739" s="2"/>
      <c r="AU739" s="2"/>
      <c r="AV739" s="2"/>
      <c r="AW739" s="2"/>
      <c r="AX739" s="2"/>
      <c r="AY739" s="2"/>
    </row>
    <row r="740" spans="1:51" x14ac:dyDescent="0.25">
      <c r="A740" s="24">
        <v>44700</v>
      </c>
      <c r="B740" s="1">
        <v>44700</v>
      </c>
      <c r="C740">
        <v>1.54</v>
      </c>
      <c r="D740">
        <v>1.87</v>
      </c>
      <c r="E740">
        <v>2.0699999999999998</v>
      </c>
      <c r="F740">
        <v>2.19</v>
      </c>
      <c r="G740">
        <v>2.35</v>
      </c>
      <c r="H740">
        <v>2.48</v>
      </c>
      <c r="I740">
        <v>2.71</v>
      </c>
      <c r="J740">
        <v>2.81</v>
      </c>
      <c r="K740">
        <v>2.91</v>
      </c>
      <c r="M740" s="3"/>
      <c r="N740" s="17"/>
      <c r="O740" s="17"/>
      <c r="P740" s="17"/>
      <c r="Q740" s="17"/>
      <c r="R740" s="17"/>
      <c r="S740" s="17"/>
      <c r="T740" s="17"/>
      <c r="U740" s="17"/>
      <c r="V740" s="17"/>
      <c r="AE740" s="2"/>
      <c r="AQ740" s="2"/>
      <c r="AR740" s="2"/>
      <c r="AS740" s="2"/>
      <c r="AT740" s="2"/>
      <c r="AU740" s="2"/>
      <c r="AV740" s="2"/>
      <c r="AW740" s="2"/>
      <c r="AX740" s="2"/>
      <c r="AY740" s="2"/>
    </row>
    <row r="741" spans="1:51" x14ac:dyDescent="0.25">
      <c r="A741" s="24">
        <v>44699</v>
      </c>
      <c r="B741" s="1">
        <v>44699</v>
      </c>
      <c r="C741">
        <v>1.74</v>
      </c>
      <c r="D741">
        <v>1.99</v>
      </c>
      <c r="E741">
        <v>2.1</v>
      </c>
      <c r="F741">
        <v>2.19</v>
      </c>
      <c r="G741">
        <v>2.35</v>
      </c>
      <c r="H741">
        <v>2.52</v>
      </c>
      <c r="I741">
        <v>2.72</v>
      </c>
      <c r="J741">
        <v>2.83</v>
      </c>
      <c r="K741">
        <v>2.95</v>
      </c>
      <c r="M741" s="3"/>
      <c r="N741" s="17"/>
      <c r="O741" s="17"/>
      <c r="P741" s="17"/>
      <c r="Q741" s="17"/>
      <c r="R741" s="17"/>
      <c r="S741" s="17"/>
      <c r="T741" s="17"/>
      <c r="U741" s="17"/>
      <c r="V741" s="17"/>
      <c r="AE741" s="2"/>
      <c r="AQ741" s="2"/>
      <c r="AR741" s="2"/>
      <c r="AS741" s="2"/>
      <c r="AT741" s="2"/>
      <c r="AU741" s="2"/>
      <c r="AV741" s="2"/>
      <c r="AW741" s="2"/>
      <c r="AX741" s="2"/>
      <c r="AY741" s="2"/>
    </row>
    <row r="742" spans="1:51" x14ac:dyDescent="0.25">
      <c r="A742" s="24">
        <v>44698</v>
      </c>
      <c r="B742" s="1">
        <v>44698</v>
      </c>
      <c r="C742">
        <v>1.81</v>
      </c>
      <c r="D742">
        <v>2.0499999999999998</v>
      </c>
      <c r="E742">
        <v>2.12</v>
      </c>
      <c r="F742">
        <v>2.2200000000000002</v>
      </c>
      <c r="G742">
        <v>2.38</v>
      </c>
      <c r="H742">
        <v>2.5099999999999998</v>
      </c>
      <c r="I742">
        <v>2.73</v>
      </c>
      <c r="J742">
        <v>2.85</v>
      </c>
      <c r="K742">
        <v>2.96</v>
      </c>
      <c r="M742" s="3"/>
      <c r="N742" s="17"/>
      <c r="O742" s="17"/>
      <c r="P742" s="17"/>
      <c r="Q742" s="17"/>
      <c r="R742" s="17"/>
      <c r="S742" s="17"/>
      <c r="T742" s="17"/>
      <c r="U742" s="17"/>
      <c r="V742" s="17"/>
      <c r="AE742" s="2"/>
      <c r="AQ742" s="2"/>
      <c r="AR742" s="2"/>
      <c r="AS742" s="2"/>
      <c r="AT742" s="2"/>
      <c r="AU742" s="2"/>
      <c r="AV742" s="2"/>
      <c r="AW742" s="2"/>
      <c r="AX742" s="2"/>
      <c r="AY742" s="2"/>
    </row>
    <row r="743" spans="1:51" x14ac:dyDescent="0.25">
      <c r="A743" s="24">
        <v>44697</v>
      </c>
      <c r="B743" s="1">
        <v>44697</v>
      </c>
      <c r="C743">
        <v>1.8</v>
      </c>
      <c r="D743">
        <v>1.9</v>
      </c>
      <c r="E743">
        <v>1.99</v>
      </c>
      <c r="F743">
        <v>2.06</v>
      </c>
      <c r="G743">
        <v>2.25</v>
      </c>
      <c r="H743">
        <v>2.35</v>
      </c>
      <c r="I743">
        <v>2.65</v>
      </c>
      <c r="J743">
        <v>2.73</v>
      </c>
      <c r="K743">
        <v>2.97</v>
      </c>
      <c r="M743" s="3"/>
      <c r="N743" s="17"/>
      <c r="O743" s="17"/>
      <c r="P743" s="17"/>
      <c r="Q743" s="17"/>
      <c r="R743" s="17"/>
      <c r="S743" s="17"/>
      <c r="T743" s="17"/>
      <c r="U743" s="17"/>
      <c r="V743" s="17"/>
      <c r="AE743" s="2"/>
      <c r="AQ743" s="2"/>
      <c r="AR743" s="2"/>
      <c r="AS743" s="2"/>
      <c r="AT743" s="2"/>
      <c r="AU743" s="2"/>
      <c r="AV743" s="2"/>
      <c r="AW743" s="2"/>
      <c r="AX743" s="2"/>
      <c r="AY743" s="2"/>
    </row>
    <row r="744" spans="1:51" x14ac:dyDescent="0.25">
      <c r="A744" s="24">
        <v>44694</v>
      </c>
      <c r="B744" s="1">
        <v>44694</v>
      </c>
      <c r="C744">
        <v>1.9</v>
      </c>
      <c r="D744">
        <v>2.08</v>
      </c>
      <c r="E744">
        <v>2.17</v>
      </c>
      <c r="F744">
        <v>2.2799999999999998</v>
      </c>
      <c r="G744">
        <v>2.4</v>
      </c>
      <c r="H744">
        <v>2.5</v>
      </c>
      <c r="I744">
        <v>2.74</v>
      </c>
      <c r="J744">
        <v>2.85</v>
      </c>
      <c r="K744">
        <v>2.99</v>
      </c>
      <c r="M744" s="3"/>
      <c r="N744" s="17"/>
      <c r="O744" s="17"/>
      <c r="P744" s="17"/>
      <c r="Q744" s="17"/>
      <c r="R744" s="17"/>
      <c r="S744" s="17"/>
      <c r="T744" s="17"/>
      <c r="U744" s="17"/>
      <c r="V744" s="17"/>
      <c r="AE744" s="2"/>
      <c r="AQ744" s="2"/>
      <c r="AR744" s="2"/>
      <c r="AS744" s="2"/>
      <c r="AT744" s="2"/>
      <c r="AU744" s="2"/>
      <c r="AV744" s="2"/>
      <c r="AW744" s="2"/>
      <c r="AX744" s="2"/>
      <c r="AY744" s="2"/>
    </row>
    <row r="745" spans="1:51" x14ac:dyDescent="0.25">
      <c r="A745" s="24">
        <v>44693</v>
      </c>
      <c r="B745" s="1">
        <v>44693</v>
      </c>
      <c r="C745">
        <v>1.95</v>
      </c>
      <c r="D745">
        <v>2.1800000000000002</v>
      </c>
      <c r="E745">
        <v>2.23</v>
      </c>
      <c r="F745">
        <v>2.33</v>
      </c>
      <c r="G745">
        <v>2.48</v>
      </c>
      <c r="H745">
        <v>2.5299999999999998</v>
      </c>
      <c r="I745">
        <v>2.73</v>
      </c>
      <c r="J745">
        <v>2.84</v>
      </c>
      <c r="K745">
        <v>2.99</v>
      </c>
      <c r="M745" s="3"/>
      <c r="N745" s="17"/>
      <c r="O745" s="17"/>
      <c r="P745" s="17"/>
      <c r="Q745" s="17"/>
      <c r="R745" s="17"/>
      <c r="S745" s="17"/>
      <c r="T745" s="17"/>
      <c r="U745" s="17"/>
      <c r="V745" s="17"/>
      <c r="AE745" s="2"/>
      <c r="AQ745" s="2"/>
      <c r="AR745" s="2"/>
      <c r="AS745" s="2"/>
      <c r="AT745" s="2"/>
      <c r="AU745" s="2"/>
      <c r="AV745" s="2"/>
      <c r="AW745" s="2"/>
      <c r="AX745" s="2"/>
      <c r="AY745" s="2"/>
    </row>
    <row r="746" spans="1:51" x14ac:dyDescent="0.25">
      <c r="A746" s="24">
        <v>44692</v>
      </c>
      <c r="B746" s="1">
        <v>44692</v>
      </c>
      <c r="C746">
        <v>1.87</v>
      </c>
      <c r="D746">
        <v>2.11</v>
      </c>
      <c r="E746">
        <v>2.17</v>
      </c>
      <c r="F746">
        <v>2.2599999999999998</v>
      </c>
      <c r="G746">
        <v>2.38</v>
      </c>
      <c r="H746">
        <v>2.4700000000000002</v>
      </c>
      <c r="I746">
        <v>2.68</v>
      </c>
      <c r="J746">
        <v>2.74</v>
      </c>
      <c r="K746">
        <v>2.91</v>
      </c>
      <c r="M746" s="3"/>
      <c r="N746" s="17"/>
      <c r="O746" s="17"/>
      <c r="P746" s="17"/>
      <c r="Q746" s="17"/>
      <c r="R746" s="17"/>
      <c r="S746" s="17"/>
      <c r="T746" s="17"/>
      <c r="U746" s="17"/>
      <c r="V746" s="17"/>
      <c r="AE746" s="2"/>
      <c r="AQ746" s="2"/>
      <c r="AR746" s="2"/>
      <c r="AS746" s="2"/>
      <c r="AT746" s="2"/>
      <c r="AU746" s="2"/>
      <c r="AV746" s="2"/>
      <c r="AW746" s="2"/>
      <c r="AX746" s="2"/>
      <c r="AY746" s="2"/>
    </row>
    <row r="747" spans="1:51" x14ac:dyDescent="0.25">
      <c r="A747" s="24">
        <v>44691</v>
      </c>
      <c r="B747" s="1">
        <v>44691</v>
      </c>
      <c r="C747">
        <v>1.87</v>
      </c>
      <c r="D747">
        <v>2.09</v>
      </c>
      <c r="E747">
        <v>2.15</v>
      </c>
      <c r="F747">
        <v>2.27</v>
      </c>
      <c r="G747">
        <v>2.4300000000000002</v>
      </c>
      <c r="H747">
        <v>2.5</v>
      </c>
      <c r="I747">
        <v>2.71</v>
      </c>
      <c r="J747">
        <v>2.87</v>
      </c>
      <c r="K747">
        <v>2.99</v>
      </c>
      <c r="M747" s="3"/>
      <c r="N747" s="17"/>
      <c r="O747" s="17"/>
      <c r="P747" s="17"/>
      <c r="Q747" s="17"/>
      <c r="R747" s="17"/>
      <c r="S747" s="17"/>
      <c r="T747" s="17"/>
      <c r="U747" s="17"/>
      <c r="V747" s="17"/>
      <c r="AE747" s="2"/>
      <c r="AQ747" s="2"/>
      <c r="AR747" s="2"/>
      <c r="AS747" s="2"/>
      <c r="AT747" s="2"/>
      <c r="AU747" s="2"/>
      <c r="AV747" s="2"/>
      <c r="AW747" s="2"/>
      <c r="AX747" s="2"/>
      <c r="AY747" s="2"/>
    </row>
    <row r="748" spans="1:51" x14ac:dyDescent="0.25">
      <c r="A748" s="24">
        <v>44690</v>
      </c>
      <c r="B748" s="1">
        <v>44690</v>
      </c>
      <c r="C748">
        <v>1.83</v>
      </c>
      <c r="D748">
        <v>2.09</v>
      </c>
      <c r="E748">
        <v>2.14</v>
      </c>
      <c r="F748">
        <v>2.25</v>
      </c>
      <c r="G748">
        <v>2.4</v>
      </c>
      <c r="H748">
        <v>2.4900000000000002</v>
      </c>
      <c r="I748">
        <v>2.7</v>
      </c>
      <c r="J748">
        <v>2.77</v>
      </c>
      <c r="K748">
        <v>2.93</v>
      </c>
      <c r="M748" s="3"/>
      <c r="N748" s="17"/>
      <c r="O748" s="17"/>
      <c r="P748" s="17"/>
      <c r="Q748" s="17"/>
      <c r="R748" s="17"/>
      <c r="S748" s="17"/>
      <c r="T748" s="17"/>
      <c r="U748" s="17"/>
      <c r="V748" s="17"/>
      <c r="AE748" s="2"/>
      <c r="AQ748" s="2"/>
      <c r="AR748" s="2"/>
      <c r="AS748" s="2"/>
      <c r="AT748" s="2"/>
      <c r="AU748" s="2"/>
      <c r="AV748" s="2"/>
      <c r="AW748" s="2"/>
      <c r="AX748" s="2"/>
      <c r="AY748" s="2"/>
    </row>
    <row r="749" spans="1:51" x14ac:dyDescent="0.25">
      <c r="A749" s="24">
        <v>44687</v>
      </c>
      <c r="B749" s="1">
        <v>44687</v>
      </c>
      <c r="C749">
        <v>1.65</v>
      </c>
      <c r="D749">
        <v>2</v>
      </c>
      <c r="E749">
        <v>2.13</v>
      </c>
      <c r="F749">
        <v>2.21</v>
      </c>
      <c r="G749">
        <v>2.33</v>
      </c>
      <c r="H749">
        <v>2.4</v>
      </c>
      <c r="I749">
        <v>2.63</v>
      </c>
      <c r="J749">
        <v>2.74</v>
      </c>
      <c r="K749">
        <v>2.93</v>
      </c>
      <c r="M749" s="3"/>
      <c r="N749" s="17"/>
      <c r="O749" s="17"/>
      <c r="P749" s="17"/>
      <c r="Q749" s="17"/>
      <c r="R749" s="17"/>
      <c r="S749" s="17"/>
      <c r="T749" s="17"/>
      <c r="U749" s="17"/>
      <c r="V749" s="17"/>
      <c r="AE749" s="2"/>
      <c r="AQ749" s="2"/>
      <c r="AR749" s="2"/>
      <c r="AS749" s="2"/>
      <c r="AT749" s="2"/>
      <c r="AU749" s="2"/>
      <c r="AV749" s="2"/>
      <c r="AW749" s="2"/>
      <c r="AX749" s="2"/>
      <c r="AY749" s="2"/>
    </row>
    <row r="750" spans="1:51" x14ac:dyDescent="0.25">
      <c r="A750" s="24">
        <v>44686</v>
      </c>
      <c r="B750" s="1">
        <v>44686</v>
      </c>
      <c r="C750">
        <v>1.62</v>
      </c>
      <c r="D750">
        <v>1.98</v>
      </c>
      <c r="E750">
        <v>2.0699999999999998</v>
      </c>
      <c r="F750">
        <v>2.11</v>
      </c>
      <c r="G750">
        <v>2.2999999999999998</v>
      </c>
      <c r="H750">
        <v>2.38</v>
      </c>
      <c r="I750">
        <v>2.58</v>
      </c>
      <c r="J750">
        <v>2.74</v>
      </c>
      <c r="K750">
        <v>2.93</v>
      </c>
      <c r="M750" s="3"/>
      <c r="N750" s="17"/>
      <c r="O750" s="17"/>
      <c r="P750" s="17"/>
      <c r="Q750" s="17"/>
      <c r="R750" s="17"/>
      <c r="S750" s="17"/>
      <c r="T750" s="17"/>
      <c r="U750" s="17"/>
      <c r="V750" s="17"/>
      <c r="AE750" s="2"/>
      <c r="AQ750" s="2"/>
      <c r="AR750" s="2"/>
      <c r="AS750" s="2"/>
      <c r="AT750" s="2"/>
      <c r="AU750" s="2"/>
      <c r="AV750" s="2"/>
      <c r="AW750" s="2"/>
      <c r="AX750" s="2"/>
      <c r="AY750" s="2"/>
    </row>
    <row r="751" spans="1:51" x14ac:dyDescent="0.25">
      <c r="A751" s="24">
        <v>44685</v>
      </c>
      <c r="B751" s="1">
        <v>44685</v>
      </c>
      <c r="C751">
        <v>1.6</v>
      </c>
      <c r="D751">
        <v>2.0299999999999998</v>
      </c>
      <c r="E751">
        <v>2.2000000000000002</v>
      </c>
      <c r="F751">
        <v>2.31</v>
      </c>
      <c r="G751">
        <v>2.4</v>
      </c>
      <c r="H751">
        <v>2.4900000000000002</v>
      </c>
      <c r="I751">
        <v>2.73</v>
      </c>
      <c r="J751">
        <v>2.8</v>
      </c>
      <c r="K751">
        <v>2.95</v>
      </c>
      <c r="M751" s="3"/>
      <c r="N751" s="17"/>
      <c r="O751" s="17"/>
      <c r="P751" s="17"/>
      <c r="Q751" s="17"/>
      <c r="R751" s="17"/>
      <c r="S751" s="17"/>
      <c r="T751" s="17"/>
      <c r="U751" s="17"/>
      <c r="V751" s="17"/>
      <c r="AE751" s="2"/>
      <c r="AQ751" s="2"/>
      <c r="AR751" s="2"/>
      <c r="AS751" s="2"/>
      <c r="AT751" s="2"/>
      <c r="AU751" s="2"/>
      <c r="AV751" s="2"/>
      <c r="AW751" s="2"/>
      <c r="AX751" s="2"/>
      <c r="AY751" s="2"/>
    </row>
    <row r="752" spans="1:51" x14ac:dyDescent="0.25">
      <c r="A752" s="24">
        <v>44680</v>
      </c>
      <c r="B752" s="1">
        <v>44680</v>
      </c>
      <c r="C752">
        <v>1.5</v>
      </c>
      <c r="D752">
        <v>1.98</v>
      </c>
      <c r="E752">
        <v>2.12</v>
      </c>
      <c r="F752">
        <v>2.2400000000000002</v>
      </c>
      <c r="G752">
        <v>2.34</v>
      </c>
      <c r="H752">
        <v>2.38</v>
      </c>
      <c r="I752">
        <v>2.66</v>
      </c>
      <c r="J752">
        <v>2.7</v>
      </c>
      <c r="K752">
        <v>2.88</v>
      </c>
      <c r="M752" s="3"/>
      <c r="N752" s="17"/>
      <c r="O752" s="17"/>
      <c r="P752" s="17"/>
      <c r="Q752" s="17"/>
      <c r="R752" s="17"/>
      <c r="S752" s="17"/>
      <c r="T752" s="17"/>
      <c r="U752" s="17"/>
      <c r="V752" s="17"/>
      <c r="AE752" s="2"/>
      <c r="AQ752" s="2"/>
      <c r="AR752" s="2"/>
      <c r="AS752" s="2"/>
      <c r="AT752" s="2"/>
      <c r="AU752" s="2"/>
      <c r="AV752" s="2"/>
      <c r="AW752" s="2"/>
      <c r="AX752" s="2"/>
      <c r="AY752" s="2"/>
    </row>
    <row r="753" spans="1:51" x14ac:dyDescent="0.25">
      <c r="A753" s="24">
        <v>44679</v>
      </c>
      <c r="B753" s="1">
        <v>44679</v>
      </c>
      <c r="C753">
        <v>1.4</v>
      </c>
      <c r="D753">
        <v>1.98</v>
      </c>
      <c r="E753">
        <v>2.13</v>
      </c>
      <c r="F753">
        <v>2.23</v>
      </c>
      <c r="G753">
        <v>2.33</v>
      </c>
      <c r="H753">
        <v>2.4300000000000002</v>
      </c>
      <c r="I753">
        <v>2.7</v>
      </c>
      <c r="J753">
        <v>2.74</v>
      </c>
      <c r="K753">
        <v>2.9</v>
      </c>
      <c r="M753" s="3"/>
      <c r="N753" s="17"/>
      <c r="O753" s="17"/>
      <c r="P753" s="17"/>
      <c r="Q753" s="17"/>
      <c r="R753" s="17"/>
      <c r="S753" s="17"/>
      <c r="T753" s="17"/>
      <c r="U753" s="17"/>
      <c r="V753" s="17"/>
      <c r="AE753" s="2"/>
      <c r="AQ753" s="2"/>
      <c r="AR753" s="2"/>
      <c r="AS753" s="2"/>
      <c r="AT753" s="2"/>
      <c r="AU753" s="2"/>
      <c r="AV753" s="2"/>
      <c r="AW753" s="2"/>
      <c r="AX753" s="2"/>
      <c r="AY753" s="2"/>
    </row>
    <row r="754" spans="1:51" x14ac:dyDescent="0.25">
      <c r="A754" s="24">
        <v>44678</v>
      </c>
      <c r="B754" s="1">
        <v>44678</v>
      </c>
      <c r="C754">
        <v>1.43</v>
      </c>
      <c r="D754">
        <v>2</v>
      </c>
      <c r="E754">
        <v>2.0699999999999998</v>
      </c>
      <c r="F754">
        <v>2.15</v>
      </c>
      <c r="G754">
        <v>2.3199999999999998</v>
      </c>
      <c r="H754">
        <v>2.37</v>
      </c>
      <c r="I754">
        <v>2.62</v>
      </c>
      <c r="J754">
        <v>2.74</v>
      </c>
      <c r="K754">
        <v>2.93</v>
      </c>
      <c r="M754" s="3"/>
      <c r="N754" s="17"/>
      <c r="O754" s="17"/>
      <c r="P754" s="17"/>
      <c r="Q754" s="17"/>
      <c r="R754" s="17"/>
      <c r="S754" s="17"/>
      <c r="T754" s="17"/>
      <c r="U754" s="17"/>
      <c r="V754" s="17"/>
      <c r="AE754" s="2"/>
      <c r="AQ754" s="2"/>
      <c r="AR754" s="2"/>
      <c r="AS754" s="2"/>
      <c r="AT754" s="2"/>
      <c r="AU754" s="2"/>
      <c r="AV754" s="2"/>
      <c r="AW754" s="2"/>
      <c r="AX754" s="2"/>
      <c r="AY754" s="2"/>
    </row>
    <row r="755" spans="1:51" x14ac:dyDescent="0.25">
      <c r="A755" s="24">
        <v>44677</v>
      </c>
      <c r="B755" s="1">
        <v>44677</v>
      </c>
      <c r="C755">
        <v>1.42</v>
      </c>
      <c r="D755">
        <v>1.94</v>
      </c>
      <c r="E755">
        <v>2.12</v>
      </c>
      <c r="F755">
        <v>2.2200000000000002</v>
      </c>
      <c r="G755">
        <v>2.3199999999999998</v>
      </c>
      <c r="H755">
        <v>2.38</v>
      </c>
      <c r="I755">
        <v>2.66</v>
      </c>
      <c r="J755">
        <v>2.65</v>
      </c>
      <c r="K755">
        <v>2.84</v>
      </c>
      <c r="M755" s="3"/>
      <c r="N755" s="17"/>
      <c r="O755" s="17"/>
      <c r="P755" s="17"/>
      <c r="Q755" s="17"/>
      <c r="R755" s="17"/>
      <c r="S755" s="17"/>
      <c r="T755" s="17"/>
      <c r="U755" s="17"/>
      <c r="V755" s="17"/>
      <c r="AE755" s="2"/>
      <c r="AQ755" s="2"/>
      <c r="AR755" s="2"/>
      <c r="AS755" s="2"/>
      <c r="AT755" s="2"/>
      <c r="AU755" s="2"/>
      <c r="AV755" s="2"/>
      <c r="AW755" s="2"/>
      <c r="AX755" s="2"/>
      <c r="AY755" s="2"/>
    </row>
    <row r="756" spans="1:51" x14ac:dyDescent="0.25">
      <c r="A756" s="24">
        <v>44676</v>
      </c>
      <c r="B756" s="1">
        <v>44676</v>
      </c>
      <c r="C756">
        <v>1.38</v>
      </c>
      <c r="D756">
        <v>1.85</v>
      </c>
      <c r="E756">
        <v>2.02</v>
      </c>
      <c r="F756">
        <v>2.08</v>
      </c>
      <c r="G756">
        <v>2.25</v>
      </c>
      <c r="H756">
        <v>2.37</v>
      </c>
      <c r="I756">
        <v>2.6</v>
      </c>
      <c r="J756">
        <v>2.74</v>
      </c>
      <c r="K756">
        <v>2.92</v>
      </c>
      <c r="M756" s="3"/>
      <c r="N756" s="17"/>
      <c r="O756" s="17"/>
      <c r="P756" s="17"/>
      <c r="Q756" s="17"/>
      <c r="R756" s="17"/>
      <c r="S756" s="17"/>
      <c r="T756" s="17"/>
      <c r="U756" s="17"/>
      <c r="V756" s="17"/>
      <c r="AE756" s="2"/>
      <c r="AQ756" s="2"/>
      <c r="AR756" s="2"/>
      <c r="AS756" s="2"/>
      <c r="AT756" s="2"/>
      <c r="AU756" s="2"/>
      <c r="AV756" s="2"/>
      <c r="AW756" s="2"/>
      <c r="AX756" s="2"/>
      <c r="AY756" s="2"/>
    </row>
    <row r="757" spans="1:51" x14ac:dyDescent="0.25">
      <c r="A757" s="24">
        <v>44673</v>
      </c>
      <c r="B757" s="1">
        <v>44673</v>
      </c>
      <c r="C757">
        <v>1.41</v>
      </c>
      <c r="D757">
        <v>1.84</v>
      </c>
      <c r="E757">
        <v>2.0699999999999998</v>
      </c>
      <c r="F757">
        <v>2.19</v>
      </c>
      <c r="G757">
        <v>2.31</v>
      </c>
      <c r="H757">
        <v>2.39</v>
      </c>
      <c r="I757">
        <v>2.61</v>
      </c>
      <c r="J757">
        <v>2.7</v>
      </c>
      <c r="K757">
        <v>2.9</v>
      </c>
      <c r="M757" s="3"/>
      <c r="N757" s="17"/>
      <c r="O757" s="17"/>
      <c r="P757" s="17"/>
      <c r="Q757" s="17"/>
      <c r="R757" s="17"/>
      <c r="S757" s="17"/>
      <c r="T757" s="17"/>
      <c r="U757" s="17"/>
      <c r="V757" s="17"/>
      <c r="AE757" s="2"/>
      <c r="AQ757" s="2"/>
      <c r="AR757" s="2"/>
      <c r="AS757" s="2"/>
      <c r="AT757" s="2"/>
      <c r="AU757" s="2"/>
      <c r="AV757" s="2"/>
      <c r="AW757" s="2"/>
      <c r="AX757" s="2"/>
      <c r="AY757" s="2"/>
    </row>
    <row r="758" spans="1:51" x14ac:dyDescent="0.25">
      <c r="A758" s="24">
        <v>44672</v>
      </c>
      <c r="B758" s="1">
        <v>44672</v>
      </c>
      <c r="C758">
        <v>1.62</v>
      </c>
      <c r="D758">
        <v>1.98</v>
      </c>
      <c r="E758">
        <v>2.13</v>
      </c>
      <c r="F758">
        <v>2.25</v>
      </c>
      <c r="G758">
        <v>2.42</v>
      </c>
      <c r="H758">
        <v>2.48</v>
      </c>
      <c r="I758">
        <v>2.65</v>
      </c>
      <c r="J758">
        <v>2.8</v>
      </c>
      <c r="K758">
        <v>2.92</v>
      </c>
      <c r="M758" s="3"/>
      <c r="N758" s="17"/>
      <c r="O758" s="17"/>
      <c r="P758" s="17"/>
      <c r="Q758" s="17"/>
      <c r="R758" s="17"/>
      <c r="S758" s="17"/>
      <c r="T758" s="17"/>
      <c r="U758" s="17"/>
      <c r="V758" s="17"/>
      <c r="AE758" s="2"/>
      <c r="AQ758" s="2"/>
      <c r="AR758" s="2"/>
      <c r="AS758" s="2"/>
      <c r="AT758" s="2"/>
      <c r="AU758" s="2"/>
      <c r="AV758" s="2"/>
      <c r="AW758" s="2"/>
      <c r="AX758" s="2"/>
      <c r="AY758" s="2"/>
    </row>
    <row r="759" spans="1:51" x14ac:dyDescent="0.25">
      <c r="A759" s="24">
        <v>44671</v>
      </c>
      <c r="B759" s="1">
        <v>44671</v>
      </c>
      <c r="C759">
        <v>1.9</v>
      </c>
      <c r="D759">
        <v>2.14</v>
      </c>
      <c r="E759">
        <v>2.19</v>
      </c>
      <c r="F759">
        <v>2.27</v>
      </c>
      <c r="G759">
        <v>2.42</v>
      </c>
      <c r="H759">
        <v>2.48</v>
      </c>
      <c r="I759">
        <v>2.65</v>
      </c>
      <c r="J759">
        <v>2.7</v>
      </c>
      <c r="K759">
        <v>2.9</v>
      </c>
      <c r="M759" s="3"/>
      <c r="N759" s="17"/>
      <c r="O759" s="17"/>
      <c r="P759" s="17"/>
      <c r="Q759" s="17"/>
      <c r="R759" s="17"/>
      <c r="S759" s="17"/>
      <c r="T759" s="17"/>
      <c r="U759" s="17"/>
      <c r="V759" s="17"/>
      <c r="AE759" s="2"/>
      <c r="AQ759" s="2"/>
      <c r="AR759" s="2"/>
      <c r="AS759" s="2"/>
      <c r="AT759" s="2"/>
      <c r="AU759" s="2"/>
      <c r="AV759" s="2"/>
      <c r="AW759" s="2"/>
      <c r="AX759" s="2"/>
      <c r="AY759" s="2"/>
    </row>
    <row r="760" spans="1:51" x14ac:dyDescent="0.25">
      <c r="A760" s="24">
        <v>44670</v>
      </c>
      <c r="B760" s="1">
        <v>44670</v>
      </c>
      <c r="C760">
        <v>2</v>
      </c>
      <c r="D760">
        <v>2.16</v>
      </c>
      <c r="E760">
        <v>2.23</v>
      </c>
      <c r="F760">
        <v>2.2799999999999998</v>
      </c>
      <c r="G760">
        <v>2.44</v>
      </c>
      <c r="H760">
        <v>2.5</v>
      </c>
      <c r="I760">
        <v>2.65</v>
      </c>
      <c r="J760">
        <v>2.7</v>
      </c>
      <c r="K760">
        <v>2.9</v>
      </c>
      <c r="M760" s="3"/>
      <c r="N760" s="17"/>
      <c r="O760" s="17"/>
      <c r="P760" s="17"/>
      <c r="Q760" s="17"/>
      <c r="R760" s="17"/>
      <c r="S760" s="17"/>
      <c r="T760" s="17"/>
      <c r="U760" s="17"/>
      <c r="V760" s="17"/>
      <c r="AE760" s="2"/>
      <c r="AQ760" s="2"/>
      <c r="AR760" s="2"/>
      <c r="AS760" s="2"/>
      <c r="AT760" s="2"/>
      <c r="AU760" s="2"/>
      <c r="AV760" s="2"/>
      <c r="AW760" s="2"/>
      <c r="AX760" s="2"/>
      <c r="AY760" s="2"/>
    </row>
    <row r="761" spans="1:51" x14ac:dyDescent="0.25">
      <c r="A761" s="24">
        <v>44669</v>
      </c>
      <c r="B761" s="1">
        <v>44669</v>
      </c>
      <c r="C761">
        <v>2.08</v>
      </c>
      <c r="D761">
        <v>2.17</v>
      </c>
      <c r="E761">
        <v>2.17</v>
      </c>
      <c r="F761">
        <v>2.19</v>
      </c>
      <c r="G761">
        <v>2.36</v>
      </c>
      <c r="H761">
        <v>2.4500000000000002</v>
      </c>
      <c r="I761">
        <v>2.62</v>
      </c>
      <c r="J761">
        <v>2.72</v>
      </c>
      <c r="K761">
        <v>2.93</v>
      </c>
      <c r="M761" s="3"/>
      <c r="N761" s="17"/>
      <c r="O761" s="17"/>
      <c r="P761" s="17"/>
      <c r="Q761" s="17"/>
      <c r="R761" s="17"/>
      <c r="S761" s="17"/>
      <c r="T761" s="17"/>
      <c r="U761" s="17"/>
      <c r="V761" s="17"/>
      <c r="AE761" s="2"/>
      <c r="AQ761" s="2"/>
      <c r="AR761" s="2"/>
      <c r="AS761" s="2"/>
      <c r="AT761" s="2"/>
      <c r="AU761" s="2"/>
      <c r="AV761" s="2"/>
      <c r="AW761" s="2"/>
      <c r="AX761" s="2"/>
      <c r="AY761" s="2"/>
    </row>
    <row r="762" spans="1:51" x14ac:dyDescent="0.25">
      <c r="A762" s="24">
        <v>44666</v>
      </c>
      <c r="B762" s="1">
        <v>44666</v>
      </c>
      <c r="C762">
        <v>2.04</v>
      </c>
      <c r="D762">
        <v>2.1</v>
      </c>
      <c r="E762">
        <v>2.0699999999999998</v>
      </c>
      <c r="F762">
        <v>2.09</v>
      </c>
      <c r="G762">
        <v>2.29</v>
      </c>
      <c r="H762">
        <v>2.39</v>
      </c>
      <c r="I762">
        <v>2.54</v>
      </c>
      <c r="J762">
        <v>2.68</v>
      </c>
      <c r="K762">
        <v>2.9</v>
      </c>
      <c r="M762" s="3"/>
      <c r="N762" s="17"/>
      <c r="O762" s="17"/>
      <c r="P762" s="17"/>
      <c r="Q762" s="17"/>
      <c r="R762" s="17"/>
      <c r="S762" s="17"/>
      <c r="T762" s="17"/>
      <c r="U762" s="17"/>
      <c r="V762" s="17"/>
      <c r="AE762" s="2"/>
      <c r="AQ762" s="2"/>
      <c r="AR762" s="2"/>
      <c r="AS762" s="2"/>
      <c r="AT762" s="2"/>
      <c r="AU762" s="2"/>
      <c r="AV762" s="2"/>
      <c r="AW762" s="2"/>
      <c r="AX762" s="2"/>
      <c r="AY762" s="2"/>
    </row>
    <row r="763" spans="1:51" x14ac:dyDescent="0.25">
      <c r="A763" s="24">
        <v>44665</v>
      </c>
      <c r="B763" s="1">
        <v>44665</v>
      </c>
      <c r="C763">
        <v>2.06</v>
      </c>
      <c r="D763">
        <v>2.14</v>
      </c>
      <c r="E763">
        <v>2.16</v>
      </c>
      <c r="F763">
        <v>2.1800000000000002</v>
      </c>
      <c r="G763">
        <v>2.33</v>
      </c>
      <c r="H763">
        <v>2.41</v>
      </c>
      <c r="I763">
        <v>2.59</v>
      </c>
      <c r="J763">
        <v>2.75</v>
      </c>
      <c r="K763">
        <v>2.94</v>
      </c>
      <c r="M763" s="3"/>
      <c r="N763" s="17"/>
      <c r="O763" s="17"/>
      <c r="P763" s="17"/>
      <c r="Q763" s="17"/>
      <c r="R763" s="17"/>
      <c r="S763" s="17"/>
      <c r="T763" s="17"/>
      <c r="U763" s="17"/>
      <c r="V763" s="17"/>
      <c r="AE763" s="2"/>
      <c r="AQ763" s="2"/>
      <c r="AR763" s="2"/>
      <c r="AS763" s="2"/>
      <c r="AT763" s="2"/>
      <c r="AU763" s="2"/>
      <c r="AV763" s="2"/>
      <c r="AW763" s="2"/>
      <c r="AX763" s="2"/>
      <c r="AY763" s="2"/>
    </row>
    <row r="764" spans="1:51" x14ac:dyDescent="0.25">
      <c r="A764" s="24">
        <v>44664</v>
      </c>
      <c r="B764" s="1">
        <v>44664</v>
      </c>
      <c r="C764">
        <v>2.0699999999999998</v>
      </c>
      <c r="D764">
        <v>2.13</v>
      </c>
      <c r="E764">
        <v>2.13</v>
      </c>
      <c r="F764">
        <v>2.14</v>
      </c>
      <c r="G764">
        <v>2.29</v>
      </c>
      <c r="H764">
        <v>2.4300000000000002</v>
      </c>
      <c r="I764">
        <v>2.62</v>
      </c>
      <c r="J764">
        <v>2.8</v>
      </c>
      <c r="K764">
        <v>2.98</v>
      </c>
      <c r="M764" s="3"/>
      <c r="N764" s="17"/>
      <c r="O764" s="17"/>
      <c r="P764" s="17"/>
      <c r="Q764" s="17"/>
      <c r="R764" s="17"/>
      <c r="S764" s="17"/>
      <c r="T764" s="17"/>
      <c r="U764" s="17"/>
      <c r="V764" s="17"/>
      <c r="AE764" s="2"/>
      <c r="AQ764" s="2"/>
      <c r="AR764" s="2"/>
      <c r="AS764" s="2"/>
      <c r="AT764" s="2"/>
      <c r="AU764" s="2"/>
      <c r="AV764" s="2"/>
      <c r="AW764" s="2"/>
      <c r="AX764" s="2"/>
      <c r="AY764" s="2"/>
    </row>
    <row r="765" spans="1:51" x14ac:dyDescent="0.25">
      <c r="A765" s="24">
        <v>44663</v>
      </c>
      <c r="B765" s="1">
        <v>44663</v>
      </c>
      <c r="C765">
        <v>2.12</v>
      </c>
      <c r="D765">
        <v>2.2400000000000002</v>
      </c>
      <c r="E765">
        <v>2.2799999999999998</v>
      </c>
      <c r="F765">
        <v>2.35</v>
      </c>
      <c r="G765">
        <v>2.4700000000000002</v>
      </c>
      <c r="H765">
        <v>2.52</v>
      </c>
      <c r="I765">
        <v>2.68</v>
      </c>
      <c r="J765">
        <v>2.73</v>
      </c>
      <c r="K765">
        <v>2.96</v>
      </c>
      <c r="M765" s="3"/>
      <c r="N765" s="17"/>
      <c r="O765" s="17"/>
      <c r="P765" s="17"/>
      <c r="Q765" s="17"/>
      <c r="R765" s="17"/>
      <c r="S765" s="17"/>
      <c r="T765" s="17"/>
      <c r="U765" s="17"/>
      <c r="V765" s="17"/>
      <c r="AE765" s="2"/>
      <c r="AQ765" s="2"/>
      <c r="AR765" s="2"/>
      <c r="AS765" s="2"/>
      <c r="AT765" s="2"/>
      <c r="AU765" s="2"/>
      <c r="AV765" s="2"/>
      <c r="AW765" s="2"/>
      <c r="AX765" s="2"/>
      <c r="AY765" s="2"/>
    </row>
    <row r="766" spans="1:51" x14ac:dyDescent="0.25">
      <c r="A766" s="24">
        <v>44659</v>
      </c>
      <c r="B766" s="1">
        <v>44659</v>
      </c>
      <c r="C766">
        <v>2.06</v>
      </c>
      <c r="D766">
        <v>2.16</v>
      </c>
      <c r="E766">
        <v>2.1800000000000002</v>
      </c>
      <c r="F766">
        <v>2.1800000000000002</v>
      </c>
      <c r="G766">
        <v>2.3199999999999998</v>
      </c>
      <c r="H766">
        <v>2.42</v>
      </c>
      <c r="I766">
        <v>2.58</v>
      </c>
      <c r="J766">
        <v>2.68</v>
      </c>
      <c r="K766">
        <v>2.86</v>
      </c>
      <c r="M766" s="3"/>
      <c r="N766" s="17"/>
      <c r="O766" s="17"/>
      <c r="P766" s="17"/>
      <c r="Q766" s="17"/>
      <c r="R766" s="17"/>
      <c r="S766" s="17"/>
      <c r="T766" s="17"/>
      <c r="U766" s="17"/>
      <c r="V766" s="17"/>
      <c r="AE766" s="2"/>
      <c r="AQ766" s="2"/>
      <c r="AR766" s="2"/>
      <c r="AS766" s="2"/>
      <c r="AT766" s="2"/>
      <c r="AU766" s="2"/>
      <c r="AV766" s="2"/>
      <c r="AW766" s="2"/>
      <c r="AX766" s="2"/>
      <c r="AY766" s="2"/>
    </row>
    <row r="767" spans="1:51" x14ac:dyDescent="0.25">
      <c r="A767" s="24">
        <v>44658</v>
      </c>
      <c r="B767" s="1">
        <v>44658</v>
      </c>
      <c r="C767">
        <v>2.04</v>
      </c>
      <c r="D767">
        <v>2.1</v>
      </c>
      <c r="E767">
        <v>2.09</v>
      </c>
      <c r="F767">
        <v>2.09</v>
      </c>
      <c r="G767">
        <v>2.2799999999999998</v>
      </c>
      <c r="H767">
        <v>2.36</v>
      </c>
      <c r="I767">
        <v>2.54</v>
      </c>
      <c r="J767">
        <v>2.65</v>
      </c>
      <c r="K767">
        <v>2.84</v>
      </c>
      <c r="M767" s="3"/>
      <c r="N767" s="17"/>
      <c r="O767" s="17"/>
      <c r="P767" s="17"/>
      <c r="Q767" s="17"/>
      <c r="R767" s="17"/>
      <c r="S767" s="17"/>
      <c r="T767" s="17"/>
      <c r="U767" s="17"/>
      <c r="V767" s="17"/>
      <c r="AE767" s="2"/>
      <c r="AQ767" s="2"/>
      <c r="AR767" s="2"/>
      <c r="AS767" s="2"/>
      <c r="AT767" s="2"/>
      <c r="AU767" s="2"/>
      <c r="AV767" s="2"/>
      <c r="AW767" s="2"/>
      <c r="AX767" s="2"/>
      <c r="AY767" s="2"/>
    </row>
    <row r="768" spans="1:51" x14ac:dyDescent="0.25">
      <c r="A768" s="24">
        <v>44657</v>
      </c>
      <c r="B768" s="1">
        <v>44657</v>
      </c>
      <c r="C768">
        <v>2.09</v>
      </c>
      <c r="D768">
        <v>2.2000000000000002</v>
      </c>
      <c r="E768">
        <v>2.21</v>
      </c>
      <c r="F768">
        <v>2.21</v>
      </c>
      <c r="G768">
        <v>2.33</v>
      </c>
      <c r="H768">
        <v>2.4</v>
      </c>
      <c r="I768">
        <v>2.56</v>
      </c>
      <c r="J768">
        <v>2.7</v>
      </c>
      <c r="K768">
        <v>2.9</v>
      </c>
      <c r="M768" s="3"/>
      <c r="N768" s="17"/>
      <c r="O768" s="17"/>
      <c r="P768" s="17"/>
      <c r="Q768" s="17"/>
      <c r="R768" s="17"/>
      <c r="S768" s="17"/>
      <c r="T768" s="17"/>
      <c r="U768" s="17"/>
      <c r="V768" s="17"/>
      <c r="AE768" s="2"/>
      <c r="AQ768" s="2"/>
      <c r="AR768" s="2"/>
      <c r="AS768" s="2"/>
      <c r="AT768" s="2"/>
      <c r="AU768" s="2"/>
      <c r="AV768" s="2"/>
      <c r="AW768" s="2"/>
      <c r="AX768" s="2"/>
      <c r="AY768" s="2"/>
    </row>
    <row r="769" spans="1:51" x14ac:dyDescent="0.25">
      <c r="A769" s="24">
        <v>44656</v>
      </c>
      <c r="B769" s="1">
        <v>44656</v>
      </c>
      <c r="C769">
        <v>2.0699999999999998</v>
      </c>
      <c r="D769">
        <v>2.17</v>
      </c>
      <c r="E769">
        <v>2.12</v>
      </c>
      <c r="F769">
        <v>2.08</v>
      </c>
      <c r="G769">
        <v>2.29</v>
      </c>
      <c r="H769">
        <v>2.35</v>
      </c>
      <c r="I769">
        <v>2.5499999999999998</v>
      </c>
      <c r="J769">
        <v>2.67</v>
      </c>
      <c r="K769">
        <v>2.87</v>
      </c>
      <c r="M769" s="3"/>
      <c r="N769" s="17"/>
      <c r="O769" s="17"/>
      <c r="P769" s="17"/>
      <c r="Q769" s="17"/>
      <c r="R769" s="17"/>
      <c r="S769" s="17"/>
      <c r="T769" s="17"/>
      <c r="U769" s="17"/>
      <c r="V769" s="17"/>
      <c r="AE769" s="2"/>
      <c r="AQ769" s="2"/>
      <c r="AR769" s="2"/>
      <c r="AS769" s="2"/>
      <c r="AT769" s="2"/>
      <c r="AU769" s="2"/>
      <c r="AV769" s="2"/>
      <c r="AW769" s="2"/>
      <c r="AX769" s="2"/>
      <c r="AY769" s="2"/>
    </row>
    <row r="770" spans="1:51" x14ac:dyDescent="0.25">
      <c r="A770" s="24">
        <v>44655</v>
      </c>
      <c r="B770" s="1">
        <v>44655</v>
      </c>
      <c r="C770">
        <v>2.0499999999999998</v>
      </c>
      <c r="D770">
        <v>2.1800000000000002</v>
      </c>
      <c r="E770">
        <v>2.1800000000000002</v>
      </c>
      <c r="F770">
        <v>2.1800000000000002</v>
      </c>
      <c r="G770">
        <v>2.36</v>
      </c>
      <c r="H770">
        <v>2.42</v>
      </c>
      <c r="I770">
        <v>2.57</v>
      </c>
      <c r="J770">
        <v>2.64</v>
      </c>
      <c r="K770">
        <v>2.83</v>
      </c>
      <c r="M770" s="3"/>
      <c r="N770" s="17"/>
      <c r="O770" s="17"/>
      <c r="P770" s="17"/>
      <c r="Q770" s="17"/>
      <c r="R770" s="17"/>
      <c r="S770" s="17"/>
      <c r="T770" s="17"/>
      <c r="U770" s="17"/>
      <c r="V770" s="17"/>
      <c r="AE770" s="2"/>
      <c r="AQ770" s="2"/>
      <c r="AR770" s="2"/>
      <c r="AS770" s="2"/>
      <c r="AT770" s="2"/>
      <c r="AU770" s="2"/>
      <c r="AV770" s="2"/>
      <c r="AW770" s="2"/>
      <c r="AX770" s="2"/>
      <c r="AY770" s="2"/>
    </row>
    <row r="771" spans="1:51" x14ac:dyDescent="0.25">
      <c r="A771" s="24">
        <v>44652</v>
      </c>
      <c r="B771" s="1">
        <v>44652</v>
      </c>
      <c r="C771">
        <v>2.08</v>
      </c>
      <c r="D771">
        <v>2.25</v>
      </c>
      <c r="E771">
        <v>2.25</v>
      </c>
      <c r="F771">
        <v>2.25</v>
      </c>
      <c r="G771">
        <v>2.41</v>
      </c>
      <c r="H771">
        <v>2.4500000000000002</v>
      </c>
      <c r="I771">
        <v>2.6</v>
      </c>
      <c r="J771">
        <v>2.7</v>
      </c>
      <c r="K771">
        <v>2.9</v>
      </c>
      <c r="M771" s="3"/>
      <c r="N771" s="17"/>
      <c r="O771" s="17"/>
      <c r="P771" s="17"/>
      <c r="Q771" s="17"/>
      <c r="R771" s="17"/>
      <c r="S771" s="17"/>
      <c r="T771" s="17"/>
      <c r="U771" s="17"/>
      <c r="V771" s="17"/>
      <c r="AE771" s="2"/>
      <c r="AQ771" s="2"/>
      <c r="AR771" s="2"/>
      <c r="AS771" s="2"/>
      <c r="AT771" s="2"/>
      <c r="AU771" s="2"/>
      <c r="AV771" s="2"/>
      <c r="AW771" s="2"/>
      <c r="AX771" s="2"/>
      <c r="AY771" s="2"/>
    </row>
    <row r="772" spans="1:51" x14ac:dyDescent="0.25">
      <c r="A772" s="24">
        <v>44651</v>
      </c>
      <c r="B772" s="1">
        <v>44651</v>
      </c>
      <c r="C772">
        <v>2.04</v>
      </c>
      <c r="D772">
        <v>2.1800000000000002</v>
      </c>
      <c r="E772">
        <v>2.1800000000000002</v>
      </c>
      <c r="F772">
        <v>2.1</v>
      </c>
      <c r="G772">
        <v>2.31</v>
      </c>
      <c r="H772">
        <v>2.33</v>
      </c>
      <c r="I772">
        <v>2.56</v>
      </c>
      <c r="J772">
        <v>2.68</v>
      </c>
      <c r="K772">
        <v>2.96</v>
      </c>
      <c r="M772" s="3"/>
      <c r="N772" s="17"/>
      <c r="O772" s="17"/>
      <c r="P772" s="17"/>
      <c r="Q772" s="17"/>
      <c r="R772" s="17"/>
      <c r="S772" s="17"/>
      <c r="T772" s="17"/>
      <c r="U772" s="17"/>
      <c r="V772" s="17"/>
      <c r="AE772" s="2"/>
      <c r="AQ772" s="2"/>
      <c r="AR772" s="2"/>
      <c r="AS772" s="2"/>
      <c r="AT772" s="2"/>
      <c r="AU772" s="2"/>
      <c r="AV772" s="2"/>
      <c r="AW772" s="2"/>
      <c r="AX772" s="2"/>
      <c r="AY772" s="2"/>
    </row>
    <row r="773" spans="1:51" x14ac:dyDescent="0.25">
      <c r="A773" s="24">
        <v>44650</v>
      </c>
      <c r="B773" s="1">
        <v>44650</v>
      </c>
      <c r="C773">
        <v>2.0499999999999998</v>
      </c>
      <c r="D773">
        <v>2.15</v>
      </c>
      <c r="E773">
        <v>2.13</v>
      </c>
      <c r="F773">
        <v>2.12</v>
      </c>
      <c r="G773">
        <v>2.31</v>
      </c>
      <c r="H773">
        <v>2.37</v>
      </c>
      <c r="I773">
        <v>2.5299999999999998</v>
      </c>
      <c r="J773">
        <v>2.62</v>
      </c>
      <c r="K773">
        <v>2.8</v>
      </c>
      <c r="M773" s="3"/>
      <c r="N773" s="17"/>
      <c r="O773" s="17"/>
      <c r="P773" s="17"/>
      <c r="Q773" s="17"/>
      <c r="R773" s="17"/>
      <c r="S773" s="17"/>
      <c r="T773" s="17"/>
      <c r="U773" s="17"/>
      <c r="V773" s="17"/>
      <c r="AE773" s="2"/>
      <c r="AQ773" s="2"/>
      <c r="AR773" s="2"/>
      <c r="AS773" s="2"/>
      <c r="AT773" s="2"/>
      <c r="AU773" s="2"/>
      <c r="AV773" s="2"/>
      <c r="AW773" s="2"/>
      <c r="AX773" s="2"/>
      <c r="AY773" s="2"/>
    </row>
    <row r="774" spans="1:51" x14ac:dyDescent="0.25">
      <c r="A774" s="24">
        <v>44649</v>
      </c>
      <c r="B774" s="1">
        <v>44649</v>
      </c>
      <c r="C774">
        <v>2.06</v>
      </c>
      <c r="D774">
        <v>2.17</v>
      </c>
      <c r="E774">
        <v>2.17</v>
      </c>
      <c r="F774">
        <v>2.11</v>
      </c>
      <c r="G774">
        <v>2.2799999999999998</v>
      </c>
      <c r="H774">
        <v>2.34</v>
      </c>
      <c r="I774">
        <v>2.54</v>
      </c>
      <c r="J774">
        <v>2.65</v>
      </c>
      <c r="K774">
        <v>2.84</v>
      </c>
      <c r="M774" s="3"/>
      <c r="N774" s="17"/>
      <c r="O774" s="17"/>
      <c r="P774" s="17"/>
      <c r="Q774" s="17"/>
      <c r="R774" s="17"/>
      <c r="S774" s="17"/>
      <c r="T774" s="17"/>
      <c r="U774" s="17"/>
      <c r="V774" s="17"/>
      <c r="AE774" s="2"/>
      <c r="AQ774" s="2"/>
      <c r="AR774" s="2"/>
      <c r="AS774" s="2"/>
      <c r="AT774" s="2"/>
      <c r="AU774" s="2"/>
      <c r="AV774" s="2"/>
      <c r="AW774" s="2"/>
      <c r="AX774" s="2"/>
      <c r="AY774" s="2"/>
    </row>
    <row r="775" spans="1:51" x14ac:dyDescent="0.25">
      <c r="A775" s="24">
        <v>44648</v>
      </c>
      <c r="B775" s="1">
        <v>44648</v>
      </c>
      <c r="C775">
        <v>2.06</v>
      </c>
      <c r="D775">
        <v>2.16</v>
      </c>
      <c r="E775">
        <v>2.14</v>
      </c>
      <c r="F775">
        <v>2.08</v>
      </c>
      <c r="G775">
        <v>2.2599999999999998</v>
      </c>
      <c r="H775">
        <v>2.33</v>
      </c>
      <c r="I775">
        <v>2.56</v>
      </c>
      <c r="J775">
        <v>2.68</v>
      </c>
      <c r="K775">
        <v>2.9</v>
      </c>
      <c r="M775" s="3"/>
      <c r="N775" s="17"/>
      <c r="O775" s="17"/>
      <c r="P775" s="17"/>
      <c r="Q775" s="17"/>
      <c r="R775" s="17"/>
      <c r="S775" s="17"/>
      <c r="T775" s="17"/>
      <c r="U775" s="17"/>
      <c r="V775" s="17"/>
      <c r="AE775" s="2"/>
      <c r="AQ775" s="2"/>
      <c r="AR775" s="2"/>
      <c r="AS775" s="2"/>
      <c r="AT775" s="2"/>
      <c r="AU775" s="2"/>
      <c r="AV775" s="2"/>
      <c r="AW775" s="2"/>
      <c r="AX775" s="2"/>
      <c r="AY775" s="2"/>
    </row>
    <row r="776" spans="1:51" x14ac:dyDescent="0.25">
      <c r="A776" s="24">
        <v>44645</v>
      </c>
      <c r="B776" s="1">
        <v>44645</v>
      </c>
      <c r="C776">
        <v>2.1</v>
      </c>
      <c r="D776">
        <v>2.2400000000000002</v>
      </c>
      <c r="E776">
        <v>2.2000000000000002</v>
      </c>
      <c r="F776">
        <v>2.11</v>
      </c>
      <c r="G776">
        <v>2.33</v>
      </c>
      <c r="H776">
        <v>2.38</v>
      </c>
      <c r="I776">
        <v>2.6</v>
      </c>
      <c r="J776">
        <v>2.73</v>
      </c>
      <c r="K776">
        <v>3.02</v>
      </c>
      <c r="M776" s="3"/>
      <c r="N776" s="17"/>
      <c r="O776" s="17"/>
      <c r="P776" s="17"/>
      <c r="Q776" s="17"/>
      <c r="R776" s="17"/>
      <c r="S776" s="17"/>
      <c r="T776" s="17"/>
      <c r="U776" s="17"/>
      <c r="V776" s="17"/>
      <c r="AE776" s="2"/>
      <c r="AQ776" s="2"/>
      <c r="AR776" s="2"/>
      <c r="AS776" s="2"/>
      <c r="AT776" s="2"/>
      <c r="AU776" s="2"/>
      <c r="AV776" s="2"/>
      <c r="AW776" s="2"/>
      <c r="AX776" s="2"/>
      <c r="AY776" s="2"/>
    </row>
    <row r="777" spans="1:51" x14ac:dyDescent="0.25">
      <c r="A777" s="24">
        <v>44644</v>
      </c>
      <c r="B777" s="1">
        <v>44644</v>
      </c>
      <c r="C777">
        <v>2.08</v>
      </c>
      <c r="D777">
        <v>2.12</v>
      </c>
      <c r="E777">
        <v>2.1</v>
      </c>
      <c r="F777">
        <v>2.06</v>
      </c>
      <c r="G777">
        <v>2.23</v>
      </c>
      <c r="H777">
        <v>2.3199999999999998</v>
      </c>
      <c r="I777">
        <v>2.52</v>
      </c>
      <c r="J777">
        <v>2.63</v>
      </c>
      <c r="K777">
        <v>2.86</v>
      </c>
      <c r="M777" s="3"/>
      <c r="N777" s="17"/>
      <c r="O777" s="17"/>
      <c r="P777" s="17"/>
      <c r="Q777" s="17"/>
      <c r="R777" s="17"/>
      <c r="S777" s="17"/>
      <c r="T777" s="17"/>
      <c r="U777" s="17"/>
      <c r="V777" s="17"/>
      <c r="AE777" s="2"/>
      <c r="AQ777" s="2"/>
      <c r="AR777" s="2"/>
      <c r="AS777" s="2"/>
      <c r="AT777" s="2"/>
      <c r="AU777" s="2"/>
      <c r="AV777" s="2"/>
      <c r="AW777" s="2"/>
      <c r="AX777" s="2"/>
      <c r="AY777" s="2"/>
    </row>
    <row r="778" spans="1:51" x14ac:dyDescent="0.25">
      <c r="A778" s="24">
        <v>44643</v>
      </c>
      <c r="B778" s="1">
        <v>44643</v>
      </c>
      <c r="C778">
        <v>2.12</v>
      </c>
      <c r="D778">
        <v>2.1800000000000002</v>
      </c>
      <c r="E778">
        <v>2.17</v>
      </c>
      <c r="F778">
        <v>2.0499999999999998</v>
      </c>
      <c r="G778">
        <v>2.1800000000000002</v>
      </c>
      <c r="H778">
        <v>2.3199999999999998</v>
      </c>
      <c r="I778">
        <v>2.58</v>
      </c>
      <c r="J778">
        <v>2.74</v>
      </c>
      <c r="K778">
        <v>2.93</v>
      </c>
      <c r="M778" s="3"/>
      <c r="N778" s="17"/>
      <c r="O778" s="17"/>
      <c r="P778" s="17"/>
      <c r="Q778" s="17"/>
      <c r="R778" s="17"/>
      <c r="S778" s="17"/>
      <c r="T778" s="17"/>
      <c r="U778" s="17"/>
      <c r="V778" s="17"/>
      <c r="AE778" s="2"/>
      <c r="AQ778" s="2"/>
      <c r="AR778" s="2"/>
      <c r="AS778" s="2"/>
      <c r="AT778" s="2"/>
      <c r="AU778" s="2"/>
      <c r="AV778" s="2"/>
      <c r="AW778" s="2"/>
      <c r="AX778" s="2"/>
      <c r="AY778" s="2"/>
    </row>
    <row r="779" spans="1:51" x14ac:dyDescent="0.25">
      <c r="A779" s="24">
        <v>44642</v>
      </c>
      <c r="B779" s="1">
        <v>44642</v>
      </c>
      <c r="C779">
        <v>2.1</v>
      </c>
      <c r="D779">
        <v>2.2000000000000002</v>
      </c>
      <c r="E779">
        <v>2.2200000000000002</v>
      </c>
      <c r="F779">
        <v>2.15</v>
      </c>
      <c r="G779">
        <v>2.3199999999999998</v>
      </c>
      <c r="H779">
        <v>2.39</v>
      </c>
      <c r="I779">
        <v>2.54</v>
      </c>
      <c r="J779">
        <v>2.72</v>
      </c>
      <c r="K779">
        <v>2.9</v>
      </c>
      <c r="M779" s="3"/>
      <c r="N779" s="17"/>
      <c r="O779" s="17"/>
      <c r="P779" s="17"/>
      <c r="Q779" s="17"/>
      <c r="R779" s="17"/>
      <c r="S779" s="17"/>
      <c r="T779" s="17"/>
      <c r="U779" s="17"/>
      <c r="V779" s="17"/>
      <c r="AE779" s="2"/>
      <c r="AQ779" s="2"/>
      <c r="AR779" s="2"/>
      <c r="AS779" s="2"/>
      <c r="AT779" s="2"/>
      <c r="AU779" s="2"/>
      <c r="AV779" s="2"/>
      <c r="AW779" s="2"/>
      <c r="AX779" s="2"/>
      <c r="AY779" s="2"/>
    </row>
    <row r="780" spans="1:51" x14ac:dyDescent="0.25">
      <c r="A780" s="24">
        <v>44641</v>
      </c>
      <c r="B780" s="1">
        <v>44641</v>
      </c>
      <c r="C780">
        <v>2.08</v>
      </c>
      <c r="D780">
        <v>2.15</v>
      </c>
      <c r="E780">
        <v>2.1</v>
      </c>
      <c r="F780">
        <v>2.13</v>
      </c>
      <c r="G780">
        <v>2.2799999999999998</v>
      </c>
      <c r="H780">
        <v>2.34</v>
      </c>
      <c r="I780">
        <v>2.5299999999999998</v>
      </c>
      <c r="J780">
        <v>2.68</v>
      </c>
      <c r="K780">
        <v>2.88</v>
      </c>
      <c r="M780" s="3"/>
      <c r="N780" s="17"/>
      <c r="O780" s="17"/>
      <c r="P780" s="17"/>
      <c r="Q780" s="17"/>
      <c r="R780" s="17"/>
      <c r="S780" s="17"/>
      <c r="T780" s="17"/>
      <c r="U780" s="17"/>
      <c r="V780" s="17"/>
      <c r="AE780" s="2"/>
      <c r="AQ780" s="2"/>
      <c r="AR780" s="2"/>
      <c r="AS780" s="2"/>
      <c r="AT780" s="2"/>
      <c r="AU780" s="2"/>
      <c r="AV780" s="2"/>
      <c r="AW780" s="2"/>
      <c r="AX780" s="2"/>
      <c r="AY780" s="2"/>
    </row>
    <row r="781" spans="1:51" x14ac:dyDescent="0.25">
      <c r="A781" s="24">
        <v>44638</v>
      </c>
      <c r="B781" s="1">
        <v>44638</v>
      </c>
      <c r="C781">
        <v>2.12</v>
      </c>
      <c r="D781">
        <v>2.2400000000000002</v>
      </c>
      <c r="E781">
        <v>2.2799999999999998</v>
      </c>
      <c r="F781">
        <v>2.16</v>
      </c>
      <c r="G781">
        <v>2.4</v>
      </c>
      <c r="H781">
        <v>2.46</v>
      </c>
      <c r="I781">
        <v>2.56</v>
      </c>
      <c r="J781">
        <v>2.7</v>
      </c>
      <c r="K781">
        <v>2.88</v>
      </c>
      <c r="M781" s="3"/>
      <c r="N781" s="17"/>
      <c r="O781" s="17"/>
      <c r="P781" s="17"/>
      <c r="Q781" s="17"/>
      <c r="R781" s="17"/>
      <c r="S781" s="17"/>
      <c r="T781" s="17"/>
      <c r="U781" s="17"/>
      <c r="V781" s="17"/>
      <c r="AE781" s="2"/>
      <c r="AQ781" s="2"/>
      <c r="AR781" s="2"/>
      <c r="AS781" s="2"/>
      <c r="AT781" s="2"/>
      <c r="AU781" s="2"/>
      <c r="AV781" s="2"/>
      <c r="AW781" s="2"/>
      <c r="AX781" s="2"/>
      <c r="AY781" s="2"/>
    </row>
    <row r="782" spans="1:51" x14ac:dyDescent="0.25">
      <c r="A782" s="24">
        <v>44637</v>
      </c>
      <c r="B782" s="1">
        <v>44637</v>
      </c>
      <c r="C782">
        <v>2.12</v>
      </c>
      <c r="D782">
        <v>2.2400000000000002</v>
      </c>
      <c r="E782">
        <v>2.2799999999999998</v>
      </c>
      <c r="F782">
        <v>2.2400000000000002</v>
      </c>
      <c r="G782">
        <v>2.44</v>
      </c>
      <c r="H782">
        <v>2.48</v>
      </c>
      <c r="I782">
        <v>2.6</v>
      </c>
      <c r="J782">
        <v>2.73</v>
      </c>
      <c r="K782">
        <v>2.9</v>
      </c>
      <c r="M782" s="3"/>
      <c r="N782" s="17"/>
      <c r="O782" s="17"/>
      <c r="P782" s="17"/>
      <c r="Q782" s="17"/>
      <c r="R782" s="17"/>
      <c r="S782" s="17"/>
      <c r="T782" s="17"/>
      <c r="U782" s="17"/>
      <c r="V782" s="17"/>
      <c r="AE782" s="2"/>
      <c r="AQ782" s="2"/>
      <c r="AR782" s="2"/>
      <c r="AS782" s="2"/>
      <c r="AT782" s="2"/>
      <c r="AU782" s="2"/>
      <c r="AV782" s="2"/>
      <c r="AW782" s="2"/>
      <c r="AX782" s="2"/>
      <c r="AY782" s="2"/>
    </row>
    <row r="783" spans="1:51" x14ac:dyDescent="0.25">
      <c r="A783" s="24">
        <v>44636</v>
      </c>
      <c r="B783" s="1">
        <v>44636</v>
      </c>
      <c r="C783">
        <v>2.11</v>
      </c>
      <c r="D783">
        <v>2.2000000000000002</v>
      </c>
      <c r="E783">
        <v>2.23</v>
      </c>
      <c r="F783">
        <v>2.2000000000000002</v>
      </c>
      <c r="G783">
        <v>2.39</v>
      </c>
      <c r="H783">
        <v>2.44</v>
      </c>
      <c r="I783">
        <v>2.61</v>
      </c>
      <c r="J783">
        <v>2.73</v>
      </c>
      <c r="K783">
        <v>2.92</v>
      </c>
      <c r="M783" s="3"/>
      <c r="N783" s="17"/>
      <c r="O783" s="17"/>
      <c r="P783" s="17"/>
      <c r="Q783" s="17"/>
      <c r="R783" s="17"/>
      <c r="S783" s="17"/>
      <c r="T783" s="17"/>
      <c r="U783" s="17"/>
      <c r="V783" s="17"/>
      <c r="AE783" s="2"/>
      <c r="AQ783" s="2"/>
      <c r="AR783" s="2"/>
      <c r="AS783" s="2"/>
      <c r="AT783" s="2"/>
      <c r="AU783" s="2"/>
      <c r="AV783" s="2"/>
      <c r="AW783" s="2"/>
      <c r="AX783" s="2"/>
      <c r="AY783" s="2"/>
    </row>
    <row r="784" spans="1:51" x14ac:dyDescent="0.25">
      <c r="A784" s="24">
        <v>44635</v>
      </c>
      <c r="B784" s="1">
        <v>44635</v>
      </c>
      <c r="C784">
        <v>2.12</v>
      </c>
      <c r="D784">
        <v>2.2200000000000002</v>
      </c>
      <c r="E784">
        <v>2.27</v>
      </c>
      <c r="F784">
        <v>2.23</v>
      </c>
      <c r="G784">
        <v>2.42</v>
      </c>
      <c r="H784">
        <v>2.4500000000000002</v>
      </c>
      <c r="I784">
        <v>2.58</v>
      </c>
      <c r="J784">
        <v>2.68</v>
      </c>
      <c r="K784">
        <v>2.88</v>
      </c>
      <c r="M784" s="3"/>
      <c r="N784" s="17"/>
      <c r="O784" s="17"/>
      <c r="P784" s="17"/>
      <c r="Q784" s="17"/>
      <c r="R784" s="17"/>
      <c r="S784" s="17"/>
      <c r="T784" s="17"/>
      <c r="U784" s="17"/>
      <c r="V784" s="17"/>
      <c r="AE784" s="2"/>
      <c r="AQ784" s="2"/>
      <c r="AR784" s="2"/>
      <c r="AS784" s="2"/>
      <c r="AT784" s="2"/>
      <c r="AU784" s="2"/>
      <c r="AV784" s="2"/>
      <c r="AW784" s="2"/>
      <c r="AX784" s="2"/>
      <c r="AY784" s="2"/>
    </row>
    <row r="785" spans="1:51" x14ac:dyDescent="0.25">
      <c r="A785" s="24">
        <v>44634</v>
      </c>
      <c r="B785" s="1">
        <v>44634</v>
      </c>
      <c r="C785">
        <v>2.1</v>
      </c>
      <c r="D785">
        <v>2.2000000000000002</v>
      </c>
      <c r="E785">
        <v>2.2599999999999998</v>
      </c>
      <c r="F785">
        <v>2.23</v>
      </c>
      <c r="G785">
        <v>2.4</v>
      </c>
      <c r="H785">
        <v>2.44</v>
      </c>
      <c r="I785">
        <v>2.57</v>
      </c>
      <c r="J785">
        <v>2.68</v>
      </c>
      <c r="K785">
        <v>2.88</v>
      </c>
      <c r="M785" s="3"/>
      <c r="N785" s="17"/>
      <c r="O785" s="17"/>
      <c r="P785" s="17"/>
      <c r="Q785" s="17"/>
      <c r="R785" s="17"/>
      <c r="S785" s="17"/>
      <c r="T785" s="17"/>
      <c r="U785" s="17"/>
      <c r="V785" s="17"/>
      <c r="AE785" s="2"/>
      <c r="AQ785" s="2"/>
      <c r="AR785" s="2"/>
      <c r="AS785" s="2"/>
      <c r="AT785" s="2"/>
      <c r="AU785" s="2"/>
      <c r="AV785" s="2"/>
      <c r="AW785" s="2"/>
      <c r="AX785" s="2"/>
      <c r="AY785" s="2"/>
    </row>
    <row r="786" spans="1:51" x14ac:dyDescent="0.25">
      <c r="A786" s="24">
        <v>44631</v>
      </c>
      <c r="B786" s="1">
        <v>44631</v>
      </c>
      <c r="C786">
        <v>2.14</v>
      </c>
      <c r="D786">
        <v>2.1800000000000002</v>
      </c>
      <c r="E786">
        <v>2.2200000000000002</v>
      </c>
      <c r="F786">
        <v>2.16</v>
      </c>
      <c r="G786">
        <v>2.34</v>
      </c>
      <c r="H786">
        <v>2.42</v>
      </c>
      <c r="I786">
        <v>2.64</v>
      </c>
      <c r="J786">
        <v>2.73</v>
      </c>
      <c r="K786">
        <v>3.02</v>
      </c>
      <c r="M786" s="3"/>
      <c r="N786" s="17"/>
      <c r="O786" s="17"/>
      <c r="P786" s="17"/>
      <c r="Q786" s="17"/>
      <c r="R786" s="17"/>
      <c r="S786" s="17"/>
      <c r="T786" s="17"/>
      <c r="U786" s="17"/>
      <c r="V786" s="17"/>
      <c r="AE786" s="2"/>
      <c r="AQ786" s="2"/>
      <c r="AR786" s="2"/>
      <c r="AS786" s="2"/>
      <c r="AT786" s="2"/>
      <c r="AU786" s="2"/>
      <c r="AV786" s="2"/>
      <c r="AW786" s="2"/>
      <c r="AX786" s="2"/>
      <c r="AY786" s="2"/>
    </row>
    <row r="787" spans="1:51" x14ac:dyDescent="0.25">
      <c r="A787" s="24">
        <v>44630</v>
      </c>
      <c r="B787" s="1">
        <v>44630</v>
      </c>
      <c r="C787">
        <v>2.13</v>
      </c>
      <c r="D787">
        <v>2.2000000000000002</v>
      </c>
      <c r="E787">
        <v>2.23</v>
      </c>
      <c r="F787">
        <v>2.2000000000000002</v>
      </c>
      <c r="G787">
        <v>2.4</v>
      </c>
      <c r="H787">
        <v>2.4500000000000002</v>
      </c>
      <c r="I787">
        <v>2.63</v>
      </c>
      <c r="J787">
        <v>2.74</v>
      </c>
      <c r="K787">
        <v>2.93</v>
      </c>
      <c r="M787" s="3"/>
      <c r="N787" s="17"/>
      <c r="O787" s="17"/>
      <c r="P787" s="17"/>
      <c r="Q787" s="17"/>
      <c r="R787" s="17"/>
      <c r="S787" s="17"/>
      <c r="T787" s="17"/>
      <c r="U787" s="17"/>
      <c r="V787" s="17"/>
      <c r="AE787" s="2"/>
      <c r="AQ787" s="2"/>
      <c r="AR787" s="2"/>
      <c r="AS787" s="2"/>
      <c r="AT787" s="2"/>
      <c r="AU787" s="2"/>
      <c r="AV787" s="2"/>
      <c r="AW787" s="2"/>
      <c r="AX787" s="2"/>
      <c r="AY787" s="2"/>
    </row>
    <row r="788" spans="1:51" x14ac:dyDescent="0.25">
      <c r="A788" s="24">
        <v>44629</v>
      </c>
      <c r="B788" s="1">
        <v>44629</v>
      </c>
      <c r="C788">
        <v>2.17</v>
      </c>
      <c r="D788">
        <v>2.25</v>
      </c>
      <c r="E788">
        <v>2.25</v>
      </c>
      <c r="F788">
        <v>2.2200000000000002</v>
      </c>
      <c r="G788">
        <v>2.4</v>
      </c>
      <c r="H788">
        <v>2.4500000000000002</v>
      </c>
      <c r="I788">
        <v>2.58</v>
      </c>
      <c r="J788">
        <v>2.68</v>
      </c>
      <c r="K788">
        <v>2.88</v>
      </c>
      <c r="M788" s="3"/>
      <c r="N788" s="17"/>
      <c r="O788" s="17"/>
      <c r="P788" s="17"/>
      <c r="Q788" s="17"/>
      <c r="R788" s="17"/>
      <c r="S788" s="17"/>
      <c r="T788" s="17"/>
      <c r="U788" s="17"/>
      <c r="V788" s="17"/>
      <c r="AE788" s="2"/>
      <c r="AQ788" s="2"/>
      <c r="AR788" s="2"/>
      <c r="AS788" s="2"/>
      <c r="AT788" s="2"/>
      <c r="AU788" s="2"/>
      <c r="AV788" s="2"/>
      <c r="AW788" s="2"/>
      <c r="AX788" s="2"/>
      <c r="AY788" s="2"/>
    </row>
    <row r="789" spans="1:51" x14ac:dyDescent="0.25">
      <c r="A789" s="24">
        <v>44628</v>
      </c>
      <c r="B789" s="1">
        <v>44628</v>
      </c>
      <c r="C789">
        <v>2.23</v>
      </c>
      <c r="D789">
        <v>2.3199999999999998</v>
      </c>
      <c r="E789">
        <v>2.3199999999999998</v>
      </c>
      <c r="F789">
        <v>2.2000000000000002</v>
      </c>
      <c r="G789">
        <v>2.38</v>
      </c>
      <c r="H789">
        <v>2.42</v>
      </c>
      <c r="I789">
        <v>2.5499999999999998</v>
      </c>
      <c r="J789">
        <v>2.72</v>
      </c>
      <c r="K789">
        <v>2.9</v>
      </c>
      <c r="M789" s="3"/>
      <c r="N789" s="17"/>
      <c r="O789" s="17"/>
      <c r="P789" s="17"/>
      <c r="Q789" s="17"/>
      <c r="R789" s="17"/>
      <c r="S789" s="17"/>
      <c r="T789" s="17"/>
      <c r="U789" s="17"/>
      <c r="V789" s="17"/>
      <c r="AE789" s="2"/>
      <c r="AQ789" s="2"/>
      <c r="AR789" s="2"/>
      <c r="AS789" s="2"/>
      <c r="AT789" s="2"/>
      <c r="AU789" s="2"/>
      <c r="AV789" s="2"/>
      <c r="AW789" s="2"/>
      <c r="AX789" s="2"/>
      <c r="AY789" s="2"/>
    </row>
    <row r="790" spans="1:51" x14ac:dyDescent="0.25">
      <c r="A790" s="24">
        <v>44627</v>
      </c>
      <c r="B790" s="1">
        <v>44627</v>
      </c>
      <c r="C790">
        <v>2.2200000000000002</v>
      </c>
      <c r="D790">
        <v>2.2799999999999998</v>
      </c>
      <c r="E790">
        <v>2.2400000000000002</v>
      </c>
      <c r="F790">
        <v>2.16</v>
      </c>
      <c r="G790">
        <v>2.38</v>
      </c>
      <c r="H790">
        <v>2.44</v>
      </c>
      <c r="I790">
        <v>2.56</v>
      </c>
      <c r="J790">
        <v>2.65</v>
      </c>
      <c r="K790">
        <v>2.84</v>
      </c>
      <c r="M790" s="3"/>
      <c r="N790" s="17"/>
      <c r="O790" s="17"/>
      <c r="P790" s="17"/>
      <c r="Q790" s="17"/>
      <c r="R790" s="17"/>
      <c r="S790" s="17"/>
      <c r="T790" s="17"/>
      <c r="U790" s="17"/>
      <c r="V790" s="17"/>
      <c r="AE790" s="2"/>
      <c r="AQ790" s="2"/>
      <c r="AR790" s="2"/>
      <c r="AS790" s="2"/>
      <c r="AT790" s="2"/>
      <c r="AU790" s="2"/>
      <c r="AV790" s="2"/>
      <c r="AW790" s="2"/>
      <c r="AX790" s="2"/>
      <c r="AY790" s="2"/>
    </row>
    <row r="791" spans="1:51" x14ac:dyDescent="0.25">
      <c r="A791" s="24">
        <v>44624</v>
      </c>
      <c r="B791" s="1">
        <v>44624</v>
      </c>
      <c r="C791">
        <v>2.2799999999999998</v>
      </c>
      <c r="D791">
        <v>2.2999999999999998</v>
      </c>
      <c r="E791">
        <v>2.27</v>
      </c>
      <c r="F791">
        <v>2.13</v>
      </c>
      <c r="G791">
        <v>2.37</v>
      </c>
      <c r="H791">
        <v>2.4300000000000002</v>
      </c>
      <c r="I791">
        <v>2.58</v>
      </c>
      <c r="J791">
        <v>2.73</v>
      </c>
      <c r="K791">
        <v>2.93</v>
      </c>
      <c r="M791" s="3"/>
      <c r="N791" s="17"/>
      <c r="O791" s="17"/>
      <c r="P791" s="17"/>
      <c r="Q791" s="17"/>
      <c r="R791" s="17"/>
      <c r="S791" s="17"/>
      <c r="T791" s="17"/>
      <c r="U791" s="17"/>
      <c r="V791" s="17"/>
      <c r="AE791" s="2"/>
      <c r="AQ791" s="2"/>
      <c r="AR791" s="2"/>
      <c r="AS791" s="2"/>
      <c r="AT791" s="2"/>
      <c r="AU791" s="2"/>
      <c r="AV791" s="2"/>
      <c r="AW791" s="2"/>
      <c r="AX791" s="2"/>
      <c r="AY791" s="2"/>
    </row>
    <row r="792" spans="1:51" x14ac:dyDescent="0.25">
      <c r="A792" s="24">
        <v>44623</v>
      </c>
      <c r="B792" s="1">
        <v>44623</v>
      </c>
      <c r="C792">
        <v>2.2799999999999998</v>
      </c>
      <c r="D792">
        <v>2.2999999999999998</v>
      </c>
      <c r="E792">
        <v>2.25</v>
      </c>
      <c r="F792">
        <v>2.13</v>
      </c>
      <c r="G792">
        <v>2.33</v>
      </c>
      <c r="H792">
        <v>2.4</v>
      </c>
      <c r="I792">
        <v>2.58</v>
      </c>
      <c r="J792">
        <v>2.73</v>
      </c>
      <c r="K792">
        <v>2.93</v>
      </c>
      <c r="M792" s="3"/>
      <c r="N792" s="17"/>
      <c r="O792" s="17"/>
      <c r="P792" s="17"/>
      <c r="Q792" s="17"/>
      <c r="R792" s="17"/>
      <c r="S792" s="17"/>
      <c r="T792" s="17"/>
      <c r="U792" s="17"/>
      <c r="V792" s="17"/>
      <c r="AE792" s="2"/>
      <c r="AQ792" s="2"/>
      <c r="AR792" s="2"/>
      <c r="AS792" s="2"/>
      <c r="AT792" s="2"/>
      <c r="AU792" s="2"/>
      <c r="AV792" s="2"/>
      <c r="AW792" s="2"/>
      <c r="AX792" s="2"/>
      <c r="AY792" s="2"/>
    </row>
    <row r="793" spans="1:51" x14ac:dyDescent="0.25">
      <c r="A793" s="24">
        <v>44622</v>
      </c>
      <c r="B793" s="1">
        <v>44622</v>
      </c>
      <c r="C793">
        <v>2.31</v>
      </c>
      <c r="D793">
        <v>2.36</v>
      </c>
      <c r="E793">
        <v>2.34</v>
      </c>
      <c r="F793">
        <v>2.23</v>
      </c>
      <c r="G793">
        <v>2.39</v>
      </c>
      <c r="H793">
        <v>2.41</v>
      </c>
      <c r="I793">
        <v>2.6</v>
      </c>
      <c r="J793">
        <v>2.77</v>
      </c>
      <c r="K793">
        <v>2.96</v>
      </c>
      <c r="M793" s="3"/>
      <c r="N793" s="17"/>
      <c r="O793" s="17"/>
      <c r="P793" s="17"/>
      <c r="Q793" s="17"/>
      <c r="R793" s="17"/>
      <c r="S793" s="17"/>
      <c r="T793" s="17"/>
      <c r="U793" s="17"/>
      <c r="V793" s="17"/>
      <c r="AE793" s="2"/>
      <c r="AQ793" s="2"/>
      <c r="AR793" s="2"/>
      <c r="AS793" s="2"/>
      <c r="AT793" s="2"/>
      <c r="AU793" s="2"/>
      <c r="AV793" s="2"/>
      <c r="AW793" s="2"/>
      <c r="AX793" s="2"/>
      <c r="AY793" s="2"/>
    </row>
    <row r="794" spans="1:51" x14ac:dyDescent="0.25">
      <c r="A794" s="24">
        <v>44621</v>
      </c>
      <c r="B794" s="1">
        <v>44621</v>
      </c>
      <c r="C794">
        <v>2.5499999999999998</v>
      </c>
      <c r="D794">
        <v>2.63</v>
      </c>
      <c r="E794">
        <v>2.6</v>
      </c>
      <c r="F794">
        <v>2.48</v>
      </c>
      <c r="G794">
        <v>2.5299999999999998</v>
      </c>
      <c r="H794">
        <v>2.5499999999999998</v>
      </c>
      <c r="I794">
        <v>2.8</v>
      </c>
      <c r="J794">
        <v>2.94</v>
      </c>
      <c r="K794">
        <v>3.1</v>
      </c>
      <c r="M794" s="3"/>
      <c r="N794" s="17"/>
      <c r="O794" s="17"/>
      <c r="P794" s="17"/>
      <c r="Q794" s="17"/>
      <c r="R794" s="17"/>
      <c r="S794" s="17"/>
      <c r="T794" s="17"/>
      <c r="U794" s="17"/>
      <c r="V794" s="17"/>
      <c r="AE794" s="2"/>
      <c r="AQ794" s="2"/>
      <c r="AR794" s="2"/>
      <c r="AS794" s="2"/>
      <c r="AT794" s="2"/>
      <c r="AU794" s="2"/>
      <c r="AV794" s="2"/>
      <c r="AW794" s="2"/>
      <c r="AX794" s="2"/>
      <c r="AY794" s="2"/>
    </row>
    <row r="795" spans="1:51" x14ac:dyDescent="0.25">
      <c r="A795" s="24">
        <v>44620</v>
      </c>
      <c r="B795" s="1">
        <v>44620</v>
      </c>
      <c r="C795">
        <v>2.5</v>
      </c>
      <c r="D795">
        <v>2.59</v>
      </c>
      <c r="E795">
        <v>2.57</v>
      </c>
      <c r="F795">
        <v>2.46</v>
      </c>
      <c r="G795">
        <v>2.5</v>
      </c>
      <c r="H795">
        <v>2.5099999999999998</v>
      </c>
      <c r="I795">
        <v>2.69</v>
      </c>
      <c r="J795">
        <v>2.77</v>
      </c>
      <c r="K795">
        <v>2.96</v>
      </c>
      <c r="M795" s="3"/>
      <c r="N795" s="17"/>
      <c r="O795" s="17"/>
      <c r="P795" s="17"/>
      <c r="Q795" s="17"/>
      <c r="R795" s="17"/>
      <c r="S795" s="17"/>
      <c r="T795" s="17"/>
      <c r="U795" s="17"/>
      <c r="V795" s="17"/>
      <c r="AE795" s="2"/>
      <c r="AQ795" s="2"/>
      <c r="AR795" s="2"/>
      <c r="AS795" s="2"/>
      <c r="AT795" s="2"/>
      <c r="AU795" s="2"/>
      <c r="AV795" s="2"/>
      <c r="AW795" s="2"/>
      <c r="AX795" s="2"/>
      <c r="AY795" s="2"/>
    </row>
    <row r="796" spans="1:51" x14ac:dyDescent="0.25">
      <c r="A796" s="24">
        <v>44617</v>
      </c>
      <c r="B796" s="1">
        <v>44617</v>
      </c>
      <c r="C796">
        <v>2.54</v>
      </c>
      <c r="D796">
        <v>2.66</v>
      </c>
      <c r="E796">
        <v>2.64</v>
      </c>
      <c r="F796">
        <v>2.46</v>
      </c>
      <c r="G796">
        <v>2.4700000000000002</v>
      </c>
      <c r="H796">
        <v>2.5</v>
      </c>
      <c r="I796">
        <v>2.73</v>
      </c>
      <c r="J796">
        <v>2.85</v>
      </c>
      <c r="K796">
        <v>3.06</v>
      </c>
      <c r="M796" s="3"/>
      <c r="N796" s="17"/>
      <c r="O796" s="17"/>
      <c r="P796" s="17"/>
      <c r="Q796" s="17"/>
      <c r="R796" s="17"/>
      <c r="S796" s="17"/>
      <c r="T796" s="17"/>
      <c r="U796" s="17"/>
      <c r="V796" s="17"/>
      <c r="AE796" s="2"/>
      <c r="AQ796" s="2"/>
      <c r="AR796" s="2"/>
      <c r="AS796" s="2"/>
      <c r="AT796" s="2"/>
      <c r="AU796" s="2"/>
      <c r="AV796" s="2"/>
      <c r="AW796" s="2"/>
      <c r="AX796" s="2"/>
      <c r="AY796" s="2"/>
    </row>
    <row r="797" spans="1:51" x14ac:dyDescent="0.25">
      <c r="A797" s="24">
        <v>44616</v>
      </c>
      <c r="B797" s="1">
        <v>44616</v>
      </c>
      <c r="C797">
        <v>2.5</v>
      </c>
      <c r="D797">
        <v>2.6</v>
      </c>
      <c r="E797">
        <v>2.59</v>
      </c>
      <c r="F797">
        <v>2.44</v>
      </c>
      <c r="G797">
        <v>2.5</v>
      </c>
      <c r="H797">
        <v>2.5099999999999998</v>
      </c>
      <c r="I797">
        <v>2.71</v>
      </c>
      <c r="J797">
        <v>2.85</v>
      </c>
      <c r="K797">
        <v>3.08</v>
      </c>
      <c r="M797" s="3"/>
      <c r="N797" s="17"/>
      <c r="O797" s="17"/>
      <c r="P797" s="17"/>
      <c r="Q797" s="17"/>
      <c r="R797" s="17"/>
      <c r="S797" s="17"/>
      <c r="T797" s="17"/>
      <c r="U797" s="17"/>
      <c r="V797" s="17"/>
      <c r="AE797" s="2"/>
      <c r="AQ797" s="2"/>
      <c r="AR797" s="2"/>
      <c r="AS797" s="2"/>
      <c r="AT797" s="2"/>
      <c r="AU797" s="2"/>
      <c r="AV797" s="2"/>
      <c r="AW797" s="2"/>
      <c r="AX797" s="2"/>
      <c r="AY797" s="2"/>
    </row>
    <row r="798" spans="1:51" x14ac:dyDescent="0.25">
      <c r="A798" s="24">
        <v>44615</v>
      </c>
      <c r="B798" s="1">
        <v>44615</v>
      </c>
      <c r="C798">
        <v>2.5299999999999998</v>
      </c>
      <c r="D798">
        <v>2.65</v>
      </c>
      <c r="E798">
        <v>2.63</v>
      </c>
      <c r="F798">
        <v>2.5299999999999998</v>
      </c>
      <c r="G798">
        <v>2.5299999999999998</v>
      </c>
      <c r="H798">
        <v>2.5499999999999998</v>
      </c>
      <c r="I798">
        <v>2.75</v>
      </c>
      <c r="J798">
        <v>2.88</v>
      </c>
      <c r="K798">
        <v>3.1</v>
      </c>
      <c r="M798" s="3"/>
      <c r="N798" s="17"/>
      <c r="O798" s="17"/>
      <c r="P798" s="17"/>
      <c r="Q798" s="17"/>
      <c r="R798" s="17"/>
      <c r="S798" s="17"/>
      <c r="T798" s="17"/>
      <c r="U798" s="17"/>
      <c r="V798" s="17"/>
      <c r="AE798" s="2"/>
      <c r="AQ798" s="2"/>
      <c r="AR798" s="2"/>
      <c r="AS798" s="2"/>
      <c r="AT798" s="2"/>
      <c r="AU798" s="2"/>
      <c r="AV798" s="2"/>
      <c r="AW798" s="2"/>
      <c r="AX798" s="2"/>
      <c r="AY798" s="2"/>
    </row>
    <row r="799" spans="1:51" x14ac:dyDescent="0.25">
      <c r="A799" s="24">
        <v>44614</v>
      </c>
      <c r="B799" s="1">
        <v>44614</v>
      </c>
      <c r="C799">
        <v>2.57</v>
      </c>
      <c r="D799">
        <v>2.63</v>
      </c>
      <c r="E799">
        <v>2.62</v>
      </c>
      <c r="F799">
        <v>2.58</v>
      </c>
      <c r="G799">
        <v>2.5499999999999998</v>
      </c>
      <c r="H799">
        <v>2.57</v>
      </c>
      <c r="I799">
        <v>2.65</v>
      </c>
      <c r="J799">
        <v>2.76</v>
      </c>
      <c r="K799">
        <v>3.03</v>
      </c>
      <c r="M799" s="3"/>
      <c r="N799" s="17"/>
      <c r="O799" s="17"/>
      <c r="P799" s="17"/>
      <c r="Q799" s="17"/>
      <c r="R799" s="17"/>
      <c r="S799" s="17"/>
      <c r="T799" s="17"/>
      <c r="U799" s="17"/>
      <c r="V799" s="17"/>
      <c r="AE799" s="2"/>
      <c r="AQ799" s="2"/>
      <c r="AR799" s="2"/>
      <c r="AS799" s="2"/>
      <c r="AT799" s="2"/>
      <c r="AU799" s="2"/>
      <c r="AV799" s="2"/>
      <c r="AW799" s="2"/>
      <c r="AX799" s="2"/>
      <c r="AY799" s="2"/>
    </row>
    <row r="800" spans="1:51" x14ac:dyDescent="0.25">
      <c r="A800" s="24">
        <v>44613</v>
      </c>
      <c r="B800" s="1">
        <v>44613</v>
      </c>
      <c r="C800">
        <v>2.6</v>
      </c>
      <c r="D800">
        <v>2.7</v>
      </c>
      <c r="E800">
        <v>2.65</v>
      </c>
      <c r="F800">
        <v>2.6</v>
      </c>
      <c r="G800">
        <v>2.5299999999999998</v>
      </c>
      <c r="H800">
        <v>2.5499999999999998</v>
      </c>
      <c r="I800">
        <v>2.65</v>
      </c>
      <c r="J800">
        <v>2.76</v>
      </c>
      <c r="K800">
        <v>3</v>
      </c>
      <c r="M800" s="3"/>
      <c r="N800" s="17"/>
      <c r="O800" s="17"/>
      <c r="P800" s="17"/>
      <c r="Q800" s="17"/>
      <c r="R800" s="17"/>
      <c r="S800" s="17"/>
      <c r="T800" s="17"/>
      <c r="U800" s="17"/>
      <c r="V800" s="17"/>
      <c r="AE800" s="2"/>
      <c r="AQ800" s="2"/>
      <c r="AR800" s="2"/>
      <c r="AS800" s="2"/>
      <c r="AT800" s="2"/>
      <c r="AU800" s="2"/>
      <c r="AV800" s="2"/>
      <c r="AW800" s="2"/>
      <c r="AX800" s="2"/>
      <c r="AY800" s="2"/>
    </row>
    <row r="801" spans="1:51" x14ac:dyDescent="0.25">
      <c r="A801" s="24">
        <v>44610</v>
      </c>
      <c r="B801" s="1">
        <v>44610</v>
      </c>
      <c r="C801">
        <v>2.56</v>
      </c>
      <c r="D801">
        <v>2.63</v>
      </c>
      <c r="E801">
        <v>2.59</v>
      </c>
      <c r="F801">
        <v>2.54</v>
      </c>
      <c r="G801">
        <v>2.54</v>
      </c>
      <c r="H801">
        <v>2.56</v>
      </c>
      <c r="I801">
        <v>2.63</v>
      </c>
      <c r="J801">
        <v>2.72</v>
      </c>
      <c r="K801">
        <v>2.96</v>
      </c>
      <c r="M801" s="3"/>
      <c r="N801" s="17"/>
      <c r="O801" s="17"/>
      <c r="P801" s="17"/>
      <c r="Q801" s="17"/>
      <c r="R801" s="17"/>
      <c r="S801" s="17"/>
      <c r="T801" s="17"/>
      <c r="U801" s="17"/>
      <c r="V801" s="17"/>
      <c r="AE801" s="2"/>
      <c r="AQ801" s="2"/>
      <c r="AR801" s="2"/>
      <c r="AS801" s="2"/>
      <c r="AT801" s="2"/>
      <c r="AU801" s="2"/>
      <c r="AV801" s="2"/>
      <c r="AW801" s="2"/>
      <c r="AX801" s="2"/>
      <c r="AY801" s="2"/>
    </row>
    <row r="802" spans="1:51" x14ac:dyDescent="0.25">
      <c r="A802" s="24">
        <v>44609</v>
      </c>
      <c r="B802" s="1">
        <v>44609</v>
      </c>
      <c r="C802">
        <v>2.69</v>
      </c>
      <c r="D802">
        <v>2.76</v>
      </c>
      <c r="E802">
        <v>2.6</v>
      </c>
      <c r="F802">
        <v>2.6</v>
      </c>
      <c r="G802">
        <v>2.54</v>
      </c>
      <c r="H802">
        <v>2.56</v>
      </c>
      <c r="I802">
        <v>2.64</v>
      </c>
      <c r="J802">
        <v>2.72</v>
      </c>
      <c r="K802">
        <v>3.02</v>
      </c>
      <c r="M802" s="3"/>
      <c r="N802" s="17"/>
      <c r="O802" s="17"/>
      <c r="P802" s="17"/>
      <c r="Q802" s="17"/>
      <c r="R802" s="17"/>
      <c r="S802" s="17"/>
      <c r="T802" s="17"/>
      <c r="U802" s="17"/>
      <c r="V802" s="17"/>
      <c r="AE802" s="2"/>
      <c r="AQ802" s="2"/>
      <c r="AR802" s="2"/>
      <c r="AS802" s="2"/>
      <c r="AT802" s="2"/>
      <c r="AU802" s="2"/>
      <c r="AV802" s="2"/>
      <c r="AW802" s="2"/>
      <c r="AX802" s="2"/>
      <c r="AY802" s="2"/>
    </row>
    <row r="803" spans="1:51" x14ac:dyDescent="0.25">
      <c r="A803" s="24">
        <v>44608</v>
      </c>
      <c r="B803" s="1">
        <v>44608</v>
      </c>
      <c r="C803">
        <v>2.88</v>
      </c>
      <c r="D803">
        <v>2.82</v>
      </c>
      <c r="E803">
        <v>2.65</v>
      </c>
      <c r="F803">
        <v>2.65</v>
      </c>
      <c r="G803">
        <v>2.5499999999999998</v>
      </c>
      <c r="H803">
        <v>2.57</v>
      </c>
      <c r="I803">
        <v>2.7</v>
      </c>
      <c r="J803">
        <v>2.82</v>
      </c>
      <c r="K803">
        <v>3.15</v>
      </c>
      <c r="M803" s="3"/>
      <c r="N803" s="17"/>
      <c r="O803" s="17"/>
      <c r="P803" s="17"/>
      <c r="Q803" s="17"/>
      <c r="R803" s="17"/>
      <c r="S803" s="17"/>
      <c r="T803" s="17"/>
      <c r="U803" s="17"/>
      <c r="V803" s="17"/>
      <c r="AE803" s="2"/>
      <c r="AQ803" s="2"/>
      <c r="AR803" s="2"/>
      <c r="AS803" s="2"/>
      <c r="AT803" s="2"/>
      <c r="AU803" s="2"/>
      <c r="AV803" s="2"/>
      <c r="AW803" s="2"/>
      <c r="AX803" s="2"/>
      <c r="AY803" s="2"/>
    </row>
    <row r="804" spans="1:51" x14ac:dyDescent="0.25">
      <c r="A804" s="24">
        <v>44607</v>
      </c>
      <c r="B804" s="1">
        <v>44607</v>
      </c>
      <c r="C804">
        <v>2.84</v>
      </c>
      <c r="D804">
        <v>2.78</v>
      </c>
      <c r="E804">
        <v>2.6</v>
      </c>
      <c r="F804">
        <v>2.62</v>
      </c>
      <c r="G804">
        <v>2.52</v>
      </c>
      <c r="H804">
        <v>2.54</v>
      </c>
      <c r="I804">
        <v>2.68</v>
      </c>
      <c r="J804">
        <v>2.78</v>
      </c>
      <c r="K804">
        <v>3.05</v>
      </c>
      <c r="M804" s="3"/>
      <c r="N804" s="17"/>
      <c r="O804" s="17"/>
      <c r="P804" s="17"/>
      <c r="Q804" s="17"/>
      <c r="R804" s="17"/>
      <c r="S804" s="17"/>
      <c r="T804" s="17"/>
      <c r="U804" s="17"/>
      <c r="V804" s="17"/>
      <c r="AE804" s="2"/>
      <c r="AQ804" s="2"/>
      <c r="AR804" s="2"/>
      <c r="AS804" s="2"/>
      <c r="AT804" s="2"/>
      <c r="AU804" s="2"/>
      <c r="AV804" s="2"/>
      <c r="AW804" s="2"/>
      <c r="AX804" s="2"/>
      <c r="AY804" s="2"/>
    </row>
    <row r="805" spans="1:51" x14ac:dyDescent="0.25">
      <c r="A805" s="24">
        <v>44606</v>
      </c>
      <c r="B805" s="1">
        <v>44606</v>
      </c>
      <c r="C805">
        <v>2.92</v>
      </c>
      <c r="D805">
        <v>2.8</v>
      </c>
      <c r="E805">
        <v>2.62</v>
      </c>
      <c r="F805">
        <v>2.66</v>
      </c>
      <c r="G805">
        <v>2.58</v>
      </c>
      <c r="H805">
        <v>2.6</v>
      </c>
      <c r="I805">
        <v>2.68</v>
      </c>
      <c r="J805">
        <v>2.8</v>
      </c>
      <c r="K805">
        <v>3.22</v>
      </c>
      <c r="M805" s="3"/>
      <c r="N805" s="17"/>
      <c r="O805" s="17"/>
      <c r="P805" s="17"/>
      <c r="Q805" s="17"/>
      <c r="R805" s="17"/>
      <c r="S805" s="17"/>
      <c r="T805" s="17"/>
      <c r="U805" s="17"/>
      <c r="V805" s="17"/>
      <c r="AE805" s="2"/>
      <c r="AQ805" s="2"/>
      <c r="AR805" s="2"/>
      <c r="AS805" s="2"/>
      <c r="AT805" s="2"/>
      <c r="AU805" s="2"/>
      <c r="AV805" s="2"/>
      <c r="AW805" s="2"/>
      <c r="AX805" s="2"/>
      <c r="AY805" s="2"/>
    </row>
    <row r="806" spans="1:51" x14ac:dyDescent="0.25">
      <c r="A806" s="24">
        <v>44603</v>
      </c>
      <c r="B806" s="1">
        <v>44603</v>
      </c>
      <c r="C806">
        <v>2.7</v>
      </c>
      <c r="D806">
        <v>2.71</v>
      </c>
      <c r="E806">
        <v>2.56</v>
      </c>
      <c r="F806">
        <v>2.61</v>
      </c>
      <c r="G806">
        <v>2.57</v>
      </c>
      <c r="H806">
        <v>2.57</v>
      </c>
      <c r="I806">
        <v>2.63</v>
      </c>
      <c r="J806">
        <v>2.72</v>
      </c>
      <c r="K806">
        <v>3.02</v>
      </c>
      <c r="M806" s="3"/>
      <c r="N806" s="17"/>
      <c r="O806" s="17"/>
      <c r="P806" s="17"/>
      <c r="Q806" s="17"/>
      <c r="R806" s="17"/>
      <c r="S806" s="17"/>
      <c r="T806" s="17"/>
      <c r="U806" s="17"/>
      <c r="V806" s="17"/>
      <c r="AE806" s="2"/>
      <c r="AQ806" s="2"/>
      <c r="AR806" s="2"/>
      <c r="AS806" s="2"/>
      <c r="AT806" s="2"/>
      <c r="AU806" s="2"/>
      <c r="AV806" s="2"/>
      <c r="AW806" s="2"/>
      <c r="AX806" s="2"/>
      <c r="AY806" s="2"/>
    </row>
    <row r="807" spans="1:51" x14ac:dyDescent="0.25">
      <c r="A807" s="24">
        <v>44602</v>
      </c>
      <c r="B807" s="1">
        <v>44602</v>
      </c>
      <c r="C807">
        <v>2.74</v>
      </c>
      <c r="D807">
        <v>2.71</v>
      </c>
      <c r="E807">
        <v>2.7</v>
      </c>
      <c r="F807">
        <v>2.6</v>
      </c>
      <c r="G807">
        <v>2.61</v>
      </c>
      <c r="H807">
        <v>2.61</v>
      </c>
      <c r="I807">
        <v>2.7</v>
      </c>
      <c r="J807">
        <v>2.78</v>
      </c>
      <c r="K807">
        <v>3.12</v>
      </c>
      <c r="M807" s="3"/>
      <c r="N807" s="17"/>
      <c r="O807" s="17"/>
      <c r="P807" s="17"/>
      <c r="Q807" s="17"/>
      <c r="R807" s="17"/>
      <c r="S807" s="17"/>
      <c r="T807" s="17"/>
      <c r="U807" s="17"/>
      <c r="V807" s="17"/>
      <c r="AE807" s="2"/>
      <c r="AQ807" s="2"/>
      <c r="AR807" s="2"/>
      <c r="AS807" s="2"/>
      <c r="AT807" s="2"/>
      <c r="AU807" s="2"/>
      <c r="AV807" s="2"/>
      <c r="AW807" s="2"/>
      <c r="AX807" s="2"/>
      <c r="AY807" s="2"/>
    </row>
    <row r="808" spans="1:51" x14ac:dyDescent="0.25">
      <c r="A808" s="24">
        <v>44601</v>
      </c>
      <c r="B808" s="1">
        <v>44601</v>
      </c>
      <c r="C808">
        <v>2.87</v>
      </c>
      <c r="D808">
        <v>2.84</v>
      </c>
      <c r="E808">
        <v>2.77</v>
      </c>
      <c r="F808">
        <v>2.59</v>
      </c>
      <c r="G808">
        <v>2.6</v>
      </c>
      <c r="H808">
        <v>2.57</v>
      </c>
      <c r="I808">
        <v>2.67</v>
      </c>
      <c r="J808">
        <v>2.78</v>
      </c>
      <c r="K808">
        <v>3.08</v>
      </c>
      <c r="M808" s="3"/>
      <c r="N808" s="17"/>
      <c r="O808" s="17"/>
      <c r="P808" s="17"/>
      <c r="Q808" s="17"/>
      <c r="R808" s="17"/>
      <c r="S808" s="17"/>
      <c r="T808" s="17"/>
      <c r="U808" s="17"/>
      <c r="V808" s="17"/>
      <c r="AE808" s="2"/>
      <c r="AQ808" s="2"/>
      <c r="AR808" s="2"/>
      <c r="AS808" s="2"/>
      <c r="AT808" s="2"/>
      <c r="AU808" s="2"/>
      <c r="AV808" s="2"/>
      <c r="AW808" s="2"/>
      <c r="AX808" s="2"/>
      <c r="AY808" s="2"/>
    </row>
    <row r="809" spans="1:51" x14ac:dyDescent="0.25">
      <c r="A809" s="24">
        <v>44600</v>
      </c>
      <c r="B809" s="1">
        <v>44600</v>
      </c>
      <c r="C809">
        <v>2.4300000000000002</v>
      </c>
      <c r="D809">
        <v>2.56</v>
      </c>
      <c r="E809">
        <v>2.5299999999999998</v>
      </c>
      <c r="F809">
        <v>2.5</v>
      </c>
      <c r="G809">
        <v>2.5299999999999998</v>
      </c>
      <c r="H809">
        <v>2.5299999999999998</v>
      </c>
      <c r="I809">
        <v>2.59</v>
      </c>
      <c r="J809">
        <v>2.67</v>
      </c>
      <c r="K809">
        <v>3.02</v>
      </c>
      <c r="M809" s="3"/>
      <c r="N809" s="17"/>
      <c r="O809" s="17"/>
      <c r="P809" s="17"/>
      <c r="Q809" s="17"/>
      <c r="R809" s="17"/>
      <c r="S809" s="17"/>
      <c r="T809" s="17"/>
      <c r="U809" s="17"/>
      <c r="V809" s="17"/>
      <c r="AE809" s="2"/>
      <c r="AQ809" s="2"/>
      <c r="AR809" s="2"/>
      <c r="AS809" s="2"/>
      <c r="AT809" s="2"/>
      <c r="AU809" s="2"/>
      <c r="AV809" s="2"/>
      <c r="AW809" s="2"/>
      <c r="AX809" s="2"/>
      <c r="AY809" s="2"/>
    </row>
    <row r="810" spans="1:51" x14ac:dyDescent="0.25">
      <c r="A810" s="24">
        <v>44599</v>
      </c>
      <c r="B810" s="1">
        <v>44599</v>
      </c>
      <c r="C810">
        <v>2.2400000000000002</v>
      </c>
      <c r="D810">
        <v>2.38</v>
      </c>
      <c r="E810">
        <v>2.42</v>
      </c>
      <c r="F810">
        <v>2.4</v>
      </c>
      <c r="G810">
        <v>2.4</v>
      </c>
      <c r="H810">
        <v>2.4</v>
      </c>
      <c r="I810">
        <v>2.44</v>
      </c>
      <c r="J810">
        <v>2.6</v>
      </c>
      <c r="K810">
        <v>3.23</v>
      </c>
      <c r="M810" s="3"/>
      <c r="N810" s="17"/>
      <c r="O810" s="17"/>
      <c r="P810" s="17"/>
      <c r="Q810" s="17"/>
      <c r="R810" s="17"/>
      <c r="S810" s="17"/>
      <c r="T810" s="17"/>
      <c r="U810" s="17"/>
      <c r="V810" s="17"/>
      <c r="AE810" s="2"/>
      <c r="AQ810" s="2"/>
      <c r="AR810" s="2"/>
      <c r="AS810" s="2"/>
      <c r="AT810" s="2"/>
      <c r="AU810" s="2"/>
      <c r="AV810" s="2"/>
      <c r="AW810" s="2"/>
      <c r="AX810" s="2"/>
      <c r="AY810" s="2"/>
    </row>
    <row r="811" spans="1:51" x14ac:dyDescent="0.25">
      <c r="A811" s="24">
        <v>44589</v>
      </c>
      <c r="B811" s="1">
        <v>44589</v>
      </c>
      <c r="C811">
        <v>2.2000000000000002</v>
      </c>
      <c r="D811">
        <v>2.3199999999999998</v>
      </c>
      <c r="E811">
        <v>2.4</v>
      </c>
      <c r="F811">
        <v>2.4300000000000002</v>
      </c>
      <c r="G811">
        <v>2.38</v>
      </c>
      <c r="H811">
        <v>2.4</v>
      </c>
      <c r="I811">
        <v>2.6</v>
      </c>
      <c r="J811">
        <v>2.74</v>
      </c>
      <c r="K811">
        <v>3.28</v>
      </c>
      <c r="M811" s="3"/>
      <c r="N811" s="17"/>
      <c r="O811" s="17"/>
      <c r="P811" s="17"/>
      <c r="Q811" s="17"/>
      <c r="R811" s="17"/>
      <c r="S811" s="17"/>
      <c r="T811" s="17"/>
      <c r="U811" s="17"/>
      <c r="V811" s="17"/>
      <c r="AE811" s="2"/>
      <c r="AQ811" s="2"/>
      <c r="AR811" s="2"/>
      <c r="AS811" s="2"/>
      <c r="AT811" s="2"/>
      <c r="AU811" s="2"/>
      <c r="AV811" s="2"/>
      <c r="AW811" s="2"/>
      <c r="AX811" s="2"/>
      <c r="AY811" s="2"/>
    </row>
    <row r="812" spans="1:51" x14ac:dyDescent="0.25">
      <c r="A812" s="24">
        <v>44588</v>
      </c>
      <c r="B812" s="1">
        <v>44588</v>
      </c>
      <c r="C812">
        <v>2.14</v>
      </c>
      <c r="D812">
        <v>2.23</v>
      </c>
      <c r="E812">
        <v>2.42</v>
      </c>
      <c r="F812">
        <v>2.4</v>
      </c>
      <c r="G812">
        <v>2.34</v>
      </c>
      <c r="H812">
        <v>2.36</v>
      </c>
      <c r="I812">
        <v>2.56</v>
      </c>
      <c r="J812">
        <v>2.7</v>
      </c>
      <c r="K812">
        <v>3.2</v>
      </c>
      <c r="M812" s="3"/>
      <c r="N812" s="17"/>
      <c r="O812" s="17"/>
      <c r="P812" s="17"/>
      <c r="Q812" s="17"/>
      <c r="R812" s="17"/>
      <c r="S812" s="17"/>
      <c r="T812" s="17"/>
      <c r="U812" s="17"/>
      <c r="V812" s="17"/>
      <c r="AE812" s="2"/>
      <c r="AQ812" s="2"/>
      <c r="AR812" s="2"/>
      <c r="AS812" s="2"/>
      <c r="AT812" s="2"/>
      <c r="AU812" s="2"/>
      <c r="AV812" s="2"/>
      <c r="AW812" s="2"/>
      <c r="AX812" s="2"/>
      <c r="AY812" s="2"/>
    </row>
    <row r="813" spans="1:51" x14ac:dyDescent="0.25">
      <c r="A813" s="24">
        <v>44587</v>
      </c>
      <c r="B813" s="1">
        <v>44587</v>
      </c>
      <c r="C813">
        <v>1.93</v>
      </c>
      <c r="D813">
        <v>2.1</v>
      </c>
      <c r="E813">
        <v>2.2999999999999998</v>
      </c>
      <c r="F813">
        <v>2.4500000000000002</v>
      </c>
      <c r="G813">
        <v>2.38</v>
      </c>
      <c r="H813">
        <v>2.4</v>
      </c>
      <c r="I813">
        <v>2.5499999999999998</v>
      </c>
      <c r="J813">
        <v>2.66</v>
      </c>
      <c r="K813">
        <v>3.03</v>
      </c>
      <c r="M813" s="3"/>
      <c r="N813" s="17"/>
      <c r="O813" s="17"/>
      <c r="P813" s="17"/>
      <c r="Q813" s="17"/>
      <c r="R813" s="17"/>
      <c r="S813" s="17"/>
      <c r="T813" s="17"/>
      <c r="U813" s="17"/>
      <c r="V813" s="17"/>
      <c r="AE813" s="2"/>
      <c r="AQ813" s="2"/>
      <c r="AR813" s="2"/>
      <c r="AS813" s="2"/>
      <c r="AT813" s="2"/>
      <c r="AU813" s="2"/>
      <c r="AV813" s="2"/>
      <c r="AW813" s="2"/>
      <c r="AX813" s="2"/>
      <c r="AY813" s="2"/>
    </row>
    <row r="814" spans="1:51" x14ac:dyDescent="0.25">
      <c r="A814" s="24">
        <v>44586</v>
      </c>
      <c r="B814" s="1">
        <v>44586</v>
      </c>
      <c r="C814">
        <v>1.99</v>
      </c>
      <c r="D814">
        <v>2.1800000000000002</v>
      </c>
      <c r="E814">
        <v>2.34</v>
      </c>
      <c r="F814">
        <v>2.36</v>
      </c>
      <c r="G814">
        <v>2.37</v>
      </c>
      <c r="H814">
        <v>2.39</v>
      </c>
      <c r="I814">
        <v>2.57</v>
      </c>
      <c r="J814">
        <v>2.67</v>
      </c>
      <c r="K814">
        <v>3.16</v>
      </c>
      <c r="M814" s="3"/>
      <c r="N814" s="17"/>
      <c r="O814" s="17"/>
      <c r="P814" s="17"/>
      <c r="Q814" s="17"/>
      <c r="R814" s="17"/>
      <c r="S814" s="17"/>
      <c r="T814" s="17"/>
      <c r="U814" s="17"/>
      <c r="V814" s="17"/>
      <c r="AE814" s="2"/>
      <c r="AQ814" s="2"/>
      <c r="AR814" s="2"/>
      <c r="AS814" s="2"/>
      <c r="AT814" s="2"/>
      <c r="AU814" s="2"/>
      <c r="AV814" s="2"/>
      <c r="AW814" s="2"/>
      <c r="AX814" s="2"/>
      <c r="AY814" s="2"/>
    </row>
    <row r="815" spans="1:51" x14ac:dyDescent="0.25">
      <c r="A815" s="24">
        <v>44585</v>
      </c>
      <c r="B815" s="1">
        <v>44585</v>
      </c>
      <c r="C815">
        <v>1.4</v>
      </c>
      <c r="D815">
        <v>1.98</v>
      </c>
      <c r="E815">
        <v>2.23</v>
      </c>
      <c r="F815">
        <v>2.33</v>
      </c>
      <c r="G815">
        <v>2.33</v>
      </c>
      <c r="H815">
        <v>2.35</v>
      </c>
      <c r="I815">
        <v>2.5</v>
      </c>
      <c r="J815">
        <v>2.58</v>
      </c>
      <c r="K815">
        <v>3.14</v>
      </c>
      <c r="M815" s="3"/>
      <c r="N815" s="17"/>
      <c r="O815" s="17"/>
      <c r="P815" s="17"/>
      <c r="Q815" s="17"/>
      <c r="R815" s="17"/>
      <c r="S815" s="17"/>
      <c r="T815" s="17"/>
      <c r="U815" s="17"/>
      <c r="V815" s="17"/>
      <c r="AE815" s="2"/>
      <c r="AQ815" s="2"/>
      <c r="AR815" s="2"/>
      <c r="AS815" s="2"/>
      <c r="AT815" s="2"/>
      <c r="AU815" s="2"/>
      <c r="AV815" s="2"/>
      <c r="AW815" s="2"/>
      <c r="AX815" s="2"/>
      <c r="AY815" s="2"/>
    </row>
    <row r="816" spans="1:51" x14ac:dyDescent="0.25">
      <c r="A816" s="24">
        <v>44582</v>
      </c>
      <c r="B816" s="1">
        <v>44582</v>
      </c>
      <c r="C816">
        <v>1.1200000000000001</v>
      </c>
      <c r="D816">
        <v>1.52</v>
      </c>
      <c r="E816">
        <v>1.8</v>
      </c>
      <c r="F816">
        <v>1.94</v>
      </c>
      <c r="G816">
        <v>2.1800000000000002</v>
      </c>
      <c r="H816">
        <v>2.2400000000000002</v>
      </c>
      <c r="I816">
        <v>2.56</v>
      </c>
      <c r="J816">
        <v>2.62</v>
      </c>
      <c r="K816">
        <v>3.1</v>
      </c>
      <c r="M816" s="3"/>
      <c r="N816" s="17"/>
      <c r="O816" s="17"/>
      <c r="P816" s="17"/>
      <c r="Q816" s="17"/>
      <c r="R816" s="17"/>
      <c r="S816" s="17"/>
      <c r="T816" s="17"/>
      <c r="U816" s="17"/>
      <c r="V816" s="17"/>
      <c r="AE816" s="2"/>
      <c r="AQ816" s="2"/>
      <c r="AR816" s="2"/>
      <c r="AS816" s="2"/>
      <c r="AT816" s="2"/>
      <c r="AU816" s="2"/>
      <c r="AV816" s="2"/>
      <c r="AW816" s="2"/>
      <c r="AX816" s="2"/>
      <c r="AY816" s="2"/>
    </row>
    <row r="817" spans="1:51" x14ac:dyDescent="0.25">
      <c r="A817" s="24">
        <v>44581</v>
      </c>
      <c r="B817" s="1">
        <v>44581</v>
      </c>
      <c r="C817">
        <v>1.1200000000000001</v>
      </c>
      <c r="D817">
        <v>1.54</v>
      </c>
      <c r="E817">
        <v>1.82</v>
      </c>
      <c r="F817">
        <v>2.04</v>
      </c>
      <c r="G817">
        <v>2.2000000000000002</v>
      </c>
      <c r="H817">
        <v>2.2999999999999998</v>
      </c>
      <c r="I817">
        <v>2.54</v>
      </c>
      <c r="J817">
        <v>2.65</v>
      </c>
      <c r="K817">
        <v>3.18</v>
      </c>
      <c r="M817" s="3"/>
      <c r="N817" s="17"/>
      <c r="O817" s="17"/>
      <c r="P817" s="17"/>
      <c r="Q817" s="17"/>
      <c r="R817" s="17"/>
      <c r="S817" s="17"/>
      <c r="T817" s="17"/>
      <c r="U817" s="17"/>
      <c r="V817" s="17"/>
      <c r="AE817" s="2"/>
      <c r="AQ817" s="2"/>
      <c r="AR817" s="2"/>
      <c r="AS817" s="2"/>
      <c r="AT817" s="2"/>
      <c r="AU817" s="2"/>
      <c r="AV817" s="2"/>
      <c r="AW817" s="2"/>
      <c r="AX817" s="2"/>
      <c r="AY817" s="2"/>
    </row>
    <row r="818" spans="1:51" x14ac:dyDescent="0.25">
      <c r="A818" s="24">
        <v>44580</v>
      </c>
      <c r="B818" s="1">
        <v>44580</v>
      </c>
      <c r="C818">
        <v>1.1100000000000001</v>
      </c>
      <c r="D818">
        <v>1.56</v>
      </c>
      <c r="E818">
        <v>1.89</v>
      </c>
      <c r="F818">
        <v>2.04</v>
      </c>
      <c r="G818">
        <v>2.17</v>
      </c>
      <c r="H818">
        <v>2.2999999999999998</v>
      </c>
      <c r="I818">
        <v>2.57</v>
      </c>
      <c r="J818">
        <v>2.68</v>
      </c>
      <c r="K818">
        <v>3.16</v>
      </c>
      <c r="M818" s="3"/>
      <c r="N818" s="17"/>
      <c r="O818" s="17"/>
      <c r="P818" s="17"/>
      <c r="Q818" s="17"/>
      <c r="R818" s="17"/>
      <c r="S818" s="17"/>
      <c r="T818" s="17"/>
      <c r="U818" s="17"/>
      <c r="V818" s="17"/>
      <c r="AE818" s="2"/>
      <c r="AQ818" s="2"/>
      <c r="AR818" s="2"/>
      <c r="AS818" s="2"/>
      <c r="AT818" s="2"/>
      <c r="AU818" s="2"/>
      <c r="AV818" s="2"/>
      <c r="AW818" s="2"/>
      <c r="AX818" s="2"/>
      <c r="AY818" s="2"/>
    </row>
    <row r="819" spans="1:51" x14ac:dyDescent="0.25">
      <c r="A819" s="24">
        <v>44579</v>
      </c>
      <c r="B819" s="1">
        <v>44579</v>
      </c>
      <c r="C819">
        <v>1.1599999999999999</v>
      </c>
      <c r="D819">
        <v>1.54</v>
      </c>
      <c r="E819">
        <v>1.85</v>
      </c>
      <c r="F819">
        <v>2.0099999999999998</v>
      </c>
      <c r="G819">
        <v>2.2000000000000002</v>
      </c>
      <c r="H819">
        <v>2.2999999999999998</v>
      </c>
      <c r="I819">
        <v>2.46</v>
      </c>
      <c r="J819">
        <v>2.58</v>
      </c>
      <c r="K819">
        <v>3.18</v>
      </c>
      <c r="M819" s="3"/>
      <c r="N819" s="17"/>
      <c r="O819" s="17"/>
      <c r="P819" s="17"/>
      <c r="Q819" s="17"/>
      <c r="R819" s="17"/>
      <c r="S819" s="17"/>
      <c r="T819" s="17"/>
      <c r="U819" s="17"/>
      <c r="V819" s="17"/>
      <c r="AE819" s="2"/>
      <c r="AQ819" s="2"/>
      <c r="AR819" s="2"/>
      <c r="AS819" s="2"/>
      <c r="AT819" s="2"/>
      <c r="AU819" s="2"/>
      <c r="AV819" s="2"/>
      <c r="AW819" s="2"/>
      <c r="AX819" s="2"/>
      <c r="AY819" s="2"/>
    </row>
    <row r="820" spans="1:51" x14ac:dyDescent="0.25">
      <c r="A820" s="24">
        <v>44578</v>
      </c>
      <c r="B820" s="1">
        <v>44578</v>
      </c>
      <c r="C820">
        <v>1.18</v>
      </c>
      <c r="D820">
        <v>1.6</v>
      </c>
      <c r="E820">
        <v>1.85</v>
      </c>
      <c r="F820">
        <v>2.11</v>
      </c>
      <c r="G820">
        <v>2.2799999999999998</v>
      </c>
      <c r="H820">
        <v>2.38</v>
      </c>
      <c r="I820">
        <v>2.58</v>
      </c>
      <c r="J820">
        <v>2.72</v>
      </c>
      <c r="K820">
        <v>3.33</v>
      </c>
      <c r="M820" s="3"/>
      <c r="N820" s="17"/>
      <c r="O820" s="17"/>
      <c r="P820" s="17"/>
      <c r="Q820" s="17"/>
      <c r="R820" s="17"/>
      <c r="S820" s="17"/>
      <c r="T820" s="17"/>
      <c r="U820" s="17"/>
      <c r="V820" s="17"/>
      <c r="AE820" s="2"/>
      <c r="AQ820" s="2"/>
      <c r="AR820" s="2"/>
      <c r="AS820" s="2"/>
      <c r="AT820" s="2"/>
      <c r="AU820" s="2"/>
      <c r="AV820" s="2"/>
      <c r="AW820" s="2"/>
      <c r="AX820" s="2"/>
      <c r="AY820" s="2"/>
    </row>
    <row r="821" spans="1:51" x14ac:dyDescent="0.25">
      <c r="A821" s="24">
        <v>44575</v>
      </c>
      <c r="B821" s="1">
        <v>44575</v>
      </c>
      <c r="C821">
        <v>1.2</v>
      </c>
      <c r="D821">
        <v>1.58</v>
      </c>
      <c r="E821">
        <v>1.78</v>
      </c>
      <c r="F821">
        <v>2.14</v>
      </c>
      <c r="G821">
        <v>2.3199999999999998</v>
      </c>
      <c r="H821">
        <v>2.46</v>
      </c>
      <c r="I821">
        <v>2.56</v>
      </c>
      <c r="J821">
        <v>2.68</v>
      </c>
      <c r="K821">
        <v>3.08</v>
      </c>
      <c r="M821" s="3"/>
      <c r="N821" s="17"/>
      <c r="O821" s="17"/>
      <c r="P821" s="17"/>
      <c r="Q821" s="17"/>
      <c r="R821" s="17"/>
      <c r="S821" s="17"/>
      <c r="T821" s="17"/>
      <c r="U821" s="17"/>
      <c r="V821" s="17"/>
      <c r="AE821" s="2"/>
      <c r="AQ821" s="2"/>
      <c r="AR821" s="2"/>
      <c r="AS821" s="2"/>
      <c r="AT821" s="2"/>
      <c r="AU821" s="2"/>
      <c r="AV821" s="2"/>
      <c r="AW821" s="2"/>
      <c r="AX821" s="2"/>
      <c r="AY821" s="2"/>
    </row>
    <row r="822" spans="1:51" x14ac:dyDescent="0.25">
      <c r="A822" s="24">
        <v>44574</v>
      </c>
      <c r="B822" s="1">
        <v>44574</v>
      </c>
      <c r="C822">
        <v>1.2</v>
      </c>
      <c r="D822">
        <v>1.55</v>
      </c>
      <c r="E822">
        <v>1.8</v>
      </c>
      <c r="F822">
        <v>1.98</v>
      </c>
      <c r="G822">
        <v>2.1800000000000002</v>
      </c>
      <c r="H822">
        <v>2.4</v>
      </c>
      <c r="I822">
        <v>2.5</v>
      </c>
      <c r="J822">
        <v>2.56</v>
      </c>
      <c r="K822">
        <v>3.13</v>
      </c>
      <c r="M822" s="3"/>
      <c r="N822" s="17"/>
      <c r="O822" s="17"/>
      <c r="P822" s="17"/>
      <c r="Q822" s="17"/>
      <c r="R822" s="17"/>
      <c r="S822" s="17"/>
      <c r="T822" s="17"/>
      <c r="U822" s="17"/>
      <c r="V822" s="17"/>
      <c r="AE822" s="2"/>
      <c r="AQ822" s="2"/>
      <c r="AR822" s="2"/>
      <c r="AS822" s="2"/>
      <c r="AT822" s="2"/>
      <c r="AU822" s="2"/>
      <c r="AV822" s="2"/>
      <c r="AW822" s="2"/>
      <c r="AX822" s="2"/>
      <c r="AY822" s="2"/>
    </row>
    <row r="823" spans="1:51" x14ac:dyDescent="0.25">
      <c r="A823" s="24">
        <v>44573</v>
      </c>
      <c r="B823" s="1">
        <v>44573</v>
      </c>
      <c r="C823">
        <v>1.19</v>
      </c>
      <c r="D823">
        <v>1.61</v>
      </c>
      <c r="E823">
        <v>1.87</v>
      </c>
      <c r="F823">
        <v>2.16</v>
      </c>
      <c r="G823">
        <v>2.34</v>
      </c>
      <c r="H823">
        <v>2.4700000000000002</v>
      </c>
      <c r="I823">
        <v>2.56</v>
      </c>
      <c r="J823">
        <v>2.63</v>
      </c>
      <c r="K823">
        <v>3.08</v>
      </c>
      <c r="M823" s="3"/>
      <c r="N823" s="17"/>
      <c r="O823" s="17"/>
      <c r="P823" s="17"/>
      <c r="Q823" s="17"/>
      <c r="R823" s="17"/>
      <c r="S823" s="17"/>
      <c r="T823" s="17"/>
      <c r="U823" s="17"/>
      <c r="V823" s="17"/>
      <c r="AE823" s="2"/>
      <c r="AQ823" s="2"/>
      <c r="AR823" s="2"/>
      <c r="AS823" s="2"/>
      <c r="AT823" s="2"/>
      <c r="AU823" s="2"/>
      <c r="AV823" s="2"/>
      <c r="AW823" s="2"/>
      <c r="AX823" s="2"/>
      <c r="AY823" s="2"/>
    </row>
    <row r="824" spans="1:51" x14ac:dyDescent="0.25">
      <c r="A824" s="24">
        <v>44572</v>
      </c>
      <c r="B824" s="1">
        <v>44572</v>
      </c>
      <c r="C824">
        <v>1.22</v>
      </c>
      <c r="D824">
        <v>1.68</v>
      </c>
      <c r="E824">
        <v>1.95</v>
      </c>
      <c r="F824">
        <v>2.2799999999999998</v>
      </c>
      <c r="G824">
        <v>2.4</v>
      </c>
      <c r="H824">
        <v>2.48</v>
      </c>
      <c r="I824">
        <v>2.6</v>
      </c>
      <c r="J824">
        <v>2.68</v>
      </c>
      <c r="K824">
        <v>3.15</v>
      </c>
      <c r="M824" s="3"/>
      <c r="N824" s="17"/>
      <c r="O824" s="17"/>
      <c r="P824" s="17"/>
      <c r="Q824" s="17"/>
      <c r="R824" s="17"/>
      <c r="S824" s="17"/>
      <c r="T824" s="17"/>
      <c r="U824" s="17"/>
      <c r="V824" s="17"/>
      <c r="AE824" s="2"/>
      <c r="AQ824" s="2"/>
      <c r="AR824" s="2"/>
      <c r="AS824" s="2"/>
      <c r="AT824" s="2"/>
      <c r="AU824" s="2"/>
      <c r="AV824" s="2"/>
      <c r="AW824" s="2"/>
      <c r="AX824" s="2"/>
      <c r="AY824" s="2"/>
    </row>
    <row r="825" spans="1:51" x14ac:dyDescent="0.25">
      <c r="A825" s="24">
        <v>44571</v>
      </c>
      <c r="B825" s="1">
        <v>44571</v>
      </c>
      <c r="C825">
        <v>1.24</v>
      </c>
      <c r="D825">
        <v>1.66</v>
      </c>
      <c r="E825">
        <v>1.92</v>
      </c>
      <c r="F825">
        <v>2.16</v>
      </c>
      <c r="G825">
        <v>2.2799999999999998</v>
      </c>
      <c r="H825">
        <v>2.5</v>
      </c>
      <c r="I825">
        <v>2.56</v>
      </c>
      <c r="J825">
        <v>2.65</v>
      </c>
      <c r="K825">
        <v>3.08</v>
      </c>
      <c r="M825" s="3"/>
      <c r="N825" s="17"/>
      <c r="O825" s="17"/>
      <c r="P825" s="17"/>
      <c r="Q825" s="17"/>
      <c r="R825" s="17"/>
      <c r="S825" s="17"/>
      <c r="T825" s="17"/>
      <c r="U825" s="17"/>
      <c r="V825" s="17"/>
      <c r="AE825" s="2"/>
      <c r="AQ825" s="2"/>
      <c r="AR825" s="2"/>
      <c r="AS825" s="2"/>
      <c r="AT825" s="2"/>
      <c r="AU825" s="2"/>
      <c r="AV825" s="2"/>
      <c r="AW825" s="2"/>
      <c r="AX825" s="2"/>
      <c r="AY825" s="2"/>
    </row>
    <row r="826" spans="1:51" x14ac:dyDescent="0.25">
      <c r="A826" s="24">
        <v>44568</v>
      </c>
      <c r="B826" s="1">
        <v>44568</v>
      </c>
      <c r="C826">
        <v>1.24</v>
      </c>
      <c r="D826">
        <v>1.69</v>
      </c>
      <c r="E826">
        <v>1.97</v>
      </c>
      <c r="F826">
        <v>2.21</v>
      </c>
      <c r="G826">
        <v>2.33</v>
      </c>
      <c r="H826">
        <v>2.5099999999999998</v>
      </c>
      <c r="I826">
        <v>2.6</v>
      </c>
      <c r="J826">
        <v>2.68</v>
      </c>
      <c r="K826">
        <v>3.22</v>
      </c>
      <c r="M826" s="3"/>
      <c r="N826" s="17"/>
      <c r="O826" s="17"/>
      <c r="P826" s="17"/>
      <c r="Q826" s="17"/>
      <c r="R826" s="17"/>
      <c r="S826" s="17"/>
      <c r="T826" s="17"/>
      <c r="U826" s="17"/>
      <c r="V826" s="17"/>
      <c r="AE826" s="2"/>
      <c r="AQ826" s="2"/>
      <c r="AR826" s="2"/>
      <c r="AS826" s="2"/>
      <c r="AT826" s="2"/>
      <c r="AU826" s="2"/>
      <c r="AV826" s="2"/>
      <c r="AW826" s="2"/>
      <c r="AX826" s="2"/>
      <c r="AY826" s="2"/>
    </row>
    <row r="827" spans="1:51" x14ac:dyDescent="0.25">
      <c r="A827" s="24">
        <v>44567</v>
      </c>
      <c r="B827" s="1">
        <v>44567</v>
      </c>
      <c r="C827">
        <v>1.4</v>
      </c>
      <c r="D827">
        <v>1.72</v>
      </c>
      <c r="E827">
        <v>2</v>
      </c>
      <c r="F827">
        <v>2.2200000000000002</v>
      </c>
      <c r="G827">
        <v>2.38</v>
      </c>
      <c r="H827">
        <v>2.56</v>
      </c>
      <c r="I827">
        <v>2.58</v>
      </c>
      <c r="J827">
        <v>2.7</v>
      </c>
      <c r="K827">
        <v>3.22</v>
      </c>
      <c r="M827" s="3"/>
      <c r="N827" s="17"/>
      <c r="O827" s="17"/>
      <c r="P827" s="17"/>
      <c r="Q827" s="17"/>
      <c r="R827" s="17"/>
      <c r="S827" s="17"/>
      <c r="T827" s="17"/>
      <c r="U827" s="17"/>
      <c r="V827" s="17"/>
      <c r="AE827" s="2"/>
      <c r="AQ827" s="2"/>
      <c r="AR827" s="2"/>
      <c r="AS827" s="2"/>
      <c r="AT827" s="2"/>
      <c r="AU827" s="2"/>
      <c r="AV827" s="2"/>
      <c r="AW827" s="2"/>
      <c r="AX827" s="2"/>
      <c r="AY827" s="2"/>
    </row>
    <row r="828" spans="1:51" x14ac:dyDescent="0.25">
      <c r="A828" s="24">
        <v>44566</v>
      </c>
      <c r="B828" s="1">
        <v>44566</v>
      </c>
      <c r="C828">
        <v>1.66</v>
      </c>
      <c r="D828">
        <v>2.04</v>
      </c>
      <c r="E828">
        <v>2.1800000000000002</v>
      </c>
      <c r="F828">
        <v>2.3199999999999998</v>
      </c>
      <c r="G828">
        <v>2.42</v>
      </c>
      <c r="H828">
        <v>2.48</v>
      </c>
      <c r="I828">
        <v>2.56</v>
      </c>
      <c r="J828">
        <v>2.65</v>
      </c>
      <c r="K828">
        <v>3.2</v>
      </c>
      <c r="M828" s="3"/>
      <c r="N828" s="17"/>
      <c r="O828" s="17"/>
      <c r="P828" s="17"/>
      <c r="Q828" s="17"/>
      <c r="R828" s="17"/>
      <c r="S828" s="17"/>
      <c r="T828" s="17"/>
      <c r="U828" s="17"/>
      <c r="V828" s="17"/>
      <c r="AE828" s="2"/>
      <c r="AQ828" s="2"/>
      <c r="AR828" s="2"/>
      <c r="AS828" s="2"/>
      <c r="AT828" s="2"/>
      <c r="AU828" s="2"/>
      <c r="AV828" s="2"/>
      <c r="AW828" s="2"/>
      <c r="AX828" s="2"/>
      <c r="AY828" s="2"/>
    </row>
    <row r="829" spans="1:51" x14ac:dyDescent="0.25">
      <c r="A829" s="24">
        <v>44565</v>
      </c>
      <c r="B829" s="1">
        <v>44565</v>
      </c>
      <c r="C829">
        <v>1.7</v>
      </c>
      <c r="D829">
        <v>1.93</v>
      </c>
      <c r="E829">
        <v>2.08</v>
      </c>
      <c r="F829">
        <v>2.2000000000000002</v>
      </c>
      <c r="G829">
        <v>2.2799999999999998</v>
      </c>
      <c r="H829">
        <v>2.38</v>
      </c>
      <c r="I829">
        <v>2.5</v>
      </c>
      <c r="J829">
        <v>2.64</v>
      </c>
      <c r="K829">
        <v>3.1</v>
      </c>
      <c r="M829" s="3"/>
      <c r="N829" s="17"/>
      <c r="O829" s="17"/>
      <c r="P829" s="17"/>
      <c r="Q829" s="17"/>
      <c r="R829" s="17"/>
      <c r="S829" s="17"/>
      <c r="T829" s="17"/>
      <c r="U829" s="17"/>
      <c r="V829" s="17"/>
      <c r="AE829" s="2"/>
      <c r="AQ829" s="2"/>
      <c r="AR829" s="2"/>
      <c r="AS829" s="2"/>
      <c r="AT829" s="2"/>
      <c r="AU829" s="2"/>
      <c r="AV829" s="2"/>
      <c r="AW829" s="2"/>
      <c r="AX829" s="2"/>
      <c r="AY829" s="2"/>
    </row>
    <row r="830" spans="1:51" x14ac:dyDescent="0.25">
      <c r="A830" s="24">
        <v>44561</v>
      </c>
      <c r="B830" s="1">
        <v>44561</v>
      </c>
      <c r="C830">
        <v>1.72</v>
      </c>
      <c r="D830">
        <v>1.85</v>
      </c>
      <c r="E830">
        <v>2.0299999999999998</v>
      </c>
      <c r="F830">
        <v>2.13</v>
      </c>
      <c r="G830">
        <v>2.1800000000000002</v>
      </c>
      <c r="H830">
        <v>2.37</v>
      </c>
      <c r="I830">
        <v>2.48</v>
      </c>
      <c r="J830">
        <v>2.62</v>
      </c>
      <c r="K830">
        <v>3.2</v>
      </c>
      <c r="M830" s="3"/>
      <c r="N830" s="17"/>
      <c r="O830" s="17"/>
      <c r="P830" s="17"/>
      <c r="Q830" s="17"/>
      <c r="R830" s="17"/>
      <c r="S830" s="17"/>
      <c r="T830" s="17"/>
      <c r="U830" s="17"/>
      <c r="V830" s="17"/>
      <c r="AE830" s="2"/>
      <c r="AQ830" s="2"/>
      <c r="AR830" s="2"/>
      <c r="AS830" s="2"/>
      <c r="AT830" s="2"/>
      <c r="AU830" s="2"/>
      <c r="AV830" s="2"/>
      <c r="AW830" s="2"/>
      <c r="AX830" s="2"/>
      <c r="AY830" s="2"/>
    </row>
    <row r="831" spans="1:51" x14ac:dyDescent="0.25">
      <c r="A831" s="24">
        <v>44560</v>
      </c>
      <c r="B831" s="1">
        <v>44560</v>
      </c>
      <c r="C831">
        <v>0.9</v>
      </c>
      <c r="D831">
        <v>1.72</v>
      </c>
      <c r="E831">
        <v>1.86</v>
      </c>
      <c r="F831">
        <v>1.94</v>
      </c>
      <c r="G831">
        <v>2.06</v>
      </c>
      <c r="H831">
        <v>2.2999999999999998</v>
      </c>
      <c r="I831">
        <v>2.5</v>
      </c>
      <c r="J831">
        <v>2.5499999999999998</v>
      </c>
      <c r="K831">
        <v>2.96</v>
      </c>
      <c r="M831" s="3"/>
      <c r="N831" s="17"/>
      <c r="O831" s="17"/>
      <c r="P831" s="17"/>
      <c r="Q831" s="17"/>
      <c r="R831" s="17"/>
      <c r="S831" s="17"/>
      <c r="T831" s="17"/>
      <c r="U831" s="17"/>
      <c r="V831" s="17"/>
      <c r="AE831" s="2"/>
      <c r="AQ831" s="2"/>
      <c r="AR831" s="2"/>
      <c r="AS831" s="2"/>
      <c r="AT831" s="2"/>
      <c r="AU831" s="2"/>
      <c r="AV831" s="2"/>
      <c r="AW831" s="2"/>
      <c r="AX831" s="2"/>
      <c r="AY831" s="2"/>
    </row>
    <row r="832" spans="1:51" x14ac:dyDescent="0.25">
      <c r="A832" s="24">
        <v>44559</v>
      </c>
      <c r="B832" s="1">
        <v>44559</v>
      </c>
      <c r="C832">
        <v>1.02</v>
      </c>
      <c r="D832">
        <v>1.63</v>
      </c>
      <c r="E832">
        <v>1.82</v>
      </c>
      <c r="F832">
        <v>1.87</v>
      </c>
      <c r="G832">
        <v>2.02</v>
      </c>
      <c r="H832">
        <v>2.27</v>
      </c>
      <c r="I832">
        <v>2.48</v>
      </c>
      <c r="J832">
        <v>2.6</v>
      </c>
      <c r="K832">
        <v>3.2</v>
      </c>
      <c r="M832" s="3"/>
      <c r="N832" s="17"/>
      <c r="O832" s="17"/>
      <c r="P832" s="17"/>
      <c r="Q832" s="17"/>
      <c r="R832" s="17"/>
      <c r="S832" s="17"/>
      <c r="T832" s="17"/>
      <c r="U832" s="17"/>
      <c r="V832" s="17"/>
      <c r="AE832" s="2"/>
      <c r="AQ832" s="2"/>
      <c r="AR832" s="2"/>
      <c r="AS832" s="2"/>
      <c r="AT832" s="2"/>
      <c r="AU832" s="2"/>
      <c r="AV832" s="2"/>
      <c r="AW832" s="2"/>
      <c r="AX832" s="2"/>
      <c r="AY832" s="2"/>
    </row>
    <row r="833" spans="1:51" x14ac:dyDescent="0.25">
      <c r="A833" s="24">
        <v>44558</v>
      </c>
      <c r="B833" s="1">
        <v>44558</v>
      </c>
      <c r="C833">
        <v>1.05</v>
      </c>
      <c r="D833">
        <v>1.7</v>
      </c>
      <c r="E833">
        <v>1.83</v>
      </c>
      <c r="F833">
        <v>1.92</v>
      </c>
      <c r="G833">
        <v>1.98</v>
      </c>
      <c r="H833">
        <v>2.25</v>
      </c>
      <c r="I833">
        <v>2.5</v>
      </c>
      <c r="J833">
        <v>2.54</v>
      </c>
      <c r="K833">
        <v>3</v>
      </c>
      <c r="M833" s="3"/>
      <c r="N833" s="17"/>
      <c r="O833" s="17"/>
      <c r="P833" s="17"/>
      <c r="Q833" s="17"/>
      <c r="R833" s="17"/>
      <c r="S833" s="17"/>
      <c r="T833" s="17"/>
      <c r="U833" s="17"/>
      <c r="V833" s="17"/>
      <c r="AE833" s="2"/>
      <c r="AQ833" s="2"/>
      <c r="AR833" s="2"/>
      <c r="AS833" s="2"/>
      <c r="AT833" s="2"/>
      <c r="AU833" s="2"/>
      <c r="AV833" s="2"/>
      <c r="AW833" s="2"/>
      <c r="AX833" s="2"/>
      <c r="AY833" s="2"/>
    </row>
    <row r="834" spans="1:51" x14ac:dyDescent="0.25">
      <c r="A834" s="24">
        <v>44557</v>
      </c>
      <c r="B834" s="1">
        <v>44557</v>
      </c>
      <c r="C834">
        <v>1.21</v>
      </c>
      <c r="D834">
        <v>1.64</v>
      </c>
      <c r="E834">
        <v>1.76</v>
      </c>
      <c r="F834">
        <v>1.91</v>
      </c>
      <c r="G834">
        <v>2.0099999999999998</v>
      </c>
      <c r="H834">
        <v>2.27</v>
      </c>
      <c r="I834">
        <v>2.4900000000000002</v>
      </c>
      <c r="J834">
        <v>2.58</v>
      </c>
      <c r="K834">
        <v>3.12</v>
      </c>
      <c r="M834" s="3"/>
      <c r="N834" s="17"/>
      <c r="O834" s="17"/>
      <c r="P834" s="17"/>
      <c r="Q834" s="17"/>
      <c r="R834" s="17"/>
      <c r="S834" s="17"/>
      <c r="T834" s="17"/>
      <c r="U834" s="17"/>
      <c r="V834" s="17"/>
      <c r="AE834" s="2"/>
      <c r="AQ834" s="2"/>
      <c r="AR834" s="2"/>
      <c r="AS834" s="2"/>
      <c r="AT834" s="2"/>
      <c r="AU834" s="2"/>
      <c r="AV834" s="2"/>
      <c r="AW834" s="2"/>
      <c r="AX834" s="2"/>
      <c r="AY834" s="2"/>
    </row>
    <row r="835" spans="1:51" x14ac:dyDescent="0.25">
      <c r="A835" s="24">
        <v>44554</v>
      </c>
      <c r="B835" s="1">
        <v>44554</v>
      </c>
      <c r="C835">
        <v>1.23</v>
      </c>
      <c r="D835">
        <v>1.7</v>
      </c>
      <c r="E835">
        <v>1.86</v>
      </c>
      <c r="F835">
        <v>1.97</v>
      </c>
      <c r="G835">
        <v>2.06</v>
      </c>
      <c r="H835">
        <v>2.2999999999999998</v>
      </c>
      <c r="I835">
        <v>2.41</v>
      </c>
      <c r="J835">
        <v>2.5299999999999998</v>
      </c>
      <c r="K835">
        <v>3.08</v>
      </c>
      <c r="M835" s="3"/>
      <c r="N835" s="17"/>
      <c r="O835" s="17"/>
      <c r="P835" s="17"/>
      <c r="Q835" s="17"/>
      <c r="R835" s="17"/>
      <c r="S835" s="17"/>
      <c r="T835" s="17"/>
      <c r="U835" s="17"/>
      <c r="V835" s="17"/>
      <c r="AE835" s="2"/>
      <c r="AQ835" s="2"/>
      <c r="AR835" s="2"/>
      <c r="AS835" s="2"/>
      <c r="AT835" s="2"/>
      <c r="AU835" s="2"/>
      <c r="AV835" s="2"/>
      <c r="AW835" s="2"/>
      <c r="AX835" s="2"/>
      <c r="AY835" s="2"/>
    </row>
    <row r="836" spans="1:51" x14ac:dyDescent="0.25">
      <c r="A836" s="24">
        <v>44553</v>
      </c>
      <c r="B836" s="1">
        <v>44553</v>
      </c>
      <c r="C836">
        <v>1.26</v>
      </c>
      <c r="D836">
        <v>1.58</v>
      </c>
      <c r="E836">
        <v>1.66</v>
      </c>
      <c r="F836">
        <v>1.78</v>
      </c>
      <c r="G836">
        <v>1.98</v>
      </c>
      <c r="H836">
        <v>2.1800000000000002</v>
      </c>
      <c r="I836">
        <v>2.2799999999999998</v>
      </c>
      <c r="J836">
        <v>2.44</v>
      </c>
      <c r="K836">
        <v>2.85</v>
      </c>
      <c r="M836" s="3"/>
      <c r="N836" s="17"/>
      <c r="O836" s="17"/>
      <c r="P836" s="17"/>
      <c r="Q836" s="17"/>
      <c r="R836" s="17"/>
      <c r="S836" s="17"/>
      <c r="T836" s="17"/>
      <c r="U836" s="17"/>
      <c r="V836" s="17"/>
      <c r="AE836" s="2"/>
      <c r="AQ836" s="2"/>
      <c r="AR836" s="2"/>
      <c r="AS836" s="2"/>
      <c r="AT836" s="2"/>
      <c r="AU836" s="2"/>
      <c r="AV836" s="2"/>
      <c r="AW836" s="2"/>
      <c r="AX836" s="2"/>
      <c r="AY836" s="2"/>
    </row>
    <row r="837" spans="1:51" x14ac:dyDescent="0.25">
      <c r="A837" s="24">
        <v>44552</v>
      </c>
      <c r="B837" s="1">
        <v>44552</v>
      </c>
      <c r="C837">
        <v>1.27</v>
      </c>
      <c r="D837">
        <v>1.63</v>
      </c>
      <c r="E837">
        <v>1.77</v>
      </c>
      <c r="F837">
        <v>1.93</v>
      </c>
      <c r="G837">
        <v>2.0299999999999998</v>
      </c>
      <c r="H837">
        <v>2.2200000000000002</v>
      </c>
      <c r="I837">
        <v>2.33</v>
      </c>
      <c r="J837">
        <v>2.46</v>
      </c>
      <c r="K837">
        <v>2.95</v>
      </c>
      <c r="M837" s="3"/>
      <c r="N837" s="17"/>
      <c r="O837" s="17"/>
      <c r="P837" s="17"/>
      <c r="Q837" s="17"/>
      <c r="R837" s="17"/>
      <c r="S837" s="17"/>
      <c r="T837" s="17"/>
      <c r="U837" s="17"/>
      <c r="V837" s="17"/>
      <c r="AE837" s="2"/>
      <c r="AQ837" s="2"/>
      <c r="AR837" s="2"/>
      <c r="AS837" s="2"/>
      <c r="AT837" s="2"/>
      <c r="AU837" s="2"/>
      <c r="AV837" s="2"/>
      <c r="AW837" s="2"/>
      <c r="AX837" s="2"/>
      <c r="AY837" s="2"/>
    </row>
    <row r="838" spans="1:51" x14ac:dyDescent="0.25">
      <c r="A838" s="24">
        <v>44551</v>
      </c>
      <c r="B838" s="1">
        <v>44551</v>
      </c>
      <c r="C838">
        <v>1.04</v>
      </c>
      <c r="D838">
        <v>1.34</v>
      </c>
      <c r="E838">
        <v>1.53</v>
      </c>
      <c r="F838">
        <v>1.73</v>
      </c>
      <c r="G838">
        <v>1.94</v>
      </c>
      <c r="H838">
        <v>2.06</v>
      </c>
      <c r="I838">
        <v>2.2000000000000002</v>
      </c>
      <c r="J838">
        <v>2.4300000000000002</v>
      </c>
      <c r="K838">
        <v>3</v>
      </c>
      <c r="M838" s="3"/>
      <c r="N838" s="17"/>
      <c r="O838" s="17"/>
      <c r="P838" s="17"/>
      <c r="Q838" s="17"/>
      <c r="R838" s="17"/>
      <c r="S838" s="17"/>
      <c r="T838" s="17"/>
      <c r="U838" s="17"/>
      <c r="V838" s="17"/>
      <c r="AE838" s="2"/>
      <c r="AQ838" s="2"/>
      <c r="AR838" s="2"/>
      <c r="AS838" s="2"/>
      <c r="AT838" s="2"/>
      <c r="AU838" s="2"/>
      <c r="AV838" s="2"/>
      <c r="AW838" s="2"/>
      <c r="AX838" s="2"/>
      <c r="AY838" s="2"/>
    </row>
    <row r="839" spans="1:51" x14ac:dyDescent="0.25">
      <c r="A839" s="24">
        <v>44550</v>
      </c>
      <c r="B839" s="1">
        <v>44550</v>
      </c>
      <c r="C839">
        <v>1.1499999999999999</v>
      </c>
      <c r="D839">
        <v>1.35</v>
      </c>
      <c r="E839">
        <v>1.5</v>
      </c>
      <c r="F839">
        <v>1.88</v>
      </c>
      <c r="G839">
        <v>2.0499999999999998</v>
      </c>
      <c r="H839">
        <v>2.13</v>
      </c>
      <c r="I839">
        <v>2.25</v>
      </c>
      <c r="J839">
        <v>2.48</v>
      </c>
      <c r="K839">
        <v>3.09</v>
      </c>
      <c r="M839" s="3"/>
      <c r="N839" s="17"/>
      <c r="O839" s="17"/>
      <c r="P839" s="17"/>
      <c r="Q839" s="17"/>
      <c r="R839" s="17"/>
      <c r="S839" s="17"/>
      <c r="T839" s="17"/>
      <c r="U839" s="17"/>
      <c r="V839" s="17"/>
      <c r="AE839" s="2"/>
      <c r="AQ839" s="2"/>
      <c r="AR839" s="2"/>
      <c r="AS839" s="2"/>
      <c r="AT839" s="2"/>
      <c r="AU839" s="2"/>
      <c r="AV839" s="2"/>
      <c r="AW839" s="2"/>
      <c r="AX839" s="2"/>
      <c r="AY839" s="2"/>
    </row>
    <row r="840" spans="1:51" x14ac:dyDescent="0.25">
      <c r="A840" s="24">
        <v>44547</v>
      </c>
      <c r="B840" s="1">
        <v>44547</v>
      </c>
      <c r="C840">
        <v>0.84</v>
      </c>
      <c r="D840">
        <v>0.94</v>
      </c>
      <c r="E840">
        <v>1.1200000000000001</v>
      </c>
      <c r="F840">
        <v>1.47</v>
      </c>
      <c r="G840">
        <v>1.68</v>
      </c>
      <c r="H840">
        <v>1.83</v>
      </c>
      <c r="I840">
        <v>1.98</v>
      </c>
      <c r="J840">
        <v>2.48</v>
      </c>
      <c r="K840">
        <v>2.95</v>
      </c>
      <c r="M840" s="3"/>
      <c r="N840" s="17"/>
      <c r="O840" s="17"/>
      <c r="P840" s="17"/>
      <c r="Q840" s="17"/>
      <c r="R840" s="17"/>
      <c r="S840" s="17"/>
      <c r="T840" s="17"/>
      <c r="U840" s="17"/>
      <c r="V840" s="17"/>
      <c r="AE840" s="2"/>
      <c r="AQ840" s="2"/>
      <c r="AR840" s="2"/>
      <c r="AS840" s="2"/>
      <c r="AT840" s="2"/>
      <c r="AU840" s="2"/>
      <c r="AV840" s="2"/>
      <c r="AW840" s="2"/>
      <c r="AX840" s="2"/>
      <c r="AY840" s="2"/>
    </row>
    <row r="841" spans="1:51" x14ac:dyDescent="0.25">
      <c r="A841" s="24">
        <v>44546</v>
      </c>
      <c r="B841" s="1">
        <v>44546</v>
      </c>
      <c r="C841">
        <v>0.77</v>
      </c>
      <c r="D841">
        <v>0.97</v>
      </c>
      <c r="E841">
        <v>1.1100000000000001</v>
      </c>
      <c r="F841">
        <v>1.51</v>
      </c>
      <c r="G841">
        <v>1.72</v>
      </c>
      <c r="H841">
        <v>1.81</v>
      </c>
      <c r="I841">
        <v>1.96</v>
      </c>
      <c r="J841">
        <v>2.35</v>
      </c>
      <c r="K841">
        <v>2.81</v>
      </c>
      <c r="M841" s="3"/>
      <c r="N841" s="17"/>
      <c r="O841" s="17"/>
      <c r="P841" s="17"/>
      <c r="Q841" s="17"/>
      <c r="R841" s="17"/>
      <c r="S841" s="17"/>
      <c r="T841" s="17"/>
      <c r="U841" s="17"/>
      <c r="V841" s="17"/>
      <c r="AE841" s="2"/>
      <c r="AQ841" s="2"/>
      <c r="AR841" s="2"/>
      <c r="AS841" s="2"/>
      <c r="AT841" s="2"/>
      <c r="AU841" s="2"/>
      <c r="AV841" s="2"/>
      <c r="AW841" s="2"/>
      <c r="AX841" s="2"/>
      <c r="AY841" s="2"/>
    </row>
    <row r="842" spans="1:51" x14ac:dyDescent="0.25">
      <c r="A842" s="24">
        <v>44545</v>
      </c>
      <c r="B842" s="1">
        <v>44545</v>
      </c>
      <c r="C842">
        <v>0.69</v>
      </c>
      <c r="D842">
        <v>0.8</v>
      </c>
      <c r="E842">
        <v>0.91</v>
      </c>
      <c r="F842">
        <v>1.35</v>
      </c>
      <c r="G842">
        <v>1.65</v>
      </c>
      <c r="H842">
        <v>1.78</v>
      </c>
      <c r="I842">
        <v>1.98</v>
      </c>
      <c r="J842">
        <v>2.41</v>
      </c>
      <c r="K842">
        <v>3.19</v>
      </c>
      <c r="M842" s="3"/>
      <c r="N842" s="17"/>
      <c r="O842" s="17"/>
      <c r="P842" s="17"/>
      <c r="Q842" s="17"/>
      <c r="R842" s="17"/>
      <c r="S842" s="17"/>
      <c r="T842" s="17"/>
      <c r="U842" s="17"/>
      <c r="V842" s="17"/>
      <c r="AE842" s="2"/>
      <c r="AQ842" s="2"/>
      <c r="AR842" s="2"/>
      <c r="AS842" s="2"/>
      <c r="AT842" s="2"/>
      <c r="AU842" s="2"/>
      <c r="AV842" s="2"/>
      <c r="AW842" s="2"/>
      <c r="AX842" s="2"/>
      <c r="AY842" s="2"/>
    </row>
    <row r="843" spans="1:51" x14ac:dyDescent="0.25">
      <c r="A843" s="24">
        <v>44544</v>
      </c>
      <c r="B843" s="1">
        <v>44544</v>
      </c>
      <c r="C843">
        <v>0.69</v>
      </c>
      <c r="D843">
        <v>0.8</v>
      </c>
      <c r="E843">
        <v>0.9</v>
      </c>
      <c r="F843">
        <v>1.23</v>
      </c>
      <c r="G843">
        <v>1.52</v>
      </c>
      <c r="H843">
        <v>1.61</v>
      </c>
      <c r="I843">
        <v>1.89</v>
      </c>
      <c r="J843">
        <v>2.38</v>
      </c>
      <c r="K843">
        <v>2.93</v>
      </c>
      <c r="M843" s="3"/>
      <c r="N843" s="17"/>
      <c r="O843" s="17"/>
      <c r="P843" s="17"/>
      <c r="Q843" s="17"/>
      <c r="R843" s="17"/>
      <c r="S843" s="17"/>
      <c r="T843" s="17"/>
      <c r="U843" s="17"/>
      <c r="V843" s="17"/>
      <c r="AE843" s="2"/>
      <c r="AQ843" s="2"/>
      <c r="AR843" s="2"/>
      <c r="AS843" s="2"/>
      <c r="AT843" s="2"/>
      <c r="AU843" s="2"/>
      <c r="AV843" s="2"/>
      <c r="AW843" s="2"/>
      <c r="AX843" s="2"/>
      <c r="AY843" s="2"/>
    </row>
    <row r="844" spans="1:51" x14ac:dyDescent="0.25">
      <c r="A844" s="24">
        <v>44543</v>
      </c>
      <c r="B844" s="1">
        <v>44543</v>
      </c>
      <c r="C844">
        <v>0.68</v>
      </c>
      <c r="D844">
        <v>0.8</v>
      </c>
      <c r="E844">
        <v>0.89</v>
      </c>
      <c r="F844">
        <v>1.24</v>
      </c>
      <c r="G844">
        <v>1.53</v>
      </c>
      <c r="H844">
        <v>1.64</v>
      </c>
      <c r="I844">
        <v>1.86</v>
      </c>
      <c r="J844">
        <v>2.39</v>
      </c>
      <c r="K844">
        <v>2.77</v>
      </c>
      <c r="M844" s="3"/>
      <c r="N844" s="17"/>
      <c r="O844" s="17"/>
      <c r="P844" s="17"/>
      <c r="Q844" s="17"/>
      <c r="R844" s="17"/>
      <c r="S844" s="17"/>
      <c r="T844" s="17"/>
      <c r="U844" s="17"/>
      <c r="V844" s="17"/>
      <c r="AE844" s="2"/>
      <c r="AQ844" s="2"/>
      <c r="AR844" s="2"/>
      <c r="AS844" s="2"/>
      <c r="AT844" s="2"/>
      <c r="AU844" s="2"/>
      <c r="AV844" s="2"/>
      <c r="AW844" s="2"/>
      <c r="AX844" s="2"/>
      <c r="AY844" s="2"/>
    </row>
    <row r="845" spans="1:51" x14ac:dyDescent="0.25">
      <c r="A845" s="24">
        <v>44540</v>
      </c>
      <c r="B845" s="1">
        <v>44540</v>
      </c>
      <c r="C845">
        <v>0.68</v>
      </c>
      <c r="D845">
        <v>0.79</v>
      </c>
      <c r="E845">
        <v>0.89</v>
      </c>
      <c r="F845">
        <v>1.2</v>
      </c>
      <c r="G845">
        <v>1.52</v>
      </c>
      <c r="H845">
        <v>1.63</v>
      </c>
      <c r="I845">
        <v>1.83</v>
      </c>
      <c r="J845">
        <v>2.4300000000000002</v>
      </c>
      <c r="K845">
        <v>2.81</v>
      </c>
      <c r="M845" s="3"/>
      <c r="N845" s="17"/>
      <c r="O845" s="17"/>
      <c r="P845" s="17"/>
      <c r="Q845" s="17"/>
      <c r="R845" s="17"/>
      <c r="S845" s="17"/>
      <c r="T845" s="17"/>
      <c r="U845" s="17"/>
      <c r="V845" s="17"/>
      <c r="AE845" s="2"/>
      <c r="AQ845" s="2"/>
      <c r="AR845" s="2"/>
      <c r="AS845" s="2"/>
      <c r="AT845" s="2"/>
      <c r="AU845" s="2"/>
      <c r="AV845" s="2"/>
      <c r="AW845" s="2"/>
      <c r="AX845" s="2"/>
      <c r="AY845" s="2"/>
    </row>
    <row r="846" spans="1:51" x14ac:dyDescent="0.25">
      <c r="A846" s="24">
        <v>44539</v>
      </c>
      <c r="B846" s="1">
        <v>44539</v>
      </c>
      <c r="C846">
        <v>0.68</v>
      </c>
      <c r="D846">
        <v>0.79</v>
      </c>
      <c r="E846">
        <v>0.89</v>
      </c>
      <c r="F846">
        <v>1.19</v>
      </c>
      <c r="G846">
        <v>1.5</v>
      </c>
      <c r="H846">
        <v>1.61</v>
      </c>
      <c r="I846">
        <v>1.85</v>
      </c>
      <c r="J846">
        <v>2.41</v>
      </c>
      <c r="K846">
        <v>2.81</v>
      </c>
      <c r="M846" s="3"/>
      <c r="N846" s="17"/>
      <c r="O846" s="17"/>
      <c r="P846" s="17"/>
      <c r="Q846" s="17"/>
      <c r="R846" s="17"/>
      <c r="S846" s="17"/>
      <c r="T846" s="17"/>
      <c r="U846" s="17"/>
      <c r="V846" s="17"/>
      <c r="AE846" s="2"/>
      <c r="AQ846" s="2"/>
      <c r="AR846" s="2"/>
      <c r="AS846" s="2"/>
      <c r="AT846" s="2"/>
      <c r="AU846" s="2"/>
      <c r="AV846" s="2"/>
      <c r="AW846" s="2"/>
      <c r="AX846" s="2"/>
      <c r="AY846" s="2"/>
    </row>
    <row r="847" spans="1:51" x14ac:dyDescent="0.25">
      <c r="A847" s="24">
        <v>44538</v>
      </c>
      <c r="B847" s="1">
        <v>44538</v>
      </c>
      <c r="C847">
        <v>0.67</v>
      </c>
      <c r="D847">
        <v>0.79</v>
      </c>
      <c r="E847">
        <v>0.9</v>
      </c>
      <c r="F847">
        <v>1.17</v>
      </c>
      <c r="G847">
        <v>1.42</v>
      </c>
      <c r="H847">
        <v>1.54</v>
      </c>
      <c r="I847">
        <v>1.86</v>
      </c>
      <c r="J847">
        <v>2.4</v>
      </c>
      <c r="K847">
        <v>2.93</v>
      </c>
      <c r="M847" s="3"/>
      <c r="N847" s="17"/>
      <c r="O847" s="17"/>
      <c r="P847" s="17"/>
      <c r="Q847" s="17"/>
      <c r="R847" s="17"/>
      <c r="S847" s="17"/>
      <c r="T847" s="17"/>
      <c r="U847" s="17"/>
      <c r="V847" s="17"/>
      <c r="AE847" s="2"/>
      <c r="AQ847" s="2"/>
      <c r="AR847" s="2"/>
      <c r="AS847" s="2"/>
      <c r="AT847" s="2"/>
      <c r="AU847" s="2"/>
      <c r="AV847" s="2"/>
      <c r="AW847" s="2"/>
      <c r="AX847" s="2"/>
      <c r="AY847" s="2"/>
    </row>
    <row r="848" spans="1:51" x14ac:dyDescent="0.25">
      <c r="A848" s="24">
        <v>44537</v>
      </c>
      <c r="B848" s="1">
        <v>44537</v>
      </c>
      <c r="C848">
        <v>0.68</v>
      </c>
      <c r="D848">
        <v>0.79</v>
      </c>
      <c r="E848">
        <v>0.88</v>
      </c>
      <c r="F848">
        <v>1.17</v>
      </c>
      <c r="G848">
        <v>1.47</v>
      </c>
      <c r="H848">
        <v>1.6</v>
      </c>
      <c r="I848">
        <v>1.88</v>
      </c>
      <c r="J848">
        <v>2.4300000000000002</v>
      </c>
      <c r="K848">
        <v>2.96</v>
      </c>
      <c r="M848" s="3"/>
      <c r="N848" s="17"/>
      <c r="O848" s="17"/>
      <c r="P848" s="17"/>
      <c r="Q848" s="17"/>
      <c r="R848" s="17"/>
      <c r="S848" s="17"/>
      <c r="T848" s="17"/>
      <c r="U848" s="17"/>
      <c r="V848" s="17"/>
      <c r="AE848" s="2"/>
      <c r="AQ848" s="2"/>
      <c r="AR848" s="2"/>
      <c r="AS848" s="2"/>
      <c r="AT848" s="2"/>
      <c r="AU848" s="2"/>
      <c r="AV848" s="2"/>
      <c r="AW848" s="2"/>
      <c r="AX848" s="2"/>
      <c r="AY848" s="2"/>
    </row>
    <row r="849" spans="1:51" x14ac:dyDescent="0.25">
      <c r="A849" s="24">
        <v>44536</v>
      </c>
      <c r="B849" s="1">
        <v>44536</v>
      </c>
      <c r="C849">
        <v>0.68</v>
      </c>
      <c r="D849">
        <v>0.79</v>
      </c>
      <c r="E849">
        <v>0.89</v>
      </c>
      <c r="F849">
        <v>1.17</v>
      </c>
      <c r="G849">
        <v>1.43</v>
      </c>
      <c r="H849">
        <v>1.56</v>
      </c>
      <c r="I849">
        <v>1.83</v>
      </c>
      <c r="J849">
        <v>2.4</v>
      </c>
      <c r="K849">
        <v>2.86</v>
      </c>
      <c r="M849" s="3"/>
      <c r="N849" s="17"/>
      <c r="O849" s="17"/>
      <c r="P849" s="17"/>
      <c r="Q849" s="17"/>
      <c r="R849" s="17"/>
      <c r="S849" s="17"/>
      <c r="T849" s="17"/>
      <c r="U849" s="17"/>
      <c r="V849" s="17"/>
      <c r="AE849" s="2"/>
      <c r="AQ849" s="2"/>
      <c r="AR849" s="2"/>
      <c r="AS849" s="2"/>
      <c r="AT849" s="2"/>
      <c r="AU849" s="2"/>
      <c r="AV849" s="2"/>
      <c r="AW849" s="2"/>
      <c r="AX849" s="2"/>
      <c r="AY849" s="2"/>
    </row>
    <row r="850" spans="1:51" x14ac:dyDescent="0.25">
      <c r="A850" s="24">
        <v>44533</v>
      </c>
      <c r="B850" s="1">
        <v>44533</v>
      </c>
      <c r="C850">
        <v>0.68</v>
      </c>
      <c r="D850">
        <v>0.79</v>
      </c>
      <c r="E850">
        <v>0.89</v>
      </c>
      <c r="F850">
        <v>1.18</v>
      </c>
      <c r="G850">
        <v>1.47</v>
      </c>
      <c r="H850">
        <v>1.61</v>
      </c>
      <c r="I850">
        <v>1.83</v>
      </c>
      <c r="J850">
        <v>2.39</v>
      </c>
      <c r="K850">
        <v>2.77</v>
      </c>
      <c r="M850" s="3"/>
      <c r="N850" s="17"/>
      <c r="O850" s="17"/>
      <c r="P850" s="17"/>
      <c r="Q850" s="17"/>
      <c r="R850" s="17"/>
      <c r="S850" s="17"/>
      <c r="T850" s="17"/>
      <c r="U850" s="17"/>
      <c r="V850" s="17"/>
      <c r="AE850" s="2"/>
      <c r="AQ850" s="2"/>
      <c r="AR850" s="2"/>
      <c r="AS850" s="2"/>
      <c r="AT850" s="2"/>
      <c r="AU850" s="2"/>
      <c r="AV850" s="2"/>
      <c r="AW850" s="2"/>
      <c r="AX850" s="2"/>
      <c r="AY850" s="2"/>
    </row>
    <row r="851" spans="1:51" x14ac:dyDescent="0.25">
      <c r="A851" s="24">
        <v>44532</v>
      </c>
      <c r="B851" s="1">
        <v>44532</v>
      </c>
      <c r="C851">
        <v>0.68</v>
      </c>
      <c r="D851">
        <v>0.79</v>
      </c>
      <c r="E851">
        <v>0.89</v>
      </c>
      <c r="F851">
        <v>1.18</v>
      </c>
      <c r="G851">
        <v>1.47</v>
      </c>
      <c r="H851">
        <v>1.59</v>
      </c>
      <c r="I851">
        <v>1.82</v>
      </c>
      <c r="J851">
        <v>2.38</v>
      </c>
      <c r="K851">
        <v>2.73</v>
      </c>
      <c r="M851" s="3"/>
      <c r="N851" s="17"/>
      <c r="O851" s="17"/>
      <c r="P851" s="17"/>
      <c r="Q851" s="17"/>
      <c r="R851" s="17"/>
      <c r="S851" s="17"/>
      <c r="T851" s="17"/>
      <c r="U851" s="17"/>
      <c r="V851" s="17"/>
      <c r="AE851" s="2"/>
      <c r="AQ851" s="2"/>
      <c r="AR851" s="2"/>
      <c r="AS851" s="2"/>
      <c r="AT851" s="2"/>
      <c r="AU851" s="2"/>
      <c r="AV851" s="2"/>
      <c r="AW851" s="2"/>
      <c r="AX851" s="2"/>
      <c r="AY851" s="2"/>
    </row>
    <row r="852" spans="1:51" x14ac:dyDescent="0.25">
      <c r="A852" s="24">
        <v>44531</v>
      </c>
      <c r="B852" s="1">
        <v>44531</v>
      </c>
      <c r="C852">
        <v>0.67</v>
      </c>
      <c r="D852">
        <v>0.79</v>
      </c>
      <c r="E852">
        <v>0.89</v>
      </c>
      <c r="F852">
        <v>1.17</v>
      </c>
      <c r="G852">
        <v>1.46</v>
      </c>
      <c r="H852">
        <v>1.57</v>
      </c>
      <c r="I852">
        <v>1.84</v>
      </c>
      <c r="J852">
        <v>2.41</v>
      </c>
      <c r="K852">
        <v>2.81</v>
      </c>
      <c r="M852" s="3"/>
      <c r="N852" s="17"/>
      <c r="O852" s="17"/>
      <c r="P852" s="17"/>
      <c r="Q852" s="17"/>
      <c r="R852" s="17"/>
      <c r="S852" s="17"/>
      <c r="T852" s="17"/>
      <c r="U852" s="17"/>
      <c r="V852" s="17"/>
      <c r="AE852" s="2"/>
      <c r="AQ852" s="2"/>
      <c r="AR852" s="2"/>
      <c r="AS852" s="2"/>
      <c r="AT852" s="2"/>
      <c r="AU852" s="2"/>
      <c r="AV852" s="2"/>
      <c r="AW852" s="2"/>
      <c r="AX852" s="2"/>
      <c r="AY852" s="2"/>
    </row>
    <row r="853" spans="1:51" x14ac:dyDescent="0.25">
      <c r="A853" s="24">
        <v>44530</v>
      </c>
      <c r="B853" s="1">
        <v>44530</v>
      </c>
      <c r="C853">
        <v>0.68</v>
      </c>
      <c r="D853">
        <v>0.77</v>
      </c>
      <c r="E853">
        <v>0.89</v>
      </c>
      <c r="F853">
        <v>1.1599999999999999</v>
      </c>
      <c r="G853">
        <v>1.44</v>
      </c>
      <c r="H853">
        <v>1.58</v>
      </c>
      <c r="I853">
        <v>1.84</v>
      </c>
      <c r="J853">
        <v>2.4</v>
      </c>
      <c r="K853">
        <v>2.93</v>
      </c>
      <c r="M853" s="3"/>
      <c r="N853" s="17"/>
      <c r="O853" s="17"/>
      <c r="P853" s="17"/>
      <c r="Q853" s="17"/>
      <c r="R853" s="17"/>
      <c r="S853" s="17"/>
      <c r="T853" s="17"/>
      <c r="U853" s="17"/>
      <c r="V853" s="17"/>
      <c r="AE853" s="2"/>
      <c r="AQ853" s="2"/>
      <c r="AR853" s="2"/>
      <c r="AS853" s="2"/>
      <c r="AT853" s="2"/>
      <c r="AU853" s="2"/>
      <c r="AV853" s="2"/>
      <c r="AW853" s="2"/>
      <c r="AX853" s="2"/>
      <c r="AY853" s="2"/>
    </row>
    <row r="854" spans="1:51" x14ac:dyDescent="0.25">
      <c r="A854" s="24">
        <v>44529</v>
      </c>
      <c r="B854" s="1">
        <v>44529</v>
      </c>
      <c r="C854">
        <v>0.68</v>
      </c>
      <c r="D854">
        <v>0.78</v>
      </c>
      <c r="E854">
        <v>0.88</v>
      </c>
      <c r="F854">
        <v>1.18</v>
      </c>
      <c r="G854">
        <v>1.45</v>
      </c>
      <c r="H854">
        <v>1.59</v>
      </c>
      <c r="I854">
        <v>1.83</v>
      </c>
      <c r="J854">
        <v>2.41</v>
      </c>
      <c r="K854">
        <v>2.88</v>
      </c>
      <c r="M854" s="3"/>
      <c r="N854" s="17"/>
      <c r="O854" s="17"/>
      <c r="P854" s="17"/>
      <c r="Q854" s="17"/>
      <c r="R854" s="17"/>
      <c r="S854" s="17"/>
      <c r="T854" s="17"/>
      <c r="U854" s="17"/>
      <c r="V854" s="17"/>
      <c r="AE854" s="2"/>
      <c r="AQ854" s="2"/>
      <c r="AR854" s="2"/>
      <c r="AS854" s="2"/>
      <c r="AT854" s="2"/>
      <c r="AU854" s="2"/>
      <c r="AV854" s="2"/>
      <c r="AW854" s="2"/>
      <c r="AX854" s="2"/>
      <c r="AY854" s="2"/>
    </row>
    <row r="855" spans="1:51" x14ac:dyDescent="0.25">
      <c r="A855" s="24">
        <v>44526</v>
      </c>
      <c r="B855" s="1">
        <v>44526</v>
      </c>
      <c r="C855">
        <v>0.67</v>
      </c>
      <c r="D855">
        <v>0.77</v>
      </c>
      <c r="E855">
        <v>0.86</v>
      </c>
      <c r="F855">
        <v>1.0900000000000001</v>
      </c>
      <c r="G855">
        <v>1.34</v>
      </c>
      <c r="H855">
        <v>1.52</v>
      </c>
      <c r="I855">
        <v>1.79</v>
      </c>
      <c r="J855">
        <v>2.39</v>
      </c>
      <c r="K855">
        <v>2.88</v>
      </c>
      <c r="M855" s="3"/>
      <c r="N855" s="17"/>
      <c r="O855" s="17"/>
      <c r="P855" s="17"/>
      <c r="Q855" s="17"/>
      <c r="R855" s="17"/>
      <c r="S855" s="17"/>
      <c r="T855" s="17"/>
      <c r="U855" s="17"/>
      <c r="V855" s="17"/>
      <c r="AE855" s="2"/>
      <c r="AQ855" s="2"/>
      <c r="AR855" s="2"/>
      <c r="AS855" s="2"/>
      <c r="AT855" s="2"/>
      <c r="AU855" s="2"/>
      <c r="AV855" s="2"/>
      <c r="AW855" s="2"/>
      <c r="AX855" s="2"/>
      <c r="AY855" s="2"/>
    </row>
    <row r="856" spans="1:51" x14ac:dyDescent="0.25">
      <c r="A856" s="24">
        <v>44525</v>
      </c>
      <c r="B856" s="1">
        <v>44525</v>
      </c>
      <c r="C856">
        <v>0.67</v>
      </c>
      <c r="D856">
        <v>0.78</v>
      </c>
      <c r="E856">
        <v>0.88</v>
      </c>
      <c r="F856">
        <v>1.1599999999999999</v>
      </c>
      <c r="G856">
        <v>1.43</v>
      </c>
      <c r="H856">
        <v>1.58</v>
      </c>
      <c r="I856">
        <v>1.86</v>
      </c>
      <c r="J856">
        <v>2.4300000000000002</v>
      </c>
      <c r="K856">
        <v>2.97</v>
      </c>
      <c r="M856" s="3"/>
      <c r="N856" s="17"/>
      <c r="O856" s="17"/>
      <c r="P856" s="17"/>
      <c r="Q856" s="17"/>
      <c r="R856" s="17"/>
      <c r="S856" s="17"/>
      <c r="T856" s="17"/>
      <c r="U856" s="17"/>
      <c r="V856" s="17"/>
      <c r="AE856" s="2"/>
      <c r="AQ856" s="2"/>
      <c r="AR856" s="2"/>
      <c r="AS856" s="2"/>
      <c r="AT856" s="2"/>
      <c r="AU856" s="2"/>
      <c r="AV856" s="2"/>
      <c r="AW856" s="2"/>
      <c r="AX856" s="2"/>
      <c r="AY856" s="2"/>
    </row>
    <row r="857" spans="1:51" x14ac:dyDescent="0.25">
      <c r="A857" s="24">
        <v>44524</v>
      </c>
      <c r="B857" s="1">
        <v>44524</v>
      </c>
      <c r="C857">
        <v>0.67</v>
      </c>
      <c r="D857">
        <v>0.78</v>
      </c>
      <c r="E857">
        <v>0.88</v>
      </c>
      <c r="F857">
        <v>1.18</v>
      </c>
      <c r="G857">
        <v>1.46</v>
      </c>
      <c r="H857">
        <v>1.6</v>
      </c>
      <c r="I857">
        <v>1.86</v>
      </c>
      <c r="J857">
        <v>2.41</v>
      </c>
      <c r="K857">
        <v>2.97</v>
      </c>
      <c r="M857" s="3"/>
      <c r="N857" s="17"/>
      <c r="O857" s="17"/>
      <c r="P857" s="17"/>
      <c r="Q857" s="17"/>
      <c r="R857" s="17"/>
      <c r="S857" s="17"/>
      <c r="T857" s="17"/>
      <c r="U857" s="17"/>
      <c r="V857" s="17"/>
      <c r="AE857" s="2"/>
      <c r="AQ857" s="2"/>
      <c r="AR857" s="2"/>
      <c r="AS857" s="2"/>
      <c r="AT857" s="2"/>
      <c r="AU857" s="2"/>
      <c r="AV857" s="2"/>
      <c r="AW857" s="2"/>
      <c r="AX857" s="2"/>
      <c r="AY857" s="2"/>
    </row>
    <row r="858" spans="1:51" x14ac:dyDescent="0.25">
      <c r="A858" s="24">
        <v>44523</v>
      </c>
      <c r="B858" s="1">
        <v>44523</v>
      </c>
      <c r="C858">
        <v>0.67</v>
      </c>
      <c r="D858">
        <v>0.77</v>
      </c>
      <c r="E858">
        <v>0.88</v>
      </c>
      <c r="F858">
        <v>1.1599999999999999</v>
      </c>
      <c r="G858">
        <v>1.42</v>
      </c>
      <c r="H858">
        <v>1.58</v>
      </c>
      <c r="I858">
        <v>1.83</v>
      </c>
      <c r="J858">
        <v>2.4300000000000002</v>
      </c>
      <c r="K858">
        <v>3.06</v>
      </c>
      <c r="M858" s="3"/>
      <c r="N858" s="17"/>
      <c r="O858" s="17"/>
      <c r="P858" s="17"/>
      <c r="Q858" s="17"/>
      <c r="R858" s="17"/>
      <c r="S858" s="17"/>
      <c r="T858" s="17"/>
      <c r="U858" s="17"/>
      <c r="V858" s="17"/>
      <c r="AE858" s="2"/>
      <c r="AQ858" s="2"/>
      <c r="AR858" s="2"/>
      <c r="AS858" s="2"/>
      <c r="AT858" s="2"/>
      <c r="AU858" s="2"/>
      <c r="AV858" s="2"/>
      <c r="AW858" s="2"/>
      <c r="AX858" s="2"/>
      <c r="AY858" s="2"/>
    </row>
    <row r="859" spans="1:51" x14ac:dyDescent="0.25">
      <c r="A859" s="24">
        <v>44522</v>
      </c>
      <c r="B859" s="1">
        <v>44522</v>
      </c>
      <c r="C859">
        <v>0.65</v>
      </c>
      <c r="D859">
        <v>0.75</v>
      </c>
      <c r="E859">
        <v>0.86</v>
      </c>
      <c r="F859">
        <v>1.1599999999999999</v>
      </c>
      <c r="G859">
        <v>1.43</v>
      </c>
      <c r="H859">
        <v>1.55</v>
      </c>
      <c r="I859">
        <v>1.85</v>
      </c>
      <c r="J859">
        <v>2.41</v>
      </c>
      <c r="K859">
        <v>2.86</v>
      </c>
      <c r="M859" s="3"/>
      <c r="N859" s="17"/>
      <c r="O859" s="17"/>
      <c r="P859" s="17"/>
      <c r="Q859" s="17"/>
      <c r="R859" s="17"/>
      <c r="S859" s="17"/>
      <c r="T859" s="17"/>
      <c r="U859" s="17"/>
      <c r="V859" s="17"/>
      <c r="AE859" s="2"/>
      <c r="AQ859" s="2"/>
      <c r="AR859" s="2"/>
      <c r="AS859" s="2"/>
      <c r="AT859" s="2"/>
      <c r="AU859" s="2"/>
      <c r="AV859" s="2"/>
      <c r="AW859" s="2"/>
      <c r="AX859" s="2"/>
      <c r="AY859" s="2"/>
    </row>
    <row r="860" spans="1:51" x14ac:dyDescent="0.25">
      <c r="A860" s="24">
        <v>44519</v>
      </c>
      <c r="B860" s="1">
        <v>44519</v>
      </c>
      <c r="C860">
        <v>0.67</v>
      </c>
      <c r="D860">
        <v>0.78</v>
      </c>
      <c r="E860">
        <v>0.87</v>
      </c>
      <c r="F860">
        <v>1.1499999999999999</v>
      </c>
      <c r="G860">
        <v>1.42</v>
      </c>
      <c r="H860">
        <v>1.57</v>
      </c>
      <c r="I860">
        <v>1.87</v>
      </c>
      <c r="J860">
        <v>2.44</v>
      </c>
      <c r="K860">
        <v>2.95</v>
      </c>
      <c r="M860" s="3"/>
      <c r="N860" s="17"/>
      <c r="O860" s="17"/>
      <c r="P860" s="17"/>
      <c r="Q860" s="17"/>
      <c r="R860" s="17"/>
      <c r="S860" s="17"/>
      <c r="T860" s="17"/>
      <c r="U860" s="17"/>
      <c r="V860" s="17"/>
      <c r="AE860" s="2"/>
      <c r="AQ860" s="2"/>
      <c r="AR860" s="2"/>
      <c r="AS860" s="2"/>
      <c r="AT860" s="2"/>
      <c r="AU860" s="2"/>
      <c r="AV860" s="2"/>
      <c r="AW860" s="2"/>
      <c r="AX860" s="2"/>
      <c r="AY860" s="2"/>
    </row>
    <row r="861" spans="1:51" x14ac:dyDescent="0.25">
      <c r="A861" s="24">
        <v>44518</v>
      </c>
      <c r="B861" s="1">
        <v>44518</v>
      </c>
      <c r="C861">
        <v>0.66</v>
      </c>
      <c r="D861">
        <v>0.77</v>
      </c>
      <c r="E861">
        <v>0.88</v>
      </c>
      <c r="F861">
        <v>1.1499999999999999</v>
      </c>
      <c r="G861">
        <v>1.4</v>
      </c>
      <c r="H861">
        <v>1.54</v>
      </c>
      <c r="I861">
        <v>1.88</v>
      </c>
      <c r="J861">
        <v>2.41</v>
      </c>
      <c r="K861">
        <v>2.99</v>
      </c>
      <c r="M861" s="3"/>
      <c r="N861" s="17"/>
      <c r="O861" s="17"/>
      <c r="P861" s="17"/>
      <c r="Q861" s="17"/>
      <c r="R861" s="17"/>
      <c r="S861" s="17"/>
      <c r="T861" s="17"/>
      <c r="U861" s="17"/>
      <c r="V861" s="17"/>
      <c r="AE861" s="2"/>
      <c r="AQ861" s="2"/>
      <c r="AR861" s="2"/>
      <c r="AS861" s="2"/>
      <c r="AT861" s="2"/>
      <c r="AU861" s="2"/>
      <c r="AV861" s="2"/>
      <c r="AW861" s="2"/>
      <c r="AX861" s="2"/>
      <c r="AY861" s="2"/>
    </row>
    <row r="862" spans="1:51" x14ac:dyDescent="0.25">
      <c r="A862" s="24">
        <v>44517</v>
      </c>
      <c r="B862" s="1">
        <v>44517</v>
      </c>
      <c r="C862">
        <v>0.67</v>
      </c>
      <c r="D862">
        <v>0.77</v>
      </c>
      <c r="E862">
        <v>0.88</v>
      </c>
      <c r="F862">
        <v>1.18</v>
      </c>
      <c r="G862">
        <v>1.45</v>
      </c>
      <c r="H862">
        <v>1.58</v>
      </c>
      <c r="I862">
        <v>1.83</v>
      </c>
      <c r="J862">
        <v>2.39</v>
      </c>
      <c r="K862">
        <v>2.86</v>
      </c>
      <c r="M862" s="3"/>
      <c r="N862" s="17"/>
      <c r="O862" s="17"/>
      <c r="P862" s="17"/>
      <c r="Q862" s="17"/>
      <c r="R862" s="17"/>
      <c r="S862" s="17"/>
      <c r="T862" s="17"/>
      <c r="U862" s="17"/>
      <c r="V862" s="17"/>
      <c r="AE862" s="2"/>
      <c r="AQ862" s="2"/>
      <c r="AR862" s="2"/>
      <c r="AS862" s="2"/>
      <c r="AT862" s="2"/>
      <c r="AU862" s="2"/>
      <c r="AV862" s="2"/>
      <c r="AW862" s="2"/>
      <c r="AX862" s="2"/>
      <c r="AY862" s="2"/>
    </row>
    <row r="863" spans="1:51" x14ac:dyDescent="0.25">
      <c r="A863" s="24">
        <v>44516</v>
      </c>
      <c r="B863" s="1">
        <v>44516</v>
      </c>
      <c r="C863">
        <v>0.66</v>
      </c>
      <c r="D863">
        <v>0.75</v>
      </c>
      <c r="E863">
        <v>0.87</v>
      </c>
      <c r="F863">
        <v>1.1299999999999999</v>
      </c>
      <c r="G863">
        <v>1.4</v>
      </c>
      <c r="H863">
        <v>1.54</v>
      </c>
      <c r="I863">
        <v>1.86</v>
      </c>
      <c r="J863">
        <v>2.41</v>
      </c>
      <c r="K863">
        <v>3.05</v>
      </c>
      <c r="M863" s="3"/>
      <c r="N863" s="17"/>
      <c r="O863" s="17"/>
      <c r="P863" s="17"/>
      <c r="Q863" s="17"/>
      <c r="R863" s="17"/>
      <c r="S863" s="17"/>
      <c r="T863" s="17"/>
      <c r="U863" s="17"/>
      <c r="V863" s="17"/>
      <c r="AE863" s="2"/>
      <c r="AQ863" s="2"/>
      <c r="AR863" s="2"/>
      <c r="AS863" s="2"/>
      <c r="AT863" s="2"/>
      <c r="AU863" s="2"/>
      <c r="AV863" s="2"/>
      <c r="AW863" s="2"/>
      <c r="AX863" s="2"/>
      <c r="AY863" s="2"/>
    </row>
    <row r="864" spans="1:51" x14ac:dyDescent="0.25">
      <c r="A864" s="24">
        <v>44515</v>
      </c>
      <c r="B864" s="1">
        <v>44515</v>
      </c>
      <c r="C864">
        <v>0.68</v>
      </c>
      <c r="D864">
        <v>0.78</v>
      </c>
      <c r="E864">
        <v>0.88</v>
      </c>
      <c r="F864">
        <v>1.18</v>
      </c>
      <c r="G864">
        <v>1.45</v>
      </c>
      <c r="H864">
        <v>1.58</v>
      </c>
      <c r="I864">
        <v>1.82</v>
      </c>
      <c r="J864">
        <v>2.42</v>
      </c>
      <c r="K864">
        <v>2.86</v>
      </c>
      <c r="M864" s="3"/>
      <c r="N864" s="17"/>
      <c r="O864" s="17"/>
      <c r="P864" s="17"/>
      <c r="Q864" s="17"/>
      <c r="R864" s="17"/>
      <c r="S864" s="17"/>
      <c r="T864" s="17"/>
      <c r="U864" s="17"/>
      <c r="V864" s="17"/>
      <c r="AE864" s="2"/>
      <c r="AQ864" s="2"/>
      <c r="AR864" s="2"/>
      <c r="AS864" s="2"/>
      <c r="AT864" s="2"/>
      <c r="AU864" s="2"/>
      <c r="AV864" s="2"/>
      <c r="AW864" s="2"/>
      <c r="AX864" s="2"/>
      <c r="AY864" s="2"/>
    </row>
    <row r="865" spans="1:51" x14ac:dyDescent="0.25">
      <c r="A865" s="24">
        <v>44512</v>
      </c>
      <c r="B865" s="1">
        <v>44512</v>
      </c>
      <c r="C865">
        <v>0.68</v>
      </c>
      <c r="D865">
        <v>0.78</v>
      </c>
      <c r="E865">
        <v>0.88</v>
      </c>
      <c r="F865">
        <v>1.1599999999999999</v>
      </c>
      <c r="G865">
        <v>1.42</v>
      </c>
      <c r="H865">
        <v>1.55</v>
      </c>
      <c r="I865">
        <v>1.83</v>
      </c>
      <c r="J865">
        <v>2.4300000000000002</v>
      </c>
      <c r="K865">
        <v>2.99</v>
      </c>
      <c r="M865" s="3"/>
      <c r="N865" s="17"/>
      <c r="O865" s="17"/>
      <c r="P865" s="17"/>
      <c r="Q865" s="17"/>
      <c r="R865" s="17"/>
      <c r="S865" s="17"/>
      <c r="T865" s="17"/>
      <c r="U865" s="17"/>
      <c r="V865" s="17"/>
      <c r="AE865" s="2"/>
      <c r="AQ865" s="2"/>
      <c r="AR865" s="2"/>
      <c r="AS865" s="2"/>
      <c r="AT865" s="2"/>
      <c r="AU865" s="2"/>
      <c r="AV865" s="2"/>
      <c r="AW865" s="2"/>
      <c r="AX865" s="2"/>
      <c r="AY865" s="2"/>
    </row>
    <row r="866" spans="1:51" x14ac:dyDescent="0.25">
      <c r="A866" s="24">
        <v>44511</v>
      </c>
      <c r="B866" s="1">
        <v>44511</v>
      </c>
      <c r="C866">
        <v>0.67</v>
      </c>
      <c r="D866">
        <v>0.78</v>
      </c>
      <c r="E866">
        <v>0.88</v>
      </c>
      <c r="F866">
        <v>1.1599999999999999</v>
      </c>
      <c r="G866">
        <v>1.46</v>
      </c>
      <c r="H866">
        <v>1.59</v>
      </c>
      <c r="I866">
        <v>1.85</v>
      </c>
      <c r="J866">
        <v>2.46</v>
      </c>
      <c r="K866">
        <v>3.05</v>
      </c>
      <c r="M866" s="3"/>
      <c r="N866" s="17"/>
      <c r="O866" s="17"/>
      <c r="P866" s="17"/>
      <c r="Q866" s="17"/>
      <c r="R866" s="17"/>
      <c r="S866" s="17"/>
      <c r="T866" s="17"/>
      <c r="U866" s="17"/>
      <c r="V866" s="17"/>
      <c r="AE866" s="2"/>
      <c r="AQ866" s="2"/>
      <c r="AR866" s="2"/>
      <c r="AS866" s="2"/>
      <c r="AT866" s="2"/>
      <c r="AU866" s="2"/>
      <c r="AV866" s="2"/>
      <c r="AW866" s="2"/>
      <c r="AX866" s="2"/>
      <c r="AY866" s="2"/>
    </row>
    <row r="867" spans="1:51" x14ac:dyDescent="0.25">
      <c r="A867" s="24">
        <v>44510</v>
      </c>
      <c r="B867" s="1">
        <v>44510</v>
      </c>
      <c r="C867">
        <v>0.66</v>
      </c>
      <c r="D867">
        <v>0.77</v>
      </c>
      <c r="E867">
        <v>0.88</v>
      </c>
      <c r="F867">
        <v>1.1599999999999999</v>
      </c>
      <c r="G867">
        <v>1.43</v>
      </c>
      <c r="H867">
        <v>1.56</v>
      </c>
      <c r="I867">
        <v>1.8</v>
      </c>
      <c r="J867">
        <v>2.41</v>
      </c>
      <c r="K867">
        <v>2.75</v>
      </c>
      <c r="M867" s="3"/>
      <c r="N867" s="17"/>
      <c r="O867" s="17"/>
      <c r="P867" s="17"/>
      <c r="Q867" s="17"/>
      <c r="R867" s="17"/>
      <c r="S867" s="17"/>
      <c r="T867" s="17"/>
      <c r="U867" s="17"/>
      <c r="V867" s="17"/>
      <c r="AE867" s="2"/>
      <c r="AQ867" s="2"/>
      <c r="AR867" s="2"/>
      <c r="AS867" s="2"/>
      <c r="AT867" s="2"/>
      <c r="AU867" s="2"/>
      <c r="AV867" s="2"/>
      <c r="AW867" s="2"/>
      <c r="AX867" s="2"/>
      <c r="AY867" s="2"/>
    </row>
    <row r="868" spans="1:51" x14ac:dyDescent="0.25">
      <c r="A868" s="24">
        <v>44509</v>
      </c>
      <c r="B868" s="1">
        <v>44509</v>
      </c>
      <c r="C868">
        <v>0.64</v>
      </c>
      <c r="D868">
        <v>0.75</v>
      </c>
      <c r="E868">
        <v>0.86</v>
      </c>
      <c r="F868">
        <v>1.17</v>
      </c>
      <c r="G868">
        <v>1.44</v>
      </c>
      <c r="H868">
        <v>1.57</v>
      </c>
      <c r="I868">
        <v>1.82</v>
      </c>
      <c r="J868">
        <v>2.44</v>
      </c>
      <c r="K868">
        <v>2.91</v>
      </c>
      <c r="M868" s="3"/>
      <c r="N868" s="17"/>
      <c r="O868" s="17"/>
      <c r="P868" s="17"/>
      <c r="Q868" s="17"/>
      <c r="R868" s="17"/>
      <c r="S868" s="17"/>
      <c r="T868" s="17"/>
      <c r="U868" s="17"/>
      <c r="V868" s="17"/>
      <c r="AE868" s="2"/>
      <c r="AQ868" s="2"/>
      <c r="AR868" s="2"/>
      <c r="AS868" s="2"/>
      <c r="AT868" s="2"/>
      <c r="AU868" s="2"/>
      <c r="AV868" s="2"/>
      <c r="AW868" s="2"/>
      <c r="AX868" s="2"/>
      <c r="AY868" s="2"/>
    </row>
    <row r="869" spans="1:51" x14ac:dyDescent="0.25">
      <c r="A869" s="24">
        <v>44508</v>
      </c>
      <c r="B869" s="1">
        <v>44508</v>
      </c>
      <c r="C869">
        <v>0.66</v>
      </c>
      <c r="D869">
        <v>0.75</v>
      </c>
      <c r="E869">
        <v>0.85</v>
      </c>
      <c r="F869">
        <v>1.1000000000000001</v>
      </c>
      <c r="G869">
        <v>1.4</v>
      </c>
      <c r="H869">
        <v>1.55</v>
      </c>
      <c r="I869">
        <v>1.84</v>
      </c>
      <c r="J869">
        <v>2.4300000000000002</v>
      </c>
      <c r="K869">
        <v>2.96</v>
      </c>
      <c r="M869" s="3"/>
      <c r="N869" s="17"/>
      <c r="O869" s="17"/>
      <c r="P869" s="17"/>
      <c r="Q869" s="17"/>
      <c r="R869" s="17"/>
      <c r="S869" s="17"/>
      <c r="T869" s="17"/>
      <c r="U869" s="17"/>
      <c r="V869" s="17"/>
      <c r="AE869" s="2"/>
      <c r="AQ869" s="2"/>
      <c r="AR869" s="2"/>
      <c r="AS869" s="2"/>
      <c r="AT869" s="2"/>
      <c r="AU869" s="2"/>
      <c r="AV869" s="2"/>
      <c r="AW869" s="2"/>
      <c r="AX869" s="2"/>
      <c r="AY869" s="2"/>
    </row>
    <row r="870" spans="1:51" x14ac:dyDescent="0.25">
      <c r="A870" s="24">
        <v>44505</v>
      </c>
      <c r="B870" s="1">
        <v>44505</v>
      </c>
      <c r="C870">
        <v>0.65</v>
      </c>
      <c r="D870">
        <v>0.77</v>
      </c>
      <c r="E870">
        <v>0.89</v>
      </c>
      <c r="F870">
        <v>1.17</v>
      </c>
      <c r="G870">
        <v>1.45</v>
      </c>
      <c r="H870">
        <v>1.59</v>
      </c>
      <c r="I870">
        <v>1.85</v>
      </c>
      <c r="J870">
        <v>2.4300000000000002</v>
      </c>
      <c r="K870">
        <v>2.99</v>
      </c>
      <c r="M870" s="3"/>
      <c r="N870" s="17"/>
      <c r="O870" s="17"/>
      <c r="P870" s="17"/>
      <c r="Q870" s="17"/>
      <c r="R870" s="17"/>
      <c r="S870" s="17"/>
      <c r="T870" s="17"/>
      <c r="U870" s="17"/>
      <c r="V870" s="17"/>
      <c r="AE870" s="2"/>
      <c r="AQ870" s="2"/>
      <c r="AR870" s="2"/>
      <c r="AS870" s="2"/>
      <c r="AT870" s="2"/>
      <c r="AU870" s="2"/>
      <c r="AV870" s="2"/>
      <c r="AW870" s="2"/>
      <c r="AX870" s="2"/>
      <c r="AY870" s="2"/>
    </row>
    <row r="871" spans="1:51" x14ac:dyDescent="0.25">
      <c r="A871" s="24">
        <v>44504</v>
      </c>
      <c r="B871" s="1">
        <v>44504</v>
      </c>
      <c r="C871">
        <v>0.66</v>
      </c>
      <c r="D871">
        <v>0.78</v>
      </c>
      <c r="E871">
        <v>0.88</v>
      </c>
      <c r="F871">
        <v>1.18</v>
      </c>
      <c r="G871">
        <v>1.45</v>
      </c>
      <c r="H871">
        <v>1.58</v>
      </c>
      <c r="I871">
        <v>1.8</v>
      </c>
      <c r="J871">
        <v>2.41</v>
      </c>
      <c r="K871">
        <v>2.7</v>
      </c>
      <c r="M871" s="3"/>
      <c r="N871" s="17"/>
      <c r="O871" s="17"/>
      <c r="P871" s="17"/>
      <c r="Q871" s="17"/>
      <c r="R871" s="17"/>
      <c r="S871" s="17"/>
      <c r="T871" s="17"/>
      <c r="U871" s="17"/>
      <c r="V871" s="17"/>
      <c r="AE871" s="2"/>
      <c r="AQ871" s="2"/>
      <c r="AR871" s="2"/>
      <c r="AS871" s="2"/>
      <c r="AT871" s="2"/>
      <c r="AU871" s="2"/>
      <c r="AV871" s="2"/>
      <c r="AW871" s="2"/>
      <c r="AX871" s="2"/>
      <c r="AY871" s="2"/>
    </row>
    <row r="872" spans="1:51" x14ac:dyDescent="0.25">
      <c r="A872" s="24">
        <v>44503</v>
      </c>
      <c r="B872" s="1">
        <v>44503</v>
      </c>
      <c r="C872">
        <v>0.64</v>
      </c>
      <c r="D872">
        <v>0.77</v>
      </c>
      <c r="E872">
        <v>0.87</v>
      </c>
      <c r="F872">
        <v>1.1599999999999999</v>
      </c>
      <c r="G872">
        <v>1.42</v>
      </c>
      <c r="H872">
        <v>1.56</v>
      </c>
      <c r="I872">
        <v>1.83</v>
      </c>
      <c r="J872">
        <v>2.4500000000000002</v>
      </c>
      <c r="K872">
        <v>2.79</v>
      </c>
      <c r="M872" s="3"/>
      <c r="N872" s="17"/>
      <c r="O872" s="17"/>
      <c r="P872" s="17"/>
      <c r="Q872" s="17"/>
      <c r="R872" s="17"/>
      <c r="S872" s="17"/>
      <c r="T872" s="17"/>
      <c r="U872" s="17"/>
      <c r="V872" s="17"/>
      <c r="AE872" s="2"/>
      <c r="AQ872" s="2"/>
      <c r="AR872" s="2"/>
      <c r="AS872" s="2"/>
      <c r="AT872" s="2"/>
      <c r="AU872" s="2"/>
      <c r="AV872" s="2"/>
      <c r="AW872" s="2"/>
      <c r="AX872" s="2"/>
      <c r="AY872" s="2"/>
    </row>
    <row r="873" spans="1:51" x14ac:dyDescent="0.25">
      <c r="A873" s="24">
        <v>44502</v>
      </c>
      <c r="B873" s="1">
        <v>44502</v>
      </c>
      <c r="C873">
        <v>0.66</v>
      </c>
      <c r="D873">
        <v>0.78</v>
      </c>
      <c r="E873">
        <v>0.89</v>
      </c>
      <c r="F873">
        <v>1.17</v>
      </c>
      <c r="G873">
        <v>1.44</v>
      </c>
      <c r="H873">
        <v>1.58</v>
      </c>
      <c r="I873">
        <v>1.8</v>
      </c>
      <c r="J873">
        <v>2.41</v>
      </c>
      <c r="K873">
        <v>2.91</v>
      </c>
      <c r="M873" s="3"/>
      <c r="N873" s="17"/>
      <c r="O873" s="17"/>
      <c r="P873" s="17"/>
      <c r="Q873" s="17"/>
      <c r="R873" s="17"/>
      <c r="S873" s="17"/>
      <c r="T873" s="17"/>
      <c r="U873" s="17"/>
      <c r="V873" s="17"/>
      <c r="AE873" s="2"/>
      <c r="AQ873" s="2"/>
      <c r="AR873" s="2"/>
      <c r="AS873" s="2"/>
      <c r="AT873" s="2"/>
      <c r="AU873" s="2"/>
      <c r="AV873" s="2"/>
      <c r="AW873" s="2"/>
      <c r="AX873" s="2"/>
      <c r="AY873" s="2"/>
    </row>
    <row r="874" spans="1:51" x14ac:dyDescent="0.25">
      <c r="A874" s="24">
        <v>44501</v>
      </c>
      <c r="B874" s="1">
        <v>44501</v>
      </c>
      <c r="C874">
        <v>0.67</v>
      </c>
      <c r="D874">
        <v>0.78</v>
      </c>
      <c r="E874">
        <v>0.9</v>
      </c>
      <c r="F874">
        <v>1.18</v>
      </c>
      <c r="G874">
        <v>1.44</v>
      </c>
      <c r="H874">
        <v>1.59</v>
      </c>
      <c r="I874">
        <v>1.8</v>
      </c>
      <c r="J874">
        <v>2.39</v>
      </c>
      <c r="K874">
        <v>2.79</v>
      </c>
      <c r="M874" s="3"/>
      <c r="N874" s="17"/>
      <c r="O874" s="17"/>
      <c r="P874" s="17"/>
      <c r="Q874" s="17"/>
      <c r="R874" s="17"/>
      <c r="S874" s="17"/>
      <c r="T874" s="17"/>
      <c r="U874" s="17"/>
      <c r="V874" s="17"/>
      <c r="AE874" s="2"/>
      <c r="AQ874" s="2"/>
      <c r="AR874" s="2"/>
      <c r="AS874" s="2"/>
      <c r="AT874" s="2"/>
      <c r="AU874" s="2"/>
      <c r="AV874" s="2"/>
      <c r="AW874" s="2"/>
      <c r="AX874" s="2"/>
      <c r="AY874" s="2"/>
    </row>
    <row r="875" spans="1:51" x14ac:dyDescent="0.25">
      <c r="A875" s="24">
        <v>44498</v>
      </c>
      <c r="B875" s="1">
        <v>44498</v>
      </c>
      <c r="C875">
        <v>0.65</v>
      </c>
      <c r="D875">
        <v>0.76</v>
      </c>
      <c r="E875">
        <v>0.88</v>
      </c>
      <c r="F875">
        <v>1.1399999999999999</v>
      </c>
      <c r="G875">
        <v>1.42</v>
      </c>
      <c r="H875">
        <v>1.56</v>
      </c>
      <c r="I875">
        <v>1.8</v>
      </c>
      <c r="J875">
        <v>2.4300000000000002</v>
      </c>
      <c r="K875">
        <v>2.79</v>
      </c>
      <c r="M875" s="3"/>
      <c r="N875" s="17"/>
      <c r="O875" s="17"/>
      <c r="P875" s="17"/>
      <c r="Q875" s="17"/>
      <c r="R875" s="17"/>
      <c r="S875" s="17"/>
      <c r="T875" s="17"/>
      <c r="U875" s="17"/>
      <c r="V875" s="17"/>
      <c r="AE875" s="2"/>
      <c r="AQ875" s="2"/>
      <c r="AR875" s="2"/>
      <c r="AS875" s="2"/>
      <c r="AT875" s="2"/>
      <c r="AU875" s="2"/>
      <c r="AV875" s="2"/>
      <c r="AW875" s="2"/>
      <c r="AX875" s="2"/>
      <c r="AY875" s="2"/>
    </row>
    <row r="876" spans="1:51" x14ac:dyDescent="0.25">
      <c r="A876" s="24">
        <v>44497</v>
      </c>
      <c r="B876" s="1">
        <v>44497</v>
      </c>
      <c r="C876">
        <v>0.66</v>
      </c>
      <c r="D876">
        <v>0.77</v>
      </c>
      <c r="E876">
        <v>0.88</v>
      </c>
      <c r="F876">
        <v>1.1499999999999999</v>
      </c>
      <c r="G876">
        <v>1.42</v>
      </c>
      <c r="H876">
        <v>1.57</v>
      </c>
      <c r="I876">
        <v>1.83</v>
      </c>
      <c r="J876">
        <v>2.4300000000000002</v>
      </c>
      <c r="K876">
        <v>2.75</v>
      </c>
      <c r="M876" s="3"/>
      <c r="N876" s="17"/>
      <c r="O876" s="17"/>
      <c r="P876" s="17"/>
      <c r="Q876" s="17"/>
      <c r="R876" s="17"/>
      <c r="S876" s="17"/>
      <c r="T876" s="17"/>
      <c r="U876" s="17"/>
      <c r="V876" s="17"/>
      <c r="AE876" s="2"/>
      <c r="AQ876" s="2"/>
      <c r="AR876" s="2"/>
      <c r="AS876" s="2"/>
      <c r="AT876" s="2"/>
      <c r="AU876" s="2"/>
      <c r="AV876" s="2"/>
      <c r="AW876" s="2"/>
      <c r="AX876" s="2"/>
      <c r="AY876" s="2"/>
    </row>
    <row r="877" spans="1:51" x14ac:dyDescent="0.25">
      <c r="A877" s="24">
        <v>44496</v>
      </c>
      <c r="B877" s="1">
        <v>44496</v>
      </c>
      <c r="C877">
        <v>0.68</v>
      </c>
      <c r="D877">
        <v>0.78</v>
      </c>
      <c r="E877">
        <v>0.89</v>
      </c>
      <c r="F877">
        <v>1.1599999999999999</v>
      </c>
      <c r="G877">
        <v>1.39</v>
      </c>
      <c r="H877">
        <v>1.53</v>
      </c>
      <c r="I877">
        <v>1.8</v>
      </c>
      <c r="J877">
        <v>2.39</v>
      </c>
      <c r="K877">
        <v>2.79</v>
      </c>
      <c r="M877" s="3"/>
      <c r="N877" s="17"/>
      <c r="O877" s="17"/>
      <c r="P877" s="17"/>
      <c r="Q877" s="17"/>
      <c r="R877" s="17"/>
      <c r="S877" s="17"/>
      <c r="T877" s="17"/>
      <c r="U877" s="17"/>
      <c r="V877" s="17"/>
      <c r="AE877" s="2"/>
      <c r="AQ877" s="2"/>
      <c r="AR877" s="2"/>
      <c r="AS877" s="2"/>
      <c r="AT877" s="2"/>
      <c r="AU877" s="2"/>
      <c r="AV877" s="2"/>
      <c r="AW877" s="2"/>
      <c r="AX877" s="2"/>
      <c r="AY877" s="2"/>
    </row>
    <row r="878" spans="1:51" x14ac:dyDescent="0.25">
      <c r="A878" s="24">
        <v>44495</v>
      </c>
      <c r="B878" s="1">
        <v>44495</v>
      </c>
      <c r="C878">
        <v>0.67</v>
      </c>
      <c r="D878">
        <v>0.77</v>
      </c>
      <c r="E878">
        <v>0.9</v>
      </c>
      <c r="F878">
        <v>1.17</v>
      </c>
      <c r="G878">
        <v>1.41</v>
      </c>
      <c r="H878">
        <v>1.54</v>
      </c>
      <c r="I878">
        <v>1.82</v>
      </c>
      <c r="J878">
        <v>2.39</v>
      </c>
      <c r="K878">
        <v>2.89</v>
      </c>
      <c r="M878" s="3"/>
      <c r="N878" s="17"/>
      <c r="O878" s="17"/>
      <c r="P878" s="17"/>
      <c r="Q878" s="17"/>
      <c r="R878" s="17"/>
      <c r="S878" s="17"/>
      <c r="T878" s="17"/>
      <c r="U878" s="17"/>
      <c r="V878" s="17"/>
      <c r="AE878" s="2"/>
      <c r="AQ878" s="2"/>
      <c r="AR878" s="2"/>
      <c r="AS878" s="2"/>
      <c r="AT878" s="2"/>
      <c r="AU878" s="2"/>
      <c r="AV878" s="2"/>
      <c r="AW878" s="2"/>
      <c r="AX878" s="2"/>
      <c r="AY878" s="2"/>
    </row>
    <row r="879" spans="1:51" x14ac:dyDescent="0.25">
      <c r="A879" s="24">
        <v>44494</v>
      </c>
      <c r="B879" s="1">
        <v>44494</v>
      </c>
      <c r="C879">
        <v>0.66</v>
      </c>
      <c r="D879">
        <v>0.77</v>
      </c>
      <c r="E879">
        <v>0.89</v>
      </c>
      <c r="F879">
        <v>1.18</v>
      </c>
      <c r="G879">
        <v>1.46</v>
      </c>
      <c r="H879">
        <v>1.58</v>
      </c>
      <c r="I879">
        <v>1.87</v>
      </c>
      <c r="J879">
        <v>2.46</v>
      </c>
      <c r="K879">
        <v>3.09</v>
      </c>
      <c r="M879" s="3"/>
      <c r="N879" s="17"/>
      <c r="O879" s="17"/>
      <c r="P879" s="17"/>
      <c r="Q879" s="17"/>
      <c r="R879" s="17"/>
      <c r="S879" s="17"/>
      <c r="T879" s="17"/>
      <c r="U879" s="17"/>
      <c r="V879" s="17"/>
      <c r="AE879" s="2"/>
      <c r="AQ879" s="2"/>
      <c r="AR879" s="2"/>
      <c r="AS879" s="2"/>
      <c r="AT879" s="2"/>
      <c r="AU879" s="2"/>
      <c r="AV879" s="2"/>
      <c r="AW879" s="2"/>
      <c r="AX879" s="2"/>
      <c r="AY879" s="2"/>
    </row>
    <row r="880" spans="1:51" x14ac:dyDescent="0.25">
      <c r="A880" s="24">
        <v>44491</v>
      </c>
      <c r="B880" s="1">
        <v>44491</v>
      </c>
      <c r="C880">
        <v>0.66</v>
      </c>
      <c r="D880">
        <v>0.78</v>
      </c>
      <c r="E880">
        <v>0.89</v>
      </c>
      <c r="F880">
        <v>1.1499999999999999</v>
      </c>
      <c r="G880">
        <v>1.4</v>
      </c>
      <c r="H880">
        <v>1.54</v>
      </c>
      <c r="I880">
        <v>1.8</v>
      </c>
      <c r="J880">
        <v>2.44</v>
      </c>
      <c r="K880">
        <v>2.91</v>
      </c>
      <c r="M880" s="3"/>
      <c r="N880" s="17"/>
      <c r="O880" s="17"/>
      <c r="P880" s="17"/>
      <c r="Q880" s="17"/>
      <c r="R880" s="17"/>
      <c r="S880" s="17"/>
      <c r="T880" s="17"/>
      <c r="U880" s="17"/>
      <c r="V880" s="17"/>
      <c r="AE880" s="2"/>
      <c r="AQ880" s="2"/>
      <c r="AR880" s="2"/>
      <c r="AS880" s="2"/>
      <c r="AT880" s="2"/>
      <c r="AU880" s="2"/>
      <c r="AV880" s="2"/>
      <c r="AW880" s="2"/>
      <c r="AX880" s="2"/>
      <c r="AY880" s="2"/>
    </row>
    <row r="881" spans="1:51" x14ac:dyDescent="0.25">
      <c r="A881" s="24">
        <v>44490</v>
      </c>
      <c r="B881" s="1">
        <v>44490</v>
      </c>
      <c r="C881">
        <v>0.68</v>
      </c>
      <c r="D881">
        <v>0.8</v>
      </c>
      <c r="E881">
        <v>0.91</v>
      </c>
      <c r="F881">
        <v>1.18</v>
      </c>
      <c r="G881">
        <v>1.45</v>
      </c>
      <c r="H881">
        <v>1.58</v>
      </c>
      <c r="I881">
        <v>1.82</v>
      </c>
      <c r="J881">
        <v>2.42</v>
      </c>
      <c r="K881">
        <v>2.86</v>
      </c>
      <c r="M881" s="3"/>
      <c r="N881" s="17"/>
      <c r="O881" s="17"/>
      <c r="P881" s="17"/>
      <c r="Q881" s="17"/>
      <c r="R881" s="17"/>
      <c r="S881" s="17"/>
      <c r="T881" s="17"/>
      <c r="U881" s="17"/>
      <c r="V881" s="17"/>
      <c r="AE881" s="2"/>
      <c r="AQ881" s="2"/>
      <c r="AR881" s="2"/>
      <c r="AS881" s="2"/>
      <c r="AT881" s="2"/>
      <c r="AU881" s="2"/>
      <c r="AV881" s="2"/>
      <c r="AW881" s="2"/>
      <c r="AX881" s="2"/>
      <c r="AY881" s="2"/>
    </row>
    <row r="882" spans="1:51" x14ac:dyDescent="0.25">
      <c r="A882" s="24">
        <v>44489</v>
      </c>
      <c r="B882" s="1">
        <v>44489</v>
      </c>
      <c r="C882">
        <v>0.67</v>
      </c>
      <c r="D882">
        <v>0.78</v>
      </c>
      <c r="E882">
        <v>0.89</v>
      </c>
      <c r="F882">
        <v>1.17</v>
      </c>
      <c r="G882">
        <v>1.46</v>
      </c>
      <c r="H882">
        <v>1.54</v>
      </c>
      <c r="I882">
        <v>1.83</v>
      </c>
      <c r="J882">
        <v>2.44</v>
      </c>
      <c r="K882">
        <v>2.88</v>
      </c>
      <c r="M882" s="3"/>
      <c r="N882" s="17"/>
      <c r="O882" s="17"/>
      <c r="P882" s="17"/>
      <c r="Q882" s="17"/>
      <c r="R882" s="17"/>
      <c r="S882" s="17"/>
      <c r="T882" s="17"/>
      <c r="U882" s="17"/>
      <c r="V882" s="17"/>
      <c r="AE882" s="2"/>
      <c r="AQ882" s="2"/>
      <c r="AR882" s="2"/>
      <c r="AS882" s="2"/>
      <c r="AT882" s="2"/>
      <c r="AU882" s="2"/>
      <c r="AV882" s="2"/>
      <c r="AW882" s="2"/>
      <c r="AX882" s="2"/>
      <c r="AY882" s="2"/>
    </row>
    <row r="883" spans="1:51" x14ac:dyDescent="0.25">
      <c r="A883" s="24">
        <v>44488</v>
      </c>
      <c r="B883" s="1">
        <v>44488</v>
      </c>
      <c r="C883">
        <v>0.68</v>
      </c>
      <c r="D883">
        <v>0.79</v>
      </c>
      <c r="E883">
        <v>0.9</v>
      </c>
      <c r="F883">
        <v>1.1599999999999999</v>
      </c>
      <c r="G883">
        <v>1.48</v>
      </c>
      <c r="H883">
        <v>1.58</v>
      </c>
      <c r="I883">
        <v>1.81</v>
      </c>
      <c r="J883">
        <v>2.4300000000000002</v>
      </c>
      <c r="K883">
        <v>2.8</v>
      </c>
      <c r="M883" s="3"/>
      <c r="N883" s="17"/>
      <c r="O883" s="17"/>
      <c r="P883" s="17"/>
      <c r="Q883" s="17"/>
      <c r="R883" s="17"/>
      <c r="S883" s="17"/>
      <c r="T883" s="17"/>
      <c r="U883" s="17"/>
      <c r="V883" s="17"/>
      <c r="AE883" s="2"/>
      <c r="AQ883" s="2"/>
      <c r="AR883" s="2"/>
      <c r="AS883" s="2"/>
      <c r="AT883" s="2"/>
      <c r="AU883" s="2"/>
      <c r="AV883" s="2"/>
      <c r="AW883" s="2"/>
      <c r="AX883" s="2"/>
      <c r="AY883" s="2"/>
    </row>
    <row r="884" spans="1:51" x14ac:dyDescent="0.25">
      <c r="A884" s="24">
        <v>44487</v>
      </c>
      <c r="B884" s="1">
        <v>44487</v>
      </c>
      <c r="C884">
        <v>0.69</v>
      </c>
      <c r="D884">
        <v>0.79</v>
      </c>
      <c r="E884">
        <v>0.9</v>
      </c>
      <c r="F884">
        <v>1.1599999999999999</v>
      </c>
      <c r="G884">
        <v>1.48</v>
      </c>
      <c r="H884">
        <v>1.55</v>
      </c>
      <c r="I884">
        <v>1.83</v>
      </c>
      <c r="J884">
        <v>2.4300000000000002</v>
      </c>
      <c r="K884">
        <v>3</v>
      </c>
      <c r="M884" s="3"/>
      <c r="N884" s="17"/>
      <c r="O884" s="17"/>
      <c r="P884" s="17"/>
      <c r="Q884" s="17"/>
      <c r="R884" s="17"/>
      <c r="S884" s="17"/>
      <c r="T884" s="17"/>
      <c r="U884" s="17"/>
      <c r="V884" s="17"/>
      <c r="AE884" s="2"/>
      <c r="AQ884" s="2"/>
      <c r="AR884" s="2"/>
      <c r="AS884" s="2"/>
      <c r="AT884" s="2"/>
      <c r="AU884" s="2"/>
      <c r="AV884" s="2"/>
      <c r="AW884" s="2"/>
      <c r="AX884" s="2"/>
      <c r="AY884" s="2"/>
    </row>
    <row r="885" spans="1:51" x14ac:dyDescent="0.25">
      <c r="A885" s="24">
        <v>44484</v>
      </c>
      <c r="B885" s="1">
        <v>44484</v>
      </c>
      <c r="C885">
        <v>0.69</v>
      </c>
      <c r="D885">
        <v>0.81</v>
      </c>
      <c r="E885">
        <v>0.91</v>
      </c>
      <c r="F885">
        <v>1.17</v>
      </c>
      <c r="G885">
        <v>1.47</v>
      </c>
      <c r="H885">
        <v>1.55</v>
      </c>
      <c r="I885">
        <v>1.83</v>
      </c>
      <c r="J885">
        <v>2.41</v>
      </c>
      <c r="K885">
        <v>2.8</v>
      </c>
      <c r="M885" s="3"/>
      <c r="N885" s="17"/>
      <c r="O885" s="17"/>
      <c r="P885" s="17"/>
      <c r="Q885" s="17"/>
      <c r="R885" s="17"/>
      <c r="S885" s="17"/>
      <c r="T885" s="17"/>
      <c r="U885" s="17"/>
      <c r="V885" s="17"/>
      <c r="AE885" s="2"/>
      <c r="AQ885" s="2"/>
      <c r="AR885" s="2"/>
      <c r="AS885" s="2"/>
      <c r="AT885" s="2"/>
      <c r="AU885" s="2"/>
      <c r="AV885" s="2"/>
      <c r="AW885" s="2"/>
      <c r="AX885" s="2"/>
      <c r="AY885" s="2"/>
    </row>
    <row r="886" spans="1:51" x14ac:dyDescent="0.25">
      <c r="A886" s="24">
        <v>44483</v>
      </c>
      <c r="B886" s="1">
        <v>44483</v>
      </c>
      <c r="C886">
        <v>0.69</v>
      </c>
      <c r="D886">
        <v>0.81</v>
      </c>
      <c r="E886">
        <v>0.91</v>
      </c>
      <c r="F886">
        <v>1.18</v>
      </c>
      <c r="G886">
        <v>1.47</v>
      </c>
      <c r="H886">
        <v>1.58</v>
      </c>
      <c r="I886">
        <v>1.83</v>
      </c>
      <c r="J886">
        <v>2.44</v>
      </c>
      <c r="K886">
        <v>2.95</v>
      </c>
      <c r="M886" s="3"/>
      <c r="N886" s="17"/>
      <c r="O886" s="17"/>
      <c r="P886" s="17"/>
      <c r="Q886" s="17"/>
      <c r="R886" s="17"/>
      <c r="S886" s="17"/>
      <c r="T886" s="17"/>
      <c r="U886" s="17"/>
      <c r="V886" s="17"/>
      <c r="AE886" s="2"/>
      <c r="AQ886" s="2"/>
      <c r="AR886" s="2"/>
      <c r="AS886" s="2"/>
      <c r="AT886" s="2"/>
      <c r="AU886" s="2"/>
      <c r="AV886" s="2"/>
      <c r="AW886" s="2"/>
      <c r="AX886" s="2"/>
      <c r="AY886" s="2"/>
    </row>
    <row r="887" spans="1:51" x14ac:dyDescent="0.25">
      <c r="A887" s="24">
        <v>44482</v>
      </c>
      <c r="B887" s="1">
        <v>44482</v>
      </c>
      <c r="C887">
        <v>0.7</v>
      </c>
      <c r="D887">
        <v>0.82</v>
      </c>
      <c r="E887">
        <v>0.9</v>
      </c>
      <c r="F887">
        <v>1.1399999999999999</v>
      </c>
      <c r="G887">
        <v>1.46</v>
      </c>
      <c r="H887">
        <v>1.6</v>
      </c>
      <c r="I887">
        <v>1.79</v>
      </c>
      <c r="J887">
        <v>2.39</v>
      </c>
      <c r="K887">
        <v>2.89</v>
      </c>
      <c r="M887" s="3"/>
      <c r="N887" s="17"/>
      <c r="O887" s="17"/>
      <c r="P887" s="17"/>
      <c r="Q887" s="17"/>
      <c r="R887" s="17"/>
      <c r="S887" s="17"/>
      <c r="T887" s="17"/>
      <c r="U887" s="17"/>
      <c r="V887" s="17"/>
      <c r="AE887" s="2"/>
      <c r="AQ887" s="2"/>
      <c r="AR887" s="2"/>
      <c r="AS887" s="2"/>
      <c r="AT887" s="2"/>
      <c r="AU887" s="2"/>
      <c r="AV887" s="2"/>
      <c r="AW887" s="2"/>
      <c r="AX887" s="2"/>
      <c r="AY887" s="2"/>
    </row>
    <row r="888" spans="1:51" x14ac:dyDescent="0.25">
      <c r="A888" s="24">
        <v>44481</v>
      </c>
      <c r="B888" s="1">
        <v>44481</v>
      </c>
      <c r="C888">
        <v>0.68</v>
      </c>
      <c r="D888">
        <v>0.8</v>
      </c>
      <c r="E888">
        <v>0.9</v>
      </c>
      <c r="F888">
        <v>1.17</v>
      </c>
      <c r="G888">
        <v>1.47</v>
      </c>
      <c r="H888">
        <v>1.58</v>
      </c>
      <c r="I888">
        <v>1.86</v>
      </c>
      <c r="J888">
        <v>2.4500000000000002</v>
      </c>
      <c r="K888">
        <v>3.04</v>
      </c>
      <c r="M888" s="3"/>
      <c r="N888" s="17"/>
      <c r="O888" s="17"/>
      <c r="P888" s="17"/>
      <c r="Q888" s="17"/>
      <c r="R888" s="17"/>
      <c r="S888" s="17"/>
      <c r="T888" s="17"/>
      <c r="U888" s="17"/>
      <c r="V888" s="17"/>
      <c r="AE888" s="2"/>
      <c r="AQ888" s="2"/>
      <c r="AR888" s="2"/>
      <c r="AS888" s="2"/>
      <c r="AT888" s="2"/>
      <c r="AU888" s="2"/>
      <c r="AV888" s="2"/>
      <c r="AW888" s="2"/>
      <c r="AX888" s="2"/>
      <c r="AY888" s="2"/>
    </row>
    <row r="889" spans="1:51" x14ac:dyDescent="0.25">
      <c r="A889" s="24">
        <v>44480</v>
      </c>
      <c r="B889" s="1">
        <v>44480</v>
      </c>
      <c r="C889">
        <v>0.69</v>
      </c>
      <c r="D889">
        <v>0.81</v>
      </c>
      <c r="E889">
        <v>0.91</v>
      </c>
      <c r="F889">
        <v>1.1599999999999999</v>
      </c>
      <c r="G889">
        <v>1.44</v>
      </c>
      <c r="H889">
        <v>1.57</v>
      </c>
      <c r="I889">
        <v>1.81</v>
      </c>
      <c r="J889">
        <v>2.41</v>
      </c>
      <c r="K889">
        <v>2.79</v>
      </c>
      <c r="M889" s="3"/>
      <c r="N889" s="17"/>
      <c r="O889" s="17"/>
      <c r="P889" s="17"/>
      <c r="Q889" s="17"/>
      <c r="R889" s="17"/>
      <c r="S889" s="17"/>
      <c r="T889" s="17"/>
      <c r="U889" s="17"/>
      <c r="V889" s="17"/>
      <c r="AE889" s="2"/>
      <c r="AQ889" s="2"/>
      <c r="AR889" s="2"/>
      <c r="AS889" s="2"/>
      <c r="AT889" s="2"/>
      <c r="AU889" s="2"/>
      <c r="AV889" s="2"/>
      <c r="AW889" s="2"/>
      <c r="AX889" s="2"/>
      <c r="AY889" s="2"/>
    </row>
    <row r="890" spans="1:51" x14ac:dyDescent="0.25">
      <c r="A890" s="24">
        <v>44477</v>
      </c>
      <c r="B890" s="1">
        <v>44477</v>
      </c>
      <c r="C890">
        <v>0.69</v>
      </c>
      <c r="D890">
        <v>0.8</v>
      </c>
      <c r="E890">
        <v>0.9</v>
      </c>
      <c r="F890">
        <v>1.18</v>
      </c>
      <c r="G890">
        <v>1.47</v>
      </c>
      <c r="H890">
        <v>1.59</v>
      </c>
      <c r="I890">
        <v>1.83</v>
      </c>
      <c r="J890">
        <v>2.44</v>
      </c>
      <c r="K890">
        <v>2.79</v>
      </c>
      <c r="M890" s="3"/>
      <c r="N890" s="17"/>
      <c r="O890" s="17"/>
      <c r="P890" s="17"/>
      <c r="Q890" s="17"/>
      <c r="R890" s="17"/>
      <c r="S890" s="17"/>
      <c r="T890" s="17"/>
      <c r="U890" s="17"/>
      <c r="V890" s="17"/>
      <c r="AE890" s="2"/>
      <c r="AQ890" s="2"/>
      <c r="AR890" s="2"/>
      <c r="AS890" s="2"/>
      <c r="AT890" s="2"/>
      <c r="AU890" s="2"/>
      <c r="AV890" s="2"/>
      <c r="AW890" s="2"/>
      <c r="AX890" s="2"/>
      <c r="AY890" s="2"/>
    </row>
    <row r="891" spans="1:51" x14ac:dyDescent="0.25">
      <c r="A891" s="24">
        <v>44476</v>
      </c>
      <c r="B891" s="1">
        <v>44476</v>
      </c>
      <c r="C891">
        <v>0.68</v>
      </c>
      <c r="D891">
        <v>0.8</v>
      </c>
      <c r="E891">
        <v>0.9</v>
      </c>
      <c r="F891">
        <v>1.18</v>
      </c>
      <c r="G891">
        <v>1.45</v>
      </c>
      <c r="H891">
        <v>1.58</v>
      </c>
      <c r="I891">
        <v>1.84</v>
      </c>
      <c r="J891">
        <v>2.4500000000000002</v>
      </c>
      <c r="K891">
        <v>2.84</v>
      </c>
      <c r="M891" s="3"/>
      <c r="N891" s="17"/>
      <c r="O891" s="17"/>
      <c r="P891" s="17"/>
      <c r="Q891" s="17"/>
      <c r="R891" s="17"/>
      <c r="S891" s="17"/>
      <c r="T891" s="17"/>
      <c r="U891" s="17"/>
      <c r="V891" s="17"/>
      <c r="AE891" s="2"/>
      <c r="AQ891" s="2"/>
      <c r="AR891" s="2"/>
      <c r="AS891" s="2"/>
      <c r="AT891" s="2"/>
      <c r="AU891" s="2"/>
      <c r="AV891" s="2"/>
      <c r="AW891" s="2"/>
      <c r="AX891" s="2"/>
      <c r="AY891" s="2"/>
    </row>
    <row r="892" spans="1:51" x14ac:dyDescent="0.25">
      <c r="A892" s="24">
        <v>44475</v>
      </c>
      <c r="B892" s="1">
        <v>44475</v>
      </c>
      <c r="C892">
        <v>0.69</v>
      </c>
      <c r="D892">
        <v>0.8</v>
      </c>
      <c r="E892">
        <v>0.9</v>
      </c>
      <c r="F892">
        <v>1.1599999999999999</v>
      </c>
      <c r="G892">
        <v>1.46</v>
      </c>
      <c r="H892">
        <v>1.56</v>
      </c>
      <c r="I892">
        <v>1.86</v>
      </c>
      <c r="J892">
        <v>2.48</v>
      </c>
      <c r="K892">
        <v>3</v>
      </c>
      <c r="M892" s="3"/>
      <c r="N892" s="17"/>
      <c r="O892" s="17"/>
      <c r="P892" s="17"/>
      <c r="Q892" s="17"/>
      <c r="R892" s="17"/>
      <c r="S892" s="17"/>
      <c r="T892" s="17"/>
      <c r="U892" s="17"/>
      <c r="V892" s="17"/>
      <c r="AE892" s="2"/>
      <c r="AQ892" s="2"/>
      <c r="AR892" s="2"/>
      <c r="AS892" s="2"/>
      <c r="AT892" s="2"/>
      <c r="AU892" s="2"/>
      <c r="AV892" s="2"/>
      <c r="AW892" s="2"/>
      <c r="AX892" s="2"/>
      <c r="AY892" s="2"/>
    </row>
    <row r="893" spans="1:51" x14ac:dyDescent="0.25">
      <c r="A893" s="24">
        <v>44474</v>
      </c>
      <c r="B893" s="1">
        <v>44474</v>
      </c>
      <c r="C893">
        <v>0.69</v>
      </c>
      <c r="D893">
        <v>0.8</v>
      </c>
      <c r="E893">
        <v>0.9</v>
      </c>
      <c r="F893">
        <v>1.1599999999999999</v>
      </c>
      <c r="G893">
        <v>1.47</v>
      </c>
      <c r="H893">
        <v>1.57</v>
      </c>
      <c r="I893">
        <v>1.83</v>
      </c>
      <c r="J893">
        <v>2.46</v>
      </c>
      <c r="K893">
        <v>2.97</v>
      </c>
      <c r="M893" s="3"/>
      <c r="N893" s="17"/>
      <c r="O893" s="17"/>
      <c r="P893" s="17"/>
      <c r="Q893" s="17"/>
      <c r="R893" s="17"/>
      <c r="S893" s="17"/>
      <c r="T893" s="17"/>
      <c r="U893" s="17"/>
      <c r="V893" s="17"/>
      <c r="AE893" s="2"/>
      <c r="AQ893" s="2"/>
      <c r="AR893" s="2"/>
      <c r="AS893" s="2"/>
      <c r="AT893" s="2"/>
      <c r="AU893" s="2"/>
      <c r="AV893" s="2"/>
      <c r="AW893" s="2"/>
      <c r="AX893" s="2"/>
      <c r="AY893" s="2"/>
    </row>
    <row r="894" spans="1:51" x14ac:dyDescent="0.25">
      <c r="A894" s="24">
        <v>44473</v>
      </c>
      <c r="B894" s="1">
        <v>44473</v>
      </c>
      <c r="C894">
        <v>0.7</v>
      </c>
      <c r="D894">
        <v>0.8</v>
      </c>
      <c r="E894">
        <v>0.9</v>
      </c>
      <c r="F894">
        <v>1.1499999999999999</v>
      </c>
      <c r="G894">
        <v>1.48</v>
      </c>
      <c r="H894">
        <v>1.58</v>
      </c>
      <c r="I894">
        <v>1.83</v>
      </c>
      <c r="J894">
        <v>2.44</v>
      </c>
      <c r="K894">
        <v>2.93</v>
      </c>
      <c r="M894" s="3"/>
      <c r="N894" s="17"/>
      <c r="O894" s="17"/>
      <c r="P894" s="17"/>
      <c r="Q894" s="17"/>
      <c r="R894" s="17"/>
      <c r="S894" s="17"/>
      <c r="T894" s="17"/>
      <c r="U894" s="17"/>
      <c r="V894" s="17"/>
      <c r="AE894" s="2"/>
      <c r="AQ894" s="2"/>
      <c r="AR894" s="2"/>
      <c r="AS894" s="2"/>
      <c r="AT894" s="2"/>
      <c r="AU894" s="2"/>
      <c r="AV894" s="2"/>
      <c r="AW894" s="2"/>
      <c r="AX894" s="2"/>
      <c r="AY894" s="2"/>
    </row>
    <row r="895" spans="1:51" x14ac:dyDescent="0.25">
      <c r="A895" s="24">
        <v>44470</v>
      </c>
      <c r="B895" s="1">
        <v>44470</v>
      </c>
      <c r="C895">
        <v>0.69</v>
      </c>
      <c r="D895">
        <v>0.81</v>
      </c>
      <c r="E895">
        <v>0.92</v>
      </c>
      <c r="F895">
        <v>1.1599999999999999</v>
      </c>
      <c r="G895">
        <v>1.44</v>
      </c>
      <c r="H895">
        <v>1.56</v>
      </c>
      <c r="I895">
        <v>1.81</v>
      </c>
      <c r="J895">
        <v>2.42</v>
      </c>
      <c r="K895">
        <v>2.82</v>
      </c>
      <c r="M895" s="3"/>
      <c r="N895" s="17"/>
      <c r="O895" s="17"/>
      <c r="P895" s="17"/>
      <c r="Q895" s="17"/>
      <c r="R895" s="17"/>
      <c r="S895" s="17"/>
      <c r="T895" s="17"/>
      <c r="U895" s="17"/>
      <c r="V895" s="17"/>
      <c r="AE895" s="2"/>
      <c r="AQ895" s="2"/>
      <c r="AR895" s="2"/>
      <c r="AS895" s="2"/>
      <c r="AT895" s="2"/>
      <c r="AU895" s="2"/>
      <c r="AV895" s="2"/>
      <c r="AW895" s="2"/>
      <c r="AX895" s="2"/>
      <c r="AY895" s="2"/>
    </row>
    <row r="896" spans="1:51" x14ac:dyDescent="0.25">
      <c r="A896" s="24">
        <v>44469</v>
      </c>
      <c r="B896" s="1">
        <v>44469</v>
      </c>
      <c r="C896">
        <v>0.7</v>
      </c>
      <c r="D896">
        <v>0.8</v>
      </c>
      <c r="E896">
        <v>0.9</v>
      </c>
      <c r="F896">
        <v>1.1399999999999999</v>
      </c>
      <c r="G896">
        <v>1.42</v>
      </c>
      <c r="H896">
        <v>1.54</v>
      </c>
      <c r="I896">
        <v>1.79</v>
      </c>
      <c r="J896">
        <v>2.4300000000000002</v>
      </c>
      <c r="K896">
        <v>2.82</v>
      </c>
      <c r="M896" s="3"/>
      <c r="N896" s="17"/>
      <c r="O896" s="17"/>
      <c r="P896" s="17"/>
      <c r="Q896" s="17"/>
      <c r="R896" s="17"/>
      <c r="S896" s="17"/>
      <c r="T896" s="17"/>
      <c r="U896" s="17"/>
      <c r="V896" s="17"/>
      <c r="AE896" s="2"/>
      <c r="AQ896" s="2"/>
      <c r="AR896" s="2"/>
      <c r="AS896" s="2"/>
      <c r="AT896" s="2"/>
      <c r="AU896" s="2"/>
      <c r="AV896" s="2"/>
      <c r="AW896" s="2"/>
      <c r="AX896" s="2"/>
      <c r="AY896" s="2"/>
    </row>
    <row r="897" spans="1:51" x14ac:dyDescent="0.25">
      <c r="A897" s="24">
        <v>44468</v>
      </c>
      <c r="B897" s="1">
        <v>44468</v>
      </c>
      <c r="C897">
        <v>0.7</v>
      </c>
      <c r="D897">
        <v>0.8</v>
      </c>
      <c r="E897">
        <v>0.93</v>
      </c>
      <c r="F897">
        <v>1.17</v>
      </c>
      <c r="G897">
        <v>1.47</v>
      </c>
      <c r="H897">
        <v>1.58</v>
      </c>
      <c r="I897">
        <v>1.83</v>
      </c>
      <c r="J897">
        <v>2.4300000000000002</v>
      </c>
      <c r="K897">
        <v>2.93</v>
      </c>
      <c r="M897" s="3"/>
      <c r="N897" s="17"/>
      <c r="O897" s="17"/>
      <c r="P897" s="17"/>
      <c r="Q897" s="17"/>
      <c r="R897" s="17"/>
      <c r="S897" s="17"/>
      <c r="T897" s="17"/>
      <c r="U897" s="17"/>
      <c r="V897" s="17"/>
      <c r="AE897" s="2"/>
      <c r="AQ897" s="2"/>
      <c r="AR897" s="2"/>
      <c r="AS897" s="2"/>
      <c r="AT897" s="2"/>
      <c r="AU897" s="2"/>
      <c r="AV897" s="2"/>
      <c r="AW897" s="2"/>
      <c r="AX897" s="2"/>
      <c r="AY897" s="2"/>
    </row>
    <row r="898" spans="1:51" x14ac:dyDescent="0.25">
      <c r="A898" s="24">
        <v>44467</v>
      </c>
      <c r="B898" s="1">
        <v>44467</v>
      </c>
      <c r="C898">
        <v>0.7</v>
      </c>
      <c r="D898">
        <v>0.83</v>
      </c>
      <c r="E898">
        <v>0.94</v>
      </c>
      <c r="F898">
        <v>1.17</v>
      </c>
      <c r="G898">
        <v>1.48</v>
      </c>
      <c r="H898">
        <v>1.6</v>
      </c>
      <c r="I898">
        <v>1.83</v>
      </c>
      <c r="J898">
        <v>2.42</v>
      </c>
      <c r="K898">
        <v>2.9</v>
      </c>
      <c r="M898" s="3"/>
      <c r="N898" s="17"/>
      <c r="O898" s="17"/>
      <c r="P898" s="17"/>
      <c r="Q898" s="17"/>
      <c r="R898" s="17"/>
      <c r="S898" s="17"/>
      <c r="T898" s="17"/>
      <c r="U898" s="17"/>
      <c r="V898" s="17"/>
      <c r="AE898" s="2"/>
      <c r="AQ898" s="2"/>
      <c r="AR898" s="2"/>
      <c r="AS898" s="2"/>
      <c r="AT898" s="2"/>
      <c r="AU898" s="2"/>
      <c r="AV898" s="2"/>
      <c r="AW898" s="2"/>
      <c r="AX898" s="2"/>
      <c r="AY898" s="2"/>
    </row>
    <row r="899" spans="1:51" x14ac:dyDescent="0.25">
      <c r="A899" s="24">
        <v>44466</v>
      </c>
      <c r="B899" s="1">
        <v>44466</v>
      </c>
      <c r="C899">
        <v>0.69</v>
      </c>
      <c r="D899">
        <v>0.81</v>
      </c>
      <c r="E899">
        <v>0.92</v>
      </c>
      <c r="F899">
        <v>1.1599999999999999</v>
      </c>
      <c r="G899">
        <v>1.46</v>
      </c>
      <c r="H899">
        <v>1.57</v>
      </c>
      <c r="I899">
        <v>1.78</v>
      </c>
      <c r="J899">
        <v>2.38</v>
      </c>
      <c r="K899">
        <v>2.7</v>
      </c>
      <c r="M899" s="3"/>
      <c r="N899" s="17"/>
      <c r="O899" s="17"/>
      <c r="P899" s="17"/>
      <c r="Q899" s="17"/>
      <c r="R899" s="17"/>
      <c r="S899" s="17"/>
      <c r="T899" s="17"/>
      <c r="U899" s="17"/>
      <c r="V899" s="17"/>
      <c r="AE899" s="2"/>
      <c r="AQ899" s="2"/>
      <c r="AR899" s="2"/>
      <c r="AS899" s="2"/>
      <c r="AT899" s="2"/>
      <c r="AU899" s="2"/>
      <c r="AV899" s="2"/>
      <c r="AW899" s="2"/>
      <c r="AX899" s="2"/>
      <c r="AY899" s="2"/>
    </row>
    <row r="900" spans="1:51" x14ac:dyDescent="0.25">
      <c r="A900" s="24">
        <v>44463</v>
      </c>
      <c r="B900" s="1">
        <v>44463</v>
      </c>
      <c r="C900">
        <v>0.7</v>
      </c>
      <c r="D900">
        <v>0.83</v>
      </c>
      <c r="E900">
        <v>0.93</v>
      </c>
      <c r="F900">
        <v>1.1599999999999999</v>
      </c>
      <c r="G900">
        <v>1.43</v>
      </c>
      <c r="H900">
        <v>1.56</v>
      </c>
      <c r="I900">
        <v>1.78</v>
      </c>
      <c r="J900">
        <v>2.4</v>
      </c>
      <c r="K900">
        <v>2.88</v>
      </c>
      <c r="M900" s="3"/>
      <c r="N900" s="17"/>
      <c r="O900" s="17"/>
      <c r="P900" s="17"/>
      <c r="Q900" s="17"/>
      <c r="R900" s="17"/>
      <c r="S900" s="17"/>
      <c r="T900" s="17"/>
      <c r="U900" s="17"/>
      <c r="V900" s="17"/>
      <c r="AE900" s="2"/>
      <c r="AQ900" s="2"/>
      <c r="AR900" s="2"/>
      <c r="AS900" s="2"/>
      <c r="AT900" s="2"/>
      <c r="AU900" s="2"/>
      <c r="AV900" s="2"/>
      <c r="AW900" s="2"/>
      <c r="AX900" s="2"/>
      <c r="AY900" s="2"/>
    </row>
    <row r="901" spans="1:51" x14ac:dyDescent="0.25">
      <c r="A901" s="24">
        <v>44462</v>
      </c>
      <c r="B901" s="1">
        <v>44462</v>
      </c>
      <c r="C901">
        <v>0.7</v>
      </c>
      <c r="D901">
        <v>0.81</v>
      </c>
      <c r="E901">
        <v>0.94</v>
      </c>
      <c r="F901">
        <v>1.1599999999999999</v>
      </c>
      <c r="G901">
        <v>1.48</v>
      </c>
      <c r="H901">
        <v>1.59</v>
      </c>
      <c r="I901">
        <v>1.8</v>
      </c>
      <c r="J901">
        <v>2.44</v>
      </c>
      <c r="K901">
        <v>2.95</v>
      </c>
      <c r="M901" s="3"/>
      <c r="N901" s="17"/>
      <c r="O901" s="17"/>
      <c r="P901" s="17"/>
      <c r="Q901" s="17"/>
      <c r="R901" s="17"/>
      <c r="S901" s="17"/>
      <c r="T901" s="17"/>
      <c r="U901" s="17"/>
      <c r="V901" s="17"/>
      <c r="AE901" s="2"/>
      <c r="AQ901" s="2"/>
      <c r="AR901" s="2"/>
      <c r="AS901" s="2"/>
      <c r="AT901" s="2"/>
      <c r="AU901" s="2"/>
      <c r="AV901" s="2"/>
      <c r="AW901" s="2"/>
      <c r="AX901" s="2"/>
      <c r="AY901" s="2"/>
    </row>
    <row r="902" spans="1:51" x14ac:dyDescent="0.25">
      <c r="A902" s="24">
        <v>44461</v>
      </c>
      <c r="B902" s="1">
        <v>44461</v>
      </c>
      <c r="C902">
        <v>0.7</v>
      </c>
      <c r="D902">
        <v>0.82</v>
      </c>
      <c r="E902">
        <v>0.93</v>
      </c>
      <c r="F902">
        <v>1.1599999999999999</v>
      </c>
      <c r="G902">
        <v>1.47</v>
      </c>
      <c r="H902">
        <v>1.58</v>
      </c>
      <c r="I902">
        <v>1.86</v>
      </c>
      <c r="J902">
        <v>2.46</v>
      </c>
      <c r="K902">
        <v>3.08</v>
      </c>
      <c r="M902" s="3"/>
      <c r="N902" s="17"/>
      <c r="O902" s="17"/>
      <c r="P902" s="17"/>
      <c r="Q902" s="17"/>
      <c r="R902" s="17"/>
      <c r="S902" s="17"/>
      <c r="T902" s="17"/>
      <c r="U902" s="17"/>
      <c r="V902" s="17"/>
      <c r="AE902" s="2"/>
      <c r="AQ902" s="2"/>
      <c r="AR902" s="2"/>
      <c r="AS902" s="2"/>
      <c r="AT902" s="2"/>
      <c r="AU902" s="2"/>
      <c r="AV902" s="2"/>
      <c r="AW902" s="2"/>
      <c r="AX902" s="2"/>
      <c r="AY902" s="2"/>
    </row>
    <row r="903" spans="1:51" x14ac:dyDescent="0.25">
      <c r="A903" s="24">
        <v>44460</v>
      </c>
      <c r="B903" s="1">
        <v>44460</v>
      </c>
      <c r="C903">
        <v>0.7</v>
      </c>
      <c r="D903">
        <v>0.82</v>
      </c>
      <c r="E903">
        <v>0.93</v>
      </c>
      <c r="F903">
        <v>1.1599999999999999</v>
      </c>
      <c r="G903">
        <v>1.47</v>
      </c>
      <c r="H903">
        <v>1.58</v>
      </c>
      <c r="I903">
        <v>1.83</v>
      </c>
      <c r="J903">
        <v>2.44</v>
      </c>
      <c r="K903">
        <v>2.9</v>
      </c>
      <c r="M903" s="3"/>
      <c r="N903" s="17"/>
      <c r="O903" s="17"/>
      <c r="P903" s="17"/>
      <c r="Q903" s="17"/>
      <c r="R903" s="17"/>
      <c r="S903" s="17"/>
      <c r="T903" s="17"/>
      <c r="U903" s="17"/>
      <c r="V903" s="17"/>
      <c r="AE903" s="2"/>
      <c r="AQ903" s="2"/>
      <c r="AR903" s="2"/>
      <c r="AS903" s="2"/>
      <c r="AT903" s="2"/>
      <c r="AU903" s="2"/>
      <c r="AV903" s="2"/>
      <c r="AW903" s="2"/>
      <c r="AX903" s="2"/>
      <c r="AY903" s="2"/>
    </row>
    <row r="904" spans="1:51" x14ac:dyDescent="0.25">
      <c r="A904" s="24">
        <v>44459</v>
      </c>
      <c r="B904" s="1">
        <v>44459</v>
      </c>
      <c r="C904">
        <v>0.7</v>
      </c>
      <c r="D904">
        <v>0.8</v>
      </c>
      <c r="E904">
        <v>0.91</v>
      </c>
      <c r="F904">
        <v>1.1499999999999999</v>
      </c>
      <c r="G904">
        <v>1.42</v>
      </c>
      <c r="H904">
        <v>1.54</v>
      </c>
      <c r="I904">
        <v>1.77</v>
      </c>
      <c r="J904">
        <v>2.4</v>
      </c>
      <c r="K904">
        <v>2.8</v>
      </c>
      <c r="M904" s="3"/>
      <c r="N904" s="17"/>
      <c r="O904" s="17"/>
      <c r="P904" s="17"/>
      <c r="Q904" s="17"/>
      <c r="R904" s="17"/>
      <c r="S904" s="17"/>
      <c r="T904" s="17"/>
      <c r="U904" s="17"/>
      <c r="V904" s="17"/>
      <c r="AE904" s="2"/>
      <c r="AQ904" s="2"/>
      <c r="AR904" s="2"/>
      <c r="AS904" s="2"/>
      <c r="AT904" s="2"/>
      <c r="AU904" s="2"/>
      <c r="AV904" s="2"/>
      <c r="AW904" s="2"/>
      <c r="AX904" s="2"/>
      <c r="AY904" s="2"/>
    </row>
    <row r="905" spans="1:51" x14ac:dyDescent="0.25">
      <c r="A905" s="24">
        <v>44456</v>
      </c>
      <c r="B905" s="1">
        <v>44456</v>
      </c>
      <c r="C905">
        <v>0.7</v>
      </c>
      <c r="D905">
        <v>0.8</v>
      </c>
      <c r="E905">
        <v>0.9</v>
      </c>
      <c r="F905">
        <v>1.1599999999999999</v>
      </c>
      <c r="G905">
        <v>1.48</v>
      </c>
      <c r="H905">
        <v>1.58</v>
      </c>
      <c r="I905">
        <v>1.84</v>
      </c>
      <c r="J905">
        <v>2.44</v>
      </c>
      <c r="K905">
        <v>2.88</v>
      </c>
      <c r="M905" s="3"/>
      <c r="N905" s="17"/>
      <c r="O905" s="17"/>
      <c r="P905" s="17"/>
      <c r="Q905" s="17"/>
      <c r="R905" s="17"/>
      <c r="S905" s="17"/>
      <c r="T905" s="17"/>
      <c r="U905" s="17"/>
      <c r="V905" s="17"/>
      <c r="AE905" s="2"/>
      <c r="AQ905" s="2"/>
      <c r="AR905" s="2"/>
      <c r="AS905" s="2"/>
      <c r="AT905" s="2"/>
      <c r="AU905" s="2"/>
      <c r="AV905" s="2"/>
      <c r="AW905" s="2"/>
      <c r="AX905" s="2"/>
      <c r="AY905" s="2"/>
    </row>
    <row r="906" spans="1:51" x14ac:dyDescent="0.25">
      <c r="A906" s="24">
        <v>44455</v>
      </c>
      <c r="B906" s="1">
        <v>44455</v>
      </c>
      <c r="C906">
        <v>0.7</v>
      </c>
      <c r="D906">
        <v>0.8</v>
      </c>
      <c r="E906">
        <v>0.92</v>
      </c>
      <c r="F906">
        <v>1.1599999999999999</v>
      </c>
      <c r="G906">
        <v>1.48</v>
      </c>
      <c r="H906">
        <v>1.58</v>
      </c>
      <c r="I906">
        <v>1.83</v>
      </c>
      <c r="J906">
        <v>2.5</v>
      </c>
      <c r="K906">
        <v>3.08</v>
      </c>
      <c r="M906" s="3"/>
      <c r="N906" s="17"/>
      <c r="O906" s="17"/>
      <c r="P906" s="17"/>
      <c r="Q906" s="17"/>
      <c r="R906" s="17"/>
      <c r="S906" s="17"/>
      <c r="T906" s="17"/>
      <c r="U906" s="17"/>
      <c r="V906" s="17"/>
      <c r="AE906" s="2"/>
      <c r="AQ906" s="2"/>
      <c r="AR906" s="2"/>
      <c r="AS906" s="2"/>
      <c r="AT906" s="2"/>
      <c r="AU906" s="2"/>
      <c r="AV906" s="2"/>
      <c r="AW906" s="2"/>
      <c r="AX906" s="2"/>
      <c r="AY906" s="2"/>
    </row>
    <row r="907" spans="1:51" x14ac:dyDescent="0.25">
      <c r="A907" s="24">
        <v>44454</v>
      </c>
      <c r="B907" s="1">
        <v>44454</v>
      </c>
      <c r="C907">
        <v>0.69</v>
      </c>
      <c r="D907">
        <v>0.8</v>
      </c>
      <c r="E907">
        <v>0.91</v>
      </c>
      <c r="F907">
        <v>1.17</v>
      </c>
      <c r="G907">
        <v>1.45</v>
      </c>
      <c r="H907">
        <v>1.56</v>
      </c>
      <c r="I907">
        <v>1.81</v>
      </c>
      <c r="J907">
        <v>2.4700000000000002</v>
      </c>
      <c r="K907">
        <v>2.82</v>
      </c>
      <c r="M907" s="3"/>
      <c r="N907" s="17"/>
      <c r="O907" s="17"/>
      <c r="P907" s="17"/>
      <c r="Q907" s="17"/>
      <c r="R907" s="17"/>
      <c r="S907" s="17"/>
      <c r="T907" s="17"/>
      <c r="U907" s="17"/>
      <c r="V907" s="17"/>
      <c r="AE907" s="2"/>
      <c r="AQ907" s="2"/>
      <c r="AR907" s="2"/>
      <c r="AS907" s="2"/>
      <c r="AT907" s="2"/>
      <c r="AU907" s="2"/>
      <c r="AV907" s="2"/>
      <c r="AW907" s="2"/>
      <c r="AX907" s="2"/>
      <c r="AY907" s="2"/>
    </row>
    <row r="908" spans="1:51" x14ac:dyDescent="0.25">
      <c r="A908" s="24">
        <v>44453</v>
      </c>
      <c r="B908" s="1">
        <v>44453</v>
      </c>
      <c r="C908">
        <v>0.7</v>
      </c>
      <c r="D908">
        <v>0.8</v>
      </c>
      <c r="E908">
        <v>0.93</v>
      </c>
      <c r="F908">
        <v>1.1599999999999999</v>
      </c>
      <c r="G908">
        <v>1.47</v>
      </c>
      <c r="H908">
        <v>1.57</v>
      </c>
      <c r="I908">
        <v>1.82</v>
      </c>
      <c r="J908">
        <v>2.48</v>
      </c>
      <c r="K908">
        <v>3.12</v>
      </c>
      <c r="M908" s="3"/>
      <c r="N908" s="17"/>
      <c r="O908" s="17"/>
      <c r="P908" s="17"/>
      <c r="Q908" s="17"/>
      <c r="R908" s="17"/>
      <c r="S908" s="17"/>
      <c r="T908" s="17"/>
      <c r="U908" s="17"/>
      <c r="V908" s="17"/>
      <c r="AE908" s="2"/>
      <c r="AQ908" s="2"/>
      <c r="AR908" s="2"/>
      <c r="AS908" s="2"/>
      <c r="AT908" s="2"/>
      <c r="AU908" s="2"/>
      <c r="AV908" s="2"/>
      <c r="AW908" s="2"/>
      <c r="AX908" s="2"/>
      <c r="AY908" s="2"/>
    </row>
    <row r="909" spans="1:51" x14ac:dyDescent="0.25">
      <c r="A909" s="24">
        <v>44452</v>
      </c>
      <c r="B909" s="1">
        <v>44452</v>
      </c>
      <c r="C909">
        <v>0.69</v>
      </c>
      <c r="D909">
        <v>0.8</v>
      </c>
      <c r="E909">
        <v>0.93</v>
      </c>
      <c r="F909">
        <v>1.1599999999999999</v>
      </c>
      <c r="G909">
        <v>1.48</v>
      </c>
      <c r="H909">
        <v>1.58</v>
      </c>
      <c r="I909">
        <v>1.78</v>
      </c>
      <c r="J909">
        <v>2.44</v>
      </c>
      <c r="K909">
        <v>2.88</v>
      </c>
      <c r="M909" s="3"/>
      <c r="N909" s="17"/>
      <c r="O909" s="17"/>
      <c r="P909" s="17"/>
      <c r="Q909" s="17"/>
      <c r="R909" s="17"/>
      <c r="S909" s="17"/>
      <c r="T909" s="17"/>
      <c r="U909" s="17"/>
      <c r="V909" s="17"/>
      <c r="AE909" s="2"/>
      <c r="AQ909" s="2"/>
      <c r="AR909" s="2"/>
      <c r="AS909" s="2"/>
      <c r="AT909" s="2"/>
      <c r="AU909" s="2"/>
      <c r="AV909" s="2"/>
      <c r="AW909" s="2"/>
      <c r="AX909" s="2"/>
      <c r="AY909" s="2"/>
    </row>
    <row r="910" spans="1:51" x14ac:dyDescent="0.25">
      <c r="A910" s="24">
        <v>44449</v>
      </c>
      <c r="B910" s="1">
        <v>44449</v>
      </c>
      <c r="C910">
        <v>0.7</v>
      </c>
      <c r="D910">
        <v>0.81</v>
      </c>
      <c r="E910">
        <v>0.92</v>
      </c>
      <c r="F910">
        <v>1.1499999999999999</v>
      </c>
      <c r="G910">
        <v>1.44</v>
      </c>
      <c r="H910">
        <v>1.56</v>
      </c>
      <c r="I910">
        <v>1.8</v>
      </c>
      <c r="J910">
        <v>2.4300000000000002</v>
      </c>
      <c r="K910">
        <v>2.94</v>
      </c>
      <c r="M910" s="3"/>
      <c r="N910" s="17"/>
      <c r="O910" s="17"/>
      <c r="P910" s="17"/>
      <c r="Q910" s="17"/>
      <c r="R910" s="17"/>
      <c r="S910" s="17"/>
      <c r="T910" s="17"/>
      <c r="U910" s="17"/>
      <c r="V910" s="17"/>
      <c r="AE910" s="2"/>
      <c r="AQ910" s="2"/>
      <c r="AR910" s="2"/>
      <c r="AS910" s="2"/>
      <c r="AT910" s="2"/>
      <c r="AU910" s="2"/>
      <c r="AV910" s="2"/>
      <c r="AW910" s="2"/>
      <c r="AX910" s="2"/>
      <c r="AY910" s="2"/>
    </row>
    <row r="911" spans="1:51" x14ac:dyDescent="0.25">
      <c r="A911" s="24">
        <v>44448</v>
      </c>
      <c r="B911" s="1">
        <v>44448</v>
      </c>
      <c r="C911">
        <v>0.7</v>
      </c>
      <c r="D911">
        <v>0.83</v>
      </c>
      <c r="E911">
        <v>0.94</v>
      </c>
      <c r="F911">
        <v>1.1599999999999999</v>
      </c>
      <c r="G911">
        <v>1.45</v>
      </c>
      <c r="H911">
        <v>1.57</v>
      </c>
      <c r="I911">
        <v>1.78</v>
      </c>
      <c r="J911">
        <v>2.42</v>
      </c>
      <c r="K911">
        <v>3.03</v>
      </c>
      <c r="M911" s="3"/>
      <c r="N911" s="17"/>
      <c r="O911" s="17"/>
      <c r="P911" s="17"/>
      <c r="Q911" s="17"/>
      <c r="R911" s="17"/>
      <c r="S911" s="17"/>
      <c r="T911" s="17"/>
      <c r="U911" s="17"/>
      <c r="V911" s="17"/>
      <c r="AE911" s="2"/>
      <c r="AQ911" s="2"/>
      <c r="AR911" s="2"/>
      <c r="AS911" s="2"/>
      <c r="AT911" s="2"/>
      <c r="AU911" s="2"/>
      <c r="AV911" s="2"/>
      <c r="AW911" s="2"/>
      <c r="AX911" s="2"/>
      <c r="AY911" s="2"/>
    </row>
    <row r="912" spans="1:51" x14ac:dyDescent="0.25">
      <c r="A912" s="24">
        <v>44447</v>
      </c>
      <c r="B912" s="1">
        <v>44447</v>
      </c>
      <c r="C912">
        <v>0.7</v>
      </c>
      <c r="D912">
        <v>0.83</v>
      </c>
      <c r="E912">
        <v>0.93</v>
      </c>
      <c r="F912">
        <v>1.1499999999999999</v>
      </c>
      <c r="G912">
        <v>1.46</v>
      </c>
      <c r="H912">
        <v>1.56</v>
      </c>
      <c r="I912">
        <v>1.75</v>
      </c>
      <c r="J912">
        <v>2.46</v>
      </c>
      <c r="K912">
        <v>3.03</v>
      </c>
      <c r="M912" s="3"/>
      <c r="N912" s="17"/>
      <c r="O912" s="17"/>
      <c r="P912" s="17"/>
      <c r="Q912" s="17"/>
      <c r="R912" s="17"/>
      <c r="S912" s="17"/>
      <c r="T912" s="17"/>
      <c r="U912" s="17"/>
      <c r="V912" s="17"/>
      <c r="AE912" s="2"/>
      <c r="AQ912" s="2"/>
      <c r="AR912" s="2"/>
      <c r="AS912" s="2"/>
      <c r="AT912" s="2"/>
      <c r="AU912" s="2"/>
      <c r="AV912" s="2"/>
      <c r="AW912" s="2"/>
      <c r="AX912" s="2"/>
      <c r="AY912" s="2"/>
    </row>
    <row r="913" spans="1:51" x14ac:dyDescent="0.25">
      <c r="A913" s="24">
        <v>44446</v>
      </c>
      <c r="B913" s="1">
        <v>44446</v>
      </c>
      <c r="C913">
        <v>0.7</v>
      </c>
      <c r="D913">
        <v>0.84</v>
      </c>
      <c r="E913">
        <v>0.97</v>
      </c>
      <c r="F913">
        <v>1.2</v>
      </c>
      <c r="G913">
        <v>1.45</v>
      </c>
      <c r="H913">
        <v>1.56</v>
      </c>
      <c r="I913">
        <v>1.79</v>
      </c>
      <c r="J913">
        <v>2.42</v>
      </c>
      <c r="K913">
        <v>2.88</v>
      </c>
      <c r="M913" s="3"/>
      <c r="N913" s="17"/>
      <c r="O913" s="17"/>
      <c r="P913" s="17"/>
      <c r="Q913" s="17"/>
      <c r="R913" s="17"/>
      <c r="S913" s="17"/>
      <c r="T913" s="17"/>
      <c r="U913" s="17"/>
      <c r="V913" s="17"/>
      <c r="AE913" s="2"/>
      <c r="AQ913" s="2"/>
      <c r="AR913" s="2"/>
      <c r="AS913" s="2"/>
      <c r="AT913" s="2"/>
      <c r="AU913" s="2"/>
      <c r="AV913" s="2"/>
      <c r="AW913" s="2"/>
      <c r="AX913" s="2"/>
      <c r="AY913" s="2"/>
    </row>
    <row r="914" spans="1:51" x14ac:dyDescent="0.25">
      <c r="A914" s="24">
        <v>44445</v>
      </c>
      <c r="B914" s="1">
        <v>44445</v>
      </c>
      <c r="C914">
        <v>0.7</v>
      </c>
      <c r="D914">
        <v>0.82</v>
      </c>
      <c r="E914">
        <v>0.94</v>
      </c>
      <c r="F914">
        <v>1.1599999999999999</v>
      </c>
      <c r="G914">
        <v>1.44</v>
      </c>
      <c r="H914">
        <v>1.55</v>
      </c>
      <c r="I914">
        <v>1.74</v>
      </c>
      <c r="J914">
        <v>2.4500000000000002</v>
      </c>
      <c r="K914">
        <v>2.94</v>
      </c>
      <c r="M914" s="3"/>
      <c r="N914" s="17"/>
      <c r="O914" s="17"/>
      <c r="P914" s="17"/>
      <c r="Q914" s="17"/>
      <c r="R914" s="17"/>
      <c r="S914" s="17"/>
      <c r="T914" s="17"/>
      <c r="U914" s="17"/>
      <c r="V914" s="17"/>
      <c r="AE914" s="2"/>
      <c r="AQ914" s="2"/>
      <c r="AR914" s="2"/>
      <c r="AS914" s="2"/>
      <c r="AT914" s="2"/>
      <c r="AU914" s="2"/>
      <c r="AV914" s="2"/>
      <c r="AW914" s="2"/>
      <c r="AX914" s="2"/>
      <c r="AY914" s="2"/>
    </row>
    <row r="915" spans="1:51" x14ac:dyDescent="0.25">
      <c r="A915" s="24">
        <v>44440</v>
      </c>
      <c r="B915" s="1">
        <v>44440</v>
      </c>
      <c r="C915">
        <v>0.71</v>
      </c>
      <c r="D915">
        <v>0.85</v>
      </c>
      <c r="E915">
        <v>0.98</v>
      </c>
      <c r="F915">
        <v>1.2</v>
      </c>
      <c r="G915">
        <v>1.45</v>
      </c>
      <c r="H915">
        <v>1.58</v>
      </c>
      <c r="I915">
        <v>1.78</v>
      </c>
      <c r="J915">
        <v>2.4300000000000002</v>
      </c>
      <c r="K915">
        <v>2.92</v>
      </c>
      <c r="M915" s="3"/>
      <c r="N915" s="17"/>
      <c r="O915" s="17"/>
      <c r="P915" s="17"/>
      <c r="Q915" s="17"/>
      <c r="R915" s="17"/>
      <c r="S915" s="17"/>
      <c r="T915" s="17"/>
      <c r="U915" s="17"/>
      <c r="V915" s="17"/>
      <c r="AE915" s="2"/>
      <c r="AQ915" s="2"/>
      <c r="AR915" s="2"/>
      <c r="AS915" s="2"/>
      <c r="AT915" s="2"/>
      <c r="AU915" s="2"/>
      <c r="AV915" s="2"/>
      <c r="AW915" s="2"/>
      <c r="AX915" s="2"/>
      <c r="AY915" s="2"/>
    </row>
    <row r="916" spans="1:51" x14ac:dyDescent="0.25">
      <c r="A916" s="24">
        <v>44439</v>
      </c>
      <c r="B916" s="1">
        <v>44439</v>
      </c>
      <c r="C916">
        <v>0.7</v>
      </c>
      <c r="D916">
        <v>0.85</v>
      </c>
      <c r="E916">
        <v>0.96</v>
      </c>
      <c r="F916">
        <v>1.2</v>
      </c>
      <c r="G916">
        <v>1.45</v>
      </c>
      <c r="H916">
        <v>1.58</v>
      </c>
      <c r="I916">
        <v>1.8</v>
      </c>
      <c r="J916">
        <v>2.44</v>
      </c>
      <c r="K916">
        <v>2.83</v>
      </c>
      <c r="M916" s="3"/>
      <c r="N916" s="17"/>
      <c r="O916" s="17"/>
      <c r="P916" s="17"/>
      <c r="Q916" s="17"/>
      <c r="R916" s="17"/>
      <c r="S916" s="17"/>
      <c r="T916" s="17"/>
      <c r="U916" s="17"/>
      <c r="V916" s="17"/>
      <c r="AE916" s="2"/>
      <c r="AQ916" s="2"/>
      <c r="AR916" s="2"/>
      <c r="AS916" s="2"/>
      <c r="AT916" s="2"/>
      <c r="AU916" s="2"/>
      <c r="AV916" s="2"/>
      <c r="AW916" s="2"/>
      <c r="AX916" s="2"/>
      <c r="AY916" s="2"/>
    </row>
    <row r="917" spans="1:51" x14ac:dyDescent="0.25">
      <c r="A917" s="24">
        <v>44438</v>
      </c>
      <c r="B917" s="1">
        <v>44438</v>
      </c>
      <c r="C917">
        <v>0.7</v>
      </c>
      <c r="D917">
        <v>0.87</v>
      </c>
      <c r="E917">
        <v>0.98</v>
      </c>
      <c r="F917">
        <v>1.2</v>
      </c>
      <c r="G917">
        <v>1.45</v>
      </c>
      <c r="H917">
        <v>1.58</v>
      </c>
      <c r="I917">
        <v>1.78</v>
      </c>
      <c r="J917">
        <v>2.4300000000000002</v>
      </c>
      <c r="K917">
        <v>2.92</v>
      </c>
      <c r="M917" s="3"/>
      <c r="N917" s="17"/>
      <c r="O917" s="17"/>
      <c r="P917" s="17"/>
      <c r="Q917" s="17"/>
      <c r="R917" s="17"/>
      <c r="S917" s="17"/>
      <c r="T917" s="17"/>
      <c r="U917" s="17"/>
      <c r="V917" s="17"/>
      <c r="AE917" s="2"/>
      <c r="AQ917" s="2"/>
      <c r="AR917" s="2"/>
      <c r="AS917" s="2"/>
      <c r="AT917" s="2"/>
      <c r="AU917" s="2"/>
      <c r="AV917" s="2"/>
      <c r="AW917" s="2"/>
      <c r="AX917" s="2"/>
      <c r="AY917" s="2"/>
    </row>
    <row r="918" spans="1:51" x14ac:dyDescent="0.25">
      <c r="A918" s="24">
        <v>44435</v>
      </c>
      <c r="B918" s="1">
        <v>44435</v>
      </c>
      <c r="C918">
        <v>0.7</v>
      </c>
      <c r="D918">
        <v>0.84</v>
      </c>
      <c r="E918">
        <v>0.96</v>
      </c>
      <c r="F918">
        <v>1.19</v>
      </c>
      <c r="G918">
        <v>1.45</v>
      </c>
      <c r="H918">
        <v>1.56</v>
      </c>
      <c r="I918">
        <v>1.81</v>
      </c>
      <c r="J918">
        <v>2.4500000000000002</v>
      </c>
      <c r="K918">
        <v>2.98</v>
      </c>
      <c r="M918" s="3"/>
      <c r="N918" s="17"/>
      <c r="O918" s="17"/>
      <c r="P918" s="17"/>
      <c r="Q918" s="17"/>
      <c r="R918" s="17"/>
      <c r="S918" s="17"/>
      <c r="T918" s="17"/>
      <c r="U918" s="17"/>
      <c r="V918" s="17"/>
      <c r="AE918" s="2"/>
      <c r="AQ918" s="2"/>
      <c r="AR918" s="2"/>
      <c r="AS918" s="2"/>
      <c r="AT918" s="2"/>
      <c r="AU918" s="2"/>
      <c r="AV918" s="2"/>
      <c r="AW918" s="2"/>
      <c r="AX918" s="2"/>
      <c r="AY918" s="2"/>
    </row>
    <row r="919" spans="1:51" x14ac:dyDescent="0.25">
      <c r="A919" s="24">
        <v>44434</v>
      </c>
      <c r="B919" s="1">
        <v>44434</v>
      </c>
      <c r="C919">
        <v>0.7</v>
      </c>
      <c r="D919">
        <v>0.83</v>
      </c>
      <c r="E919">
        <v>0.96</v>
      </c>
      <c r="F919">
        <v>1.18</v>
      </c>
      <c r="G919">
        <v>1.43</v>
      </c>
      <c r="H919">
        <v>1.56</v>
      </c>
      <c r="I919">
        <v>1.79</v>
      </c>
      <c r="J919">
        <v>2.42</v>
      </c>
      <c r="K919">
        <v>2.75</v>
      </c>
      <c r="M919" s="3"/>
      <c r="N919" s="17"/>
      <c r="O919" s="17"/>
      <c r="P919" s="17"/>
      <c r="Q919" s="17"/>
      <c r="R919" s="17"/>
      <c r="S919" s="17"/>
      <c r="T919" s="17"/>
      <c r="U919" s="17"/>
      <c r="V919" s="17"/>
      <c r="AE919" s="2"/>
      <c r="AQ919" s="2"/>
      <c r="AR919" s="2"/>
      <c r="AS919" s="2"/>
      <c r="AT919" s="2"/>
      <c r="AU919" s="2"/>
      <c r="AV919" s="2"/>
      <c r="AW919" s="2"/>
      <c r="AX919" s="2"/>
      <c r="AY919" s="2"/>
    </row>
    <row r="920" spans="1:51" x14ac:dyDescent="0.25">
      <c r="A920" s="24">
        <v>44433</v>
      </c>
      <c r="B920" s="1">
        <v>44433</v>
      </c>
      <c r="C920">
        <v>0.7</v>
      </c>
      <c r="D920">
        <v>0.86</v>
      </c>
      <c r="E920">
        <v>0.99</v>
      </c>
      <c r="F920">
        <v>1.25</v>
      </c>
      <c r="G920">
        <v>1.45</v>
      </c>
      <c r="H920">
        <v>1.58</v>
      </c>
      <c r="I920">
        <v>1.84</v>
      </c>
      <c r="J920">
        <v>2.4500000000000002</v>
      </c>
      <c r="K920">
        <v>2.92</v>
      </c>
      <c r="M920" s="3"/>
      <c r="N920" s="17"/>
      <c r="O920" s="17"/>
      <c r="P920" s="17"/>
      <c r="Q920" s="17"/>
      <c r="R920" s="17"/>
      <c r="S920" s="17"/>
      <c r="T920" s="17"/>
      <c r="U920" s="17"/>
      <c r="V920" s="17"/>
      <c r="AE920" s="2"/>
      <c r="AQ920" s="2"/>
      <c r="AR920" s="2"/>
      <c r="AS920" s="2"/>
      <c r="AT920" s="2"/>
      <c r="AU920" s="2"/>
      <c r="AV920" s="2"/>
      <c r="AW920" s="2"/>
      <c r="AX920" s="2"/>
      <c r="AY920" s="2"/>
    </row>
    <row r="921" spans="1:51" x14ac:dyDescent="0.25">
      <c r="A921" s="24">
        <v>44432</v>
      </c>
      <c r="B921" s="1">
        <v>44432</v>
      </c>
      <c r="C921">
        <v>0.7</v>
      </c>
      <c r="D921">
        <v>0.86</v>
      </c>
      <c r="E921">
        <v>0.96</v>
      </c>
      <c r="F921">
        <v>1.22</v>
      </c>
      <c r="G921">
        <v>1.45</v>
      </c>
      <c r="H921">
        <v>1.59</v>
      </c>
      <c r="I921">
        <v>1.8</v>
      </c>
      <c r="J921">
        <v>2.4300000000000002</v>
      </c>
      <c r="K921">
        <v>2.84</v>
      </c>
      <c r="M921" s="3"/>
      <c r="N921" s="17"/>
      <c r="O921" s="17"/>
      <c r="P921" s="17"/>
      <c r="Q921" s="17"/>
      <c r="R921" s="17"/>
      <c r="S921" s="17"/>
      <c r="T921" s="17"/>
      <c r="U921" s="17"/>
      <c r="V921" s="17"/>
      <c r="AE921" s="2"/>
      <c r="AQ921" s="2"/>
      <c r="AR921" s="2"/>
      <c r="AS921" s="2"/>
      <c r="AT921" s="2"/>
      <c r="AU921" s="2"/>
      <c r="AV921" s="2"/>
      <c r="AW921" s="2"/>
      <c r="AX921" s="2"/>
      <c r="AY921" s="2"/>
    </row>
    <row r="922" spans="1:51" x14ac:dyDescent="0.25">
      <c r="A922" s="24">
        <v>44431</v>
      </c>
      <c r="B922" s="1">
        <v>44431</v>
      </c>
      <c r="C922">
        <v>0.71</v>
      </c>
      <c r="D922">
        <v>0.87</v>
      </c>
      <c r="E922">
        <v>0.98</v>
      </c>
      <c r="F922">
        <v>1.23</v>
      </c>
      <c r="G922">
        <v>1.44</v>
      </c>
      <c r="H922">
        <v>1.58</v>
      </c>
      <c r="I922">
        <v>1.78</v>
      </c>
      <c r="J922">
        <v>2.4300000000000002</v>
      </c>
      <c r="K922">
        <v>2.92</v>
      </c>
      <c r="M922" s="3"/>
      <c r="N922" s="17"/>
      <c r="O922" s="17"/>
      <c r="P922" s="17"/>
      <c r="Q922" s="17"/>
      <c r="R922" s="17"/>
      <c r="S922" s="17"/>
      <c r="T922" s="17"/>
      <c r="U922" s="17"/>
      <c r="V922" s="17"/>
      <c r="AE922" s="2"/>
      <c r="AQ922" s="2"/>
      <c r="AR922" s="2"/>
      <c r="AS922" s="2"/>
      <c r="AT922" s="2"/>
      <c r="AU922" s="2"/>
      <c r="AV922" s="2"/>
      <c r="AW922" s="2"/>
      <c r="AX922" s="2"/>
      <c r="AY922" s="2"/>
    </row>
    <row r="923" spans="1:51" x14ac:dyDescent="0.25">
      <c r="A923" s="24">
        <v>44428</v>
      </c>
      <c r="B923" s="1">
        <v>44428</v>
      </c>
      <c r="C923">
        <v>0.72</v>
      </c>
      <c r="D923">
        <v>0.89</v>
      </c>
      <c r="E923">
        <v>1.01</v>
      </c>
      <c r="F923">
        <v>1.22</v>
      </c>
      <c r="G923">
        <v>1.44</v>
      </c>
      <c r="H923">
        <v>1.56</v>
      </c>
      <c r="I923">
        <v>1.84</v>
      </c>
      <c r="J923">
        <v>2.4700000000000002</v>
      </c>
      <c r="K923">
        <v>2.96</v>
      </c>
      <c r="M923" s="3"/>
      <c r="N923" s="17"/>
      <c r="O923" s="17"/>
      <c r="P923" s="17"/>
      <c r="Q923" s="17"/>
      <c r="R923" s="17"/>
      <c r="S923" s="17"/>
      <c r="T923" s="17"/>
      <c r="U923" s="17"/>
      <c r="V923" s="17"/>
      <c r="AE923" s="2"/>
      <c r="AQ923" s="2"/>
      <c r="AR923" s="2"/>
      <c r="AS923" s="2"/>
      <c r="AT923" s="2"/>
      <c r="AU923" s="2"/>
      <c r="AV923" s="2"/>
      <c r="AW923" s="2"/>
      <c r="AX923" s="2"/>
      <c r="AY923" s="2"/>
    </row>
    <row r="924" spans="1:51" x14ac:dyDescent="0.25">
      <c r="A924" s="24">
        <v>44427</v>
      </c>
      <c r="B924" s="1">
        <v>44427</v>
      </c>
      <c r="C924">
        <v>0.73</v>
      </c>
      <c r="D924">
        <v>0.88</v>
      </c>
      <c r="E924">
        <v>1.01</v>
      </c>
      <c r="F924">
        <v>1.21</v>
      </c>
      <c r="G924">
        <v>1.44</v>
      </c>
      <c r="H924">
        <v>1.58</v>
      </c>
      <c r="I924">
        <v>1.83</v>
      </c>
      <c r="J924">
        <v>2.48</v>
      </c>
      <c r="K924">
        <v>2.82</v>
      </c>
      <c r="M924" s="3"/>
      <c r="N924" s="17"/>
      <c r="O924" s="17"/>
      <c r="P924" s="17"/>
      <c r="Q924" s="17"/>
      <c r="R924" s="17"/>
      <c r="S924" s="17"/>
      <c r="T924" s="17"/>
      <c r="U924" s="17"/>
      <c r="V924" s="17"/>
      <c r="AE924" s="2"/>
      <c r="AQ924" s="2"/>
      <c r="AR924" s="2"/>
      <c r="AS924" s="2"/>
      <c r="AT924" s="2"/>
      <c r="AU924" s="2"/>
      <c r="AV924" s="2"/>
      <c r="AW924" s="2"/>
      <c r="AX924" s="2"/>
      <c r="AY924" s="2"/>
    </row>
    <row r="925" spans="1:51" x14ac:dyDescent="0.25">
      <c r="A925" s="24">
        <v>44426</v>
      </c>
      <c r="B925" s="1">
        <v>44426</v>
      </c>
      <c r="C925">
        <v>0.79</v>
      </c>
      <c r="D925">
        <v>0.9</v>
      </c>
      <c r="E925">
        <v>1.05</v>
      </c>
      <c r="F925">
        <v>1.27</v>
      </c>
      <c r="G925">
        <v>1.46</v>
      </c>
      <c r="H925">
        <v>1.59</v>
      </c>
      <c r="I925">
        <v>1.82</v>
      </c>
      <c r="J925">
        <v>2.4700000000000002</v>
      </c>
      <c r="K925">
        <v>2.82</v>
      </c>
      <c r="M925" s="3"/>
      <c r="N925" s="17"/>
      <c r="O925" s="17"/>
      <c r="P925" s="17"/>
      <c r="Q925" s="17"/>
      <c r="R925" s="17"/>
      <c r="S925" s="17"/>
      <c r="T925" s="17"/>
      <c r="U925" s="17"/>
      <c r="V925" s="17"/>
      <c r="AE925" s="2"/>
      <c r="AQ925" s="2"/>
      <c r="AR925" s="2"/>
      <c r="AS925" s="2"/>
      <c r="AT925" s="2"/>
      <c r="AU925" s="2"/>
      <c r="AV925" s="2"/>
      <c r="AW925" s="2"/>
      <c r="AX925" s="2"/>
      <c r="AY925" s="2"/>
    </row>
    <row r="926" spans="1:51" x14ac:dyDescent="0.25">
      <c r="A926" s="24">
        <v>44425</v>
      </c>
      <c r="B926" s="1">
        <v>44425</v>
      </c>
      <c r="C926">
        <v>0.8</v>
      </c>
      <c r="D926">
        <v>0.94</v>
      </c>
      <c r="E926">
        <v>1.08</v>
      </c>
      <c r="F926">
        <v>1.3</v>
      </c>
      <c r="G926">
        <v>1.49</v>
      </c>
      <c r="H926">
        <v>1.61</v>
      </c>
      <c r="I926">
        <v>1.87</v>
      </c>
      <c r="J926">
        <v>2.5</v>
      </c>
      <c r="K926">
        <v>3.06</v>
      </c>
      <c r="M926" s="3"/>
      <c r="N926" s="17"/>
      <c r="O926" s="17"/>
      <c r="P926" s="17"/>
      <c r="Q926" s="17"/>
      <c r="R926" s="17"/>
      <c r="S926" s="17"/>
      <c r="T926" s="17"/>
      <c r="U926" s="17"/>
      <c r="V926" s="17"/>
      <c r="AE926" s="2"/>
      <c r="AQ926" s="2"/>
      <c r="AR926" s="2"/>
      <c r="AS926" s="2"/>
      <c r="AT926" s="2"/>
      <c r="AU926" s="2"/>
      <c r="AV926" s="2"/>
      <c r="AW926" s="2"/>
      <c r="AX926" s="2"/>
      <c r="AY926" s="2"/>
    </row>
    <row r="927" spans="1:51" x14ac:dyDescent="0.25">
      <c r="A927" s="24">
        <v>44424</v>
      </c>
      <c r="B927" s="1">
        <v>44424</v>
      </c>
      <c r="C927">
        <v>0.84</v>
      </c>
      <c r="D927">
        <v>1</v>
      </c>
      <c r="E927">
        <v>1.1000000000000001</v>
      </c>
      <c r="F927">
        <v>1.29</v>
      </c>
      <c r="G927">
        <v>1.5</v>
      </c>
      <c r="H927">
        <v>1.6</v>
      </c>
      <c r="I927">
        <v>1.84</v>
      </c>
      <c r="J927">
        <v>2.5</v>
      </c>
      <c r="K927">
        <v>2.98</v>
      </c>
      <c r="M927" s="3"/>
      <c r="N927" s="17"/>
      <c r="O927" s="17"/>
      <c r="P927" s="17"/>
      <c r="Q927" s="17"/>
      <c r="R927" s="17"/>
      <c r="S927" s="17"/>
      <c r="T927" s="17"/>
      <c r="U927" s="17"/>
      <c r="V927" s="17"/>
      <c r="AE927" s="2"/>
      <c r="AQ927" s="2"/>
      <c r="AR927" s="2"/>
      <c r="AS927" s="2"/>
      <c r="AT927" s="2"/>
      <c r="AU927" s="2"/>
      <c r="AV927" s="2"/>
      <c r="AW927" s="2"/>
      <c r="AX927" s="2"/>
      <c r="AY927" s="2"/>
    </row>
    <row r="928" spans="1:51" x14ac:dyDescent="0.25">
      <c r="A928" s="24">
        <v>44421</v>
      </c>
      <c r="B928" s="1">
        <v>44421</v>
      </c>
      <c r="C928">
        <v>0.83</v>
      </c>
      <c r="D928">
        <v>1.02</v>
      </c>
      <c r="E928">
        <v>1.1299999999999999</v>
      </c>
      <c r="F928">
        <v>1.3</v>
      </c>
      <c r="G928">
        <v>1.49</v>
      </c>
      <c r="H928">
        <v>1.59</v>
      </c>
      <c r="I928">
        <v>1.84</v>
      </c>
      <c r="J928">
        <v>2.52</v>
      </c>
      <c r="K928">
        <v>2.93</v>
      </c>
      <c r="M928" s="3"/>
      <c r="N928" s="17"/>
      <c r="O928" s="17"/>
      <c r="P928" s="17"/>
      <c r="Q928" s="17"/>
      <c r="R928" s="17"/>
      <c r="S928" s="17"/>
      <c r="T928" s="17"/>
      <c r="U928" s="17"/>
      <c r="V928" s="17"/>
      <c r="AE928" s="2"/>
      <c r="AQ928" s="2"/>
      <c r="AR928" s="2"/>
      <c r="AS928" s="2"/>
      <c r="AT928" s="2"/>
      <c r="AU928" s="2"/>
      <c r="AV928" s="2"/>
      <c r="AW928" s="2"/>
      <c r="AX928" s="2"/>
      <c r="AY928" s="2"/>
    </row>
    <row r="929" spans="1:51" x14ac:dyDescent="0.25">
      <c r="A929" s="24">
        <v>44420</v>
      </c>
      <c r="B929" s="1">
        <v>44420</v>
      </c>
      <c r="C929">
        <v>0.86</v>
      </c>
      <c r="D929">
        <v>1.05</v>
      </c>
      <c r="E929">
        <v>1.17</v>
      </c>
      <c r="F929">
        <v>1.38</v>
      </c>
      <c r="G929">
        <v>1.55</v>
      </c>
      <c r="H929">
        <v>1.63</v>
      </c>
      <c r="I929">
        <v>1.88</v>
      </c>
      <c r="J929">
        <v>2.5299999999999998</v>
      </c>
      <c r="K929">
        <v>2.88</v>
      </c>
      <c r="M929" s="3"/>
      <c r="N929" s="17"/>
      <c r="O929" s="17"/>
      <c r="P929" s="17"/>
      <c r="Q929" s="17"/>
      <c r="R929" s="17"/>
      <c r="S929" s="17"/>
      <c r="T929" s="17"/>
      <c r="U929" s="17"/>
      <c r="V929" s="17"/>
      <c r="AE929" s="2"/>
      <c r="AQ929" s="2"/>
      <c r="AR929" s="2"/>
      <c r="AS929" s="2"/>
      <c r="AT929" s="2"/>
      <c r="AU929" s="2"/>
      <c r="AV929" s="2"/>
      <c r="AW929" s="2"/>
      <c r="AX929" s="2"/>
      <c r="AY929" s="2"/>
    </row>
    <row r="930" spans="1:51" x14ac:dyDescent="0.25">
      <c r="A930" s="24">
        <v>44419</v>
      </c>
      <c r="B930" s="1">
        <v>44419</v>
      </c>
      <c r="C930">
        <v>0.91</v>
      </c>
      <c r="D930">
        <v>1.06</v>
      </c>
      <c r="E930">
        <v>1.19</v>
      </c>
      <c r="F930">
        <v>1.36</v>
      </c>
      <c r="G930">
        <v>1.52</v>
      </c>
      <c r="H930">
        <v>1.61</v>
      </c>
      <c r="I930">
        <v>1.86</v>
      </c>
      <c r="J930">
        <v>2.5299999999999998</v>
      </c>
      <c r="K930">
        <v>3.02</v>
      </c>
      <c r="M930" s="3"/>
      <c r="N930" s="17"/>
      <c r="O930" s="17"/>
      <c r="P930" s="17"/>
      <c r="Q930" s="17"/>
      <c r="R930" s="17"/>
      <c r="S930" s="17"/>
      <c r="T930" s="17"/>
      <c r="U930" s="17"/>
      <c r="V930" s="17"/>
      <c r="AE930" s="2"/>
      <c r="AQ930" s="2"/>
      <c r="AR930" s="2"/>
      <c r="AS930" s="2"/>
      <c r="AT930" s="2"/>
      <c r="AU930" s="2"/>
      <c r="AV930" s="2"/>
      <c r="AW930" s="2"/>
      <c r="AX930" s="2"/>
      <c r="AY930" s="2"/>
    </row>
    <row r="931" spans="1:51" x14ac:dyDescent="0.25">
      <c r="A931" s="24">
        <v>44418</v>
      </c>
      <c r="B931" s="1">
        <v>44418</v>
      </c>
      <c r="C931">
        <v>0.97</v>
      </c>
      <c r="D931">
        <v>1.08</v>
      </c>
      <c r="E931">
        <v>1.23</v>
      </c>
      <c r="F931">
        <v>1.37</v>
      </c>
      <c r="G931">
        <v>1.54</v>
      </c>
      <c r="H931">
        <v>1.63</v>
      </c>
      <c r="I931">
        <v>1.83</v>
      </c>
      <c r="J931">
        <v>2.46</v>
      </c>
      <c r="K931">
        <v>2.88</v>
      </c>
      <c r="M931" s="3"/>
      <c r="N931" s="17"/>
      <c r="O931" s="17"/>
      <c r="P931" s="17"/>
      <c r="Q931" s="17"/>
      <c r="R931" s="17"/>
      <c r="S931" s="17"/>
      <c r="T931" s="17"/>
      <c r="U931" s="17"/>
      <c r="V931" s="17"/>
      <c r="AE931" s="2"/>
      <c r="AQ931" s="2"/>
      <c r="AR931" s="2"/>
      <c r="AS931" s="2"/>
      <c r="AT931" s="2"/>
      <c r="AU931" s="2"/>
      <c r="AV931" s="2"/>
      <c r="AW931" s="2"/>
      <c r="AX931" s="2"/>
      <c r="AY931" s="2"/>
    </row>
    <row r="932" spans="1:51" x14ac:dyDescent="0.25">
      <c r="A932" s="24">
        <v>44417</v>
      </c>
      <c r="B932" s="1">
        <v>44417</v>
      </c>
      <c r="C932">
        <v>0.95</v>
      </c>
      <c r="D932">
        <v>1.1000000000000001</v>
      </c>
      <c r="E932">
        <v>1.23</v>
      </c>
      <c r="F932">
        <v>1.39</v>
      </c>
      <c r="G932">
        <v>1.53</v>
      </c>
      <c r="H932">
        <v>1.65</v>
      </c>
      <c r="I932">
        <v>1.84</v>
      </c>
      <c r="J932">
        <v>2.5</v>
      </c>
      <c r="K932">
        <v>2.83</v>
      </c>
      <c r="M932" s="3"/>
      <c r="N932" s="17"/>
      <c r="O932" s="17"/>
      <c r="P932" s="17"/>
      <c r="Q932" s="17"/>
      <c r="R932" s="17"/>
      <c r="S932" s="17"/>
      <c r="T932" s="17"/>
      <c r="U932" s="17"/>
      <c r="V932" s="17"/>
      <c r="AE932" s="2"/>
      <c r="AQ932" s="2"/>
      <c r="AR932" s="2"/>
      <c r="AS932" s="2"/>
      <c r="AT932" s="2"/>
      <c r="AU932" s="2"/>
      <c r="AV932" s="2"/>
      <c r="AW932" s="2"/>
      <c r="AX932" s="2"/>
      <c r="AY932" s="2"/>
    </row>
    <row r="933" spans="1:51" x14ac:dyDescent="0.25">
      <c r="A933" s="24">
        <v>44414</v>
      </c>
      <c r="B933" s="1">
        <v>44414</v>
      </c>
      <c r="C933">
        <v>0.99</v>
      </c>
      <c r="D933">
        <v>1.1100000000000001</v>
      </c>
      <c r="E933">
        <v>1.23</v>
      </c>
      <c r="F933">
        <v>1.42</v>
      </c>
      <c r="G933">
        <v>1.56</v>
      </c>
      <c r="H933">
        <v>1.65</v>
      </c>
      <c r="I933">
        <v>1.84</v>
      </c>
      <c r="J933">
        <v>2.5</v>
      </c>
      <c r="K933">
        <v>2.95</v>
      </c>
      <c r="M933" s="3"/>
      <c r="N933" s="17"/>
      <c r="O933" s="17"/>
      <c r="P933" s="17"/>
      <c r="Q933" s="17"/>
      <c r="R933" s="17"/>
      <c r="S933" s="17"/>
      <c r="T933" s="17"/>
      <c r="U933" s="17"/>
      <c r="V933" s="17"/>
      <c r="AE933" s="2"/>
      <c r="AQ933" s="2"/>
      <c r="AR933" s="2"/>
      <c r="AS933" s="2"/>
      <c r="AT933" s="2"/>
      <c r="AU933" s="2"/>
      <c r="AV933" s="2"/>
      <c r="AW933" s="2"/>
      <c r="AX933" s="2"/>
      <c r="AY933" s="2"/>
    </row>
    <row r="934" spans="1:51" x14ac:dyDescent="0.25">
      <c r="A934" s="24">
        <v>44413</v>
      </c>
      <c r="B934" s="1">
        <v>44413</v>
      </c>
      <c r="C934">
        <v>0.99</v>
      </c>
      <c r="D934">
        <v>1.1399999999999999</v>
      </c>
      <c r="E934">
        <v>1.27</v>
      </c>
      <c r="F934">
        <v>1.42</v>
      </c>
      <c r="G934">
        <v>1.54</v>
      </c>
      <c r="H934">
        <v>1.65</v>
      </c>
      <c r="I934">
        <v>1.88</v>
      </c>
      <c r="J934">
        <v>2.54</v>
      </c>
      <c r="K934">
        <v>3.03</v>
      </c>
      <c r="M934" s="3"/>
      <c r="N934" s="17"/>
      <c r="O934" s="17"/>
      <c r="P934" s="17"/>
      <c r="Q934" s="17"/>
      <c r="R934" s="17"/>
      <c r="S934" s="17"/>
      <c r="T934" s="17"/>
      <c r="U934" s="17"/>
      <c r="V934" s="17"/>
      <c r="AE934" s="2"/>
      <c r="AQ934" s="2"/>
      <c r="AR934" s="2"/>
      <c r="AS934" s="2"/>
      <c r="AT934" s="2"/>
      <c r="AU934" s="2"/>
      <c r="AV934" s="2"/>
      <c r="AW934" s="2"/>
      <c r="AX934" s="2"/>
      <c r="AY934" s="2"/>
    </row>
    <row r="935" spans="1:51" x14ac:dyDescent="0.25">
      <c r="A935" s="24">
        <v>44412</v>
      </c>
      <c r="B935" s="1">
        <v>44412</v>
      </c>
      <c r="C935">
        <v>1</v>
      </c>
      <c r="D935">
        <v>1.1399999999999999</v>
      </c>
      <c r="E935">
        <v>1.27</v>
      </c>
      <c r="F935">
        <v>1.44</v>
      </c>
      <c r="G935">
        <v>1.58</v>
      </c>
      <c r="H935">
        <v>1.66</v>
      </c>
      <c r="I935">
        <v>1.89</v>
      </c>
      <c r="J935">
        <v>2.5299999999999998</v>
      </c>
      <c r="K935">
        <v>3.02</v>
      </c>
      <c r="M935" s="3"/>
      <c r="N935" s="17"/>
      <c r="O935" s="17"/>
      <c r="P935" s="17"/>
      <c r="Q935" s="17"/>
      <c r="R935" s="17"/>
      <c r="S935" s="17"/>
      <c r="T935" s="17"/>
      <c r="U935" s="17"/>
      <c r="V935" s="17"/>
      <c r="AE935" s="2"/>
      <c r="AQ935" s="2"/>
      <c r="AR935" s="2"/>
      <c r="AS935" s="2"/>
      <c r="AT935" s="2"/>
      <c r="AU935" s="2"/>
      <c r="AV935" s="2"/>
      <c r="AW935" s="2"/>
      <c r="AX935" s="2"/>
      <c r="AY935" s="2"/>
    </row>
    <row r="936" spans="1:51" x14ac:dyDescent="0.25">
      <c r="A936" s="24">
        <v>44411</v>
      </c>
      <c r="B936" s="1">
        <v>44411</v>
      </c>
      <c r="C936">
        <v>1</v>
      </c>
      <c r="D936">
        <v>1.19</v>
      </c>
      <c r="E936">
        <v>1.28</v>
      </c>
      <c r="F936">
        <v>1.44</v>
      </c>
      <c r="G936">
        <v>1.54</v>
      </c>
      <c r="H936">
        <v>1.64</v>
      </c>
      <c r="I936">
        <v>1.84</v>
      </c>
      <c r="J936">
        <v>2.4500000000000002</v>
      </c>
      <c r="K936">
        <v>2.8</v>
      </c>
      <c r="M936" s="3"/>
      <c r="N936" s="17"/>
      <c r="O936" s="17"/>
      <c r="P936" s="17"/>
      <c r="Q936" s="17"/>
      <c r="R936" s="17"/>
      <c r="S936" s="17"/>
      <c r="T936" s="17"/>
      <c r="U936" s="17"/>
      <c r="V936" s="17"/>
      <c r="AE936" s="2"/>
      <c r="AQ936" s="2"/>
      <c r="AR936" s="2"/>
      <c r="AS936" s="2"/>
      <c r="AT936" s="2"/>
      <c r="AU936" s="2"/>
      <c r="AV936" s="2"/>
      <c r="AW936" s="2"/>
      <c r="AX936" s="2"/>
      <c r="AY936" s="2"/>
    </row>
    <row r="937" spans="1:51" x14ac:dyDescent="0.25">
      <c r="A937" s="24">
        <v>44410</v>
      </c>
      <c r="B937" s="1">
        <v>44410</v>
      </c>
      <c r="C937">
        <v>1</v>
      </c>
      <c r="D937">
        <v>1.18</v>
      </c>
      <c r="E937">
        <v>1.3</v>
      </c>
      <c r="F937">
        <v>1.45</v>
      </c>
      <c r="G937">
        <v>1.58</v>
      </c>
      <c r="H937">
        <v>1.68</v>
      </c>
      <c r="I937">
        <v>1.87</v>
      </c>
      <c r="J937">
        <v>2.5</v>
      </c>
      <c r="K937">
        <v>2.93</v>
      </c>
      <c r="M937" s="3"/>
      <c r="N937" s="17"/>
      <c r="O937" s="17"/>
      <c r="P937" s="17"/>
      <c r="Q937" s="17"/>
      <c r="R937" s="17"/>
      <c r="S937" s="17"/>
      <c r="T937" s="17"/>
      <c r="U937" s="17"/>
      <c r="V937" s="17"/>
      <c r="AE937" s="2"/>
      <c r="AQ937" s="2"/>
      <c r="AR937" s="2"/>
      <c r="AS937" s="2"/>
      <c r="AT937" s="2"/>
      <c r="AU937" s="2"/>
      <c r="AV937" s="2"/>
      <c r="AW937" s="2"/>
      <c r="AX937" s="2"/>
      <c r="AY937" s="2"/>
    </row>
    <row r="938" spans="1:51" x14ac:dyDescent="0.25">
      <c r="A938" s="24">
        <v>44407</v>
      </c>
      <c r="B938" s="1">
        <v>44407</v>
      </c>
      <c r="C938">
        <v>1</v>
      </c>
      <c r="D938">
        <v>1.18</v>
      </c>
      <c r="E938">
        <v>1.28</v>
      </c>
      <c r="F938">
        <v>1.44</v>
      </c>
      <c r="G938">
        <v>1.56</v>
      </c>
      <c r="H938">
        <v>1.66</v>
      </c>
      <c r="I938">
        <v>1.84</v>
      </c>
      <c r="J938">
        <v>2.5299999999999998</v>
      </c>
      <c r="K938">
        <v>2.98</v>
      </c>
      <c r="M938" s="3"/>
      <c r="N938" s="17"/>
      <c r="O938" s="17"/>
      <c r="P938" s="17"/>
      <c r="Q938" s="17"/>
      <c r="R938" s="17"/>
      <c r="S938" s="17"/>
      <c r="T938" s="17"/>
      <c r="U938" s="17"/>
      <c r="V938" s="17"/>
      <c r="AE938" s="2"/>
      <c r="AQ938" s="2"/>
      <c r="AR938" s="2"/>
      <c r="AS938" s="2"/>
      <c r="AT938" s="2"/>
      <c r="AU938" s="2"/>
      <c r="AV938" s="2"/>
      <c r="AW938" s="2"/>
      <c r="AX938" s="2"/>
      <c r="AY938" s="2"/>
    </row>
    <row r="939" spans="1:51" x14ac:dyDescent="0.25">
      <c r="A939" s="24">
        <v>44406</v>
      </c>
      <c r="B939" s="1">
        <v>44406</v>
      </c>
      <c r="C939">
        <v>1.01</v>
      </c>
      <c r="D939">
        <v>1.17</v>
      </c>
      <c r="E939">
        <v>1.27</v>
      </c>
      <c r="F939">
        <v>1.44</v>
      </c>
      <c r="G939">
        <v>1.56</v>
      </c>
      <c r="H939">
        <v>1.66</v>
      </c>
      <c r="I939">
        <v>1.84</v>
      </c>
      <c r="J939">
        <v>2.48</v>
      </c>
      <c r="K939">
        <v>2.87</v>
      </c>
      <c r="M939" s="3"/>
      <c r="N939" s="17"/>
      <c r="O939" s="17"/>
      <c r="P939" s="17"/>
      <c r="Q939" s="17"/>
      <c r="R939" s="17"/>
      <c r="S939" s="17"/>
      <c r="T939" s="17"/>
      <c r="U939" s="17"/>
      <c r="V939" s="17"/>
      <c r="AE939" s="2"/>
      <c r="AQ939" s="2"/>
      <c r="AR939" s="2"/>
      <c r="AS939" s="2"/>
      <c r="AT939" s="2"/>
      <c r="AU939" s="2"/>
      <c r="AV939" s="2"/>
      <c r="AW939" s="2"/>
      <c r="AX939" s="2"/>
      <c r="AY939" s="2"/>
    </row>
    <row r="940" spans="1:51" x14ac:dyDescent="0.25">
      <c r="A940" s="24">
        <v>44405</v>
      </c>
      <c r="B940" s="1">
        <v>44405</v>
      </c>
      <c r="C940">
        <v>1</v>
      </c>
      <c r="D940">
        <v>1.18</v>
      </c>
      <c r="E940">
        <v>1.28</v>
      </c>
      <c r="F940">
        <v>1.45</v>
      </c>
      <c r="G940">
        <v>1.57</v>
      </c>
      <c r="H940">
        <v>1.66</v>
      </c>
      <c r="I940">
        <v>1.85</v>
      </c>
      <c r="J940">
        <v>2.5</v>
      </c>
      <c r="K940">
        <v>2.96</v>
      </c>
      <c r="M940" s="3"/>
      <c r="N940" s="17"/>
      <c r="O940" s="17"/>
      <c r="P940" s="17"/>
      <c r="Q940" s="17"/>
      <c r="R940" s="17"/>
      <c r="S940" s="17"/>
      <c r="T940" s="17"/>
      <c r="U940" s="17"/>
      <c r="V940" s="17"/>
      <c r="AE940" s="2"/>
      <c r="AQ940" s="2"/>
      <c r="AR940" s="2"/>
      <c r="AS940" s="2"/>
      <c r="AT940" s="2"/>
      <c r="AU940" s="2"/>
      <c r="AV940" s="2"/>
      <c r="AW940" s="2"/>
      <c r="AX940" s="2"/>
      <c r="AY940" s="2"/>
    </row>
    <row r="941" spans="1:51" x14ac:dyDescent="0.25">
      <c r="A941" s="24">
        <v>44404</v>
      </c>
      <c r="B941" s="1">
        <v>44404</v>
      </c>
      <c r="C941">
        <v>1</v>
      </c>
      <c r="D941">
        <v>1.1200000000000001</v>
      </c>
      <c r="E941">
        <v>1.26</v>
      </c>
      <c r="F941">
        <v>1.38</v>
      </c>
      <c r="G941">
        <v>1.54</v>
      </c>
      <c r="H941">
        <v>1.64</v>
      </c>
      <c r="I941">
        <v>1.86</v>
      </c>
      <c r="J941">
        <v>2.5299999999999998</v>
      </c>
      <c r="K941">
        <v>3.03</v>
      </c>
      <c r="M941" s="3"/>
      <c r="N941" s="17"/>
      <c r="O941" s="17"/>
      <c r="P941" s="17"/>
      <c r="Q941" s="17"/>
      <c r="R941" s="17"/>
      <c r="S941" s="17"/>
      <c r="T941" s="17"/>
      <c r="U941" s="17"/>
      <c r="V941" s="17"/>
      <c r="AE941" s="2"/>
      <c r="AQ941" s="2"/>
      <c r="AR941" s="2"/>
      <c r="AS941" s="2"/>
      <c r="AT941" s="2"/>
      <c r="AU941" s="2"/>
      <c r="AV941" s="2"/>
      <c r="AW941" s="2"/>
      <c r="AX941" s="2"/>
      <c r="AY941" s="2"/>
    </row>
    <row r="942" spans="1:51" x14ac:dyDescent="0.25">
      <c r="A942" s="24">
        <v>44403</v>
      </c>
      <c r="B942" s="1">
        <v>44403</v>
      </c>
      <c r="C942">
        <v>1.02</v>
      </c>
      <c r="D942">
        <v>1.18</v>
      </c>
      <c r="E942">
        <v>1.27</v>
      </c>
      <c r="F942">
        <v>1.43</v>
      </c>
      <c r="G942">
        <v>1.55</v>
      </c>
      <c r="H942">
        <v>1.63</v>
      </c>
      <c r="I942">
        <v>1.87</v>
      </c>
      <c r="J942">
        <v>2.48</v>
      </c>
      <c r="K942">
        <v>2.89</v>
      </c>
      <c r="M942" s="3"/>
      <c r="N942" s="17"/>
      <c r="O942" s="17"/>
      <c r="P942" s="17"/>
      <c r="Q942" s="17"/>
      <c r="R942" s="17"/>
      <c r="S942" s="17"/>
      <c r="T942" s="17"/>
      <c r="U942" s="17"/>
      <c r="V942" s="17"/>
      <c r="AE942" s="2"/>
      <c r="AQ942" s="2"/>
      <c r="AR942" s="2"/>
      <c r="AS942" s="2"/>
      <c r="AT942" s="2"/>
      <c r="AU942" s="2"/>
      <c r="AV942" s="2"/>
      <c r="AW942" s="2"/>
      <c r="AX942" s="2"/>
      <c r="AY942" s="2"/>
    </row>
    <row r="943" spans="1:51" x14ac:dyDescent="0.25">
      <c r="A943" s="24">
        <v>44400</v>
      </c>
      <c r="B943" s="1">
        <v>44400</v>
      </c>
      <c r="C943">
        <v>1</v>
      </c>
      <c r="D943">
        <v>1.1399999999999999</v>
      </c>
      <c r="E943">
        <v>1.26</v>
      </c>
      <c r="F943">
        <v>1.44</v>
      </c>
      <c r="G943">
        <v>1.56</v>
      </c>
      <c r="H943">
        <v>1.62</v>
      </c>
      <c r="I943">
        <v>1.84</v>
      </c>
      <c r="J943">
        <v>2.4500000000000002</v>
      </c>
      <c r="K943">
        <v>2.81</v>
      </c>
      <c r="M943" s="3"/>
      <c r="N943" s="17"/>
      <c r="O943" s="17"/>
      <c r="P943" s="17"/>
      <c r="Q943" s="17"/>
      <c r="R943" s="17"/>
      <c r="S943" s="17"/>
      <c r="T943" s="17"/>
      <c r="U943" s="17"/>
      <c r="V943" s="17"/>
      <c r="AE943" s="2"/>
      <c r="AQ943" s="2"/>
      <c r="AR943" s="2"/>
      <c r="AS943" s="2"/>
      <c r="AT943" s="2"/>
      <c r="AU943" s="2"/>
      <c r="AV943" s="2"/>
      <c r="AW943" s="2"/>
      <c r="AX943" s="2"/>
      <c r="AY943" s="2"/>
    </row>
    <row r="944" spans="1:51" x14ac:dyDescent="0.25">
      <c r="A944" s="24">
        <v>44399</v>
      </c>
      <c r="B944" s="1">
        <v>44399</v>
      </c>
      <c r="C944">
        <v>1</v>
      </c>
      <c r="D944">
        <v>1.1499999999999999</v>
      </c>
      <c r="E944">
        <v>1.28</v>
      </c>
      <c r="F944">
        <v>1.45</v>
      </c>
      <c r="G944">
        <v>1.58</v>
      </c>
      <c r="H944">
        <v>1.65</v>
      </c>
      <c r="I944">
        <v>1.88</v>
      </c>
      <c r="J944">
        <v>2.4</v>
      </c>
      <c r="K944">
        <v>2.9</v>
      </c>
      <c r="M944" s="3"/>
      <c r="N944" s="17"/>
      <c r="O944" s="17"/>
      <c r="P944" s="17"/>
      <c r="Q944" s="17"/>
      <c r="R944" s="17"/>
      <c r="S944" s="17"/>
      <c r="T944" s="17"/>
      <c r="U944" s="17"/>
      <c r="V944" s="17"/>
      <c r="AE944" s="2"/>
      <c r="AQ944" s="2"/>
      <c r="AR944" s="2"/>
      <c r="AS944" s="2"/>
      <c r="AT944" s="2"/>
      <c r="AU944" s="2"/>
      <c r="AV944" s="2"/>
      <c r="AW944" s="2"/>
      <c r="AX944" s="2"/>
      <c r="AY944" s="2"/>
    </row>
    <row r="945" spans="1:51" x14ac:dyDescent="0.25">
      <c r="A945" s="24">
        <v>44398</v>
      </c>
      <c r="B945" s="1">
        <v>44398</v>
      </c>
      <c r="C945">
        <v>0.98</v>
      </c>
      <c r="D945">
        <v>1.1100000000000001</v>
      </c>
      <c r="E945">
        <v>1.24</v>
      </c>
      <c r="F945">
        <v>1.39</v>
      </c>
      <c r="G945">
        <v>1.54</v>
      </c>
      <c r="H945">
        <v>1.63</v>
      </c>
      <c r="I945">
        <v>1.87</v>
      </c>
      <c r="J945">
        <v>2.5299999999999998</v>
      </c>
      <c r="K945">
        <v>3.03</v>
      </c>
      <c r="M945" s="3"/>
      <c r="N945" s="17"/>
      <c r="O945" s="17"/>
      <c r="P945" s="17"/>
      <c r="Q945" s="17"/>
      <c r="R945" s="17"/>
      <c r="S945" s="17"/>
      <c r="T945" s="17"/>
      <c r="U945" s="17"/>
      <c r="V945" s="17"/>
      <c r="AE945" s="2"/>
      <c r="AQ945" s="2"/>
      <c r="AR945" s="2"/>
      <c r="AS945" s="2"/>
      <c r="AT945" s="2"/>
      <c r="AU945" s="2"/>
      <c r="AV945" s="2"/>
      <c r="AW945" s="2"/>
      <c r="AX945" s="2"/>
      <c r="AY945" s="2"/>
    </row>
    <row r="946" spans="1:51" x14ac:dyDescent="0.25">
      <c r="A946" s="24">
        <v>44397</v>
      </c>
      <c r="B946" s="1">
        <v>44397</v>
      </c>
      <c r="C946">
        <v>0.97</v>
      </c>
      <c r="D946">
        <v>1.1100000000000001</v>
      </c>
      <c r="E946">
        <v>1.26</v>
      </c>
      <c r="F946">
        <v>1.41</v>
      </c>
      <c r="G946">
        <v>1.54</v>
      </c>
      <c r="H946">
        <v>1.63</v>
      </c>
      <c r="I946">
        <v>1.87</v>
      </c>
      <c r="J946">
        <v>2.48</v>
      </c>
      <c r="K946">
        <v>2.92</v>
      </c>
      <c r="M946" s="3"/>
      <c r="N946" s="17"/>
      <c r="O946" s="17"/>
      <c r="P946" s="17"/>
      <c r="Q946" s="17"/>
      <c r="R946" s="17"/>
      <c r="S946" s="17"/>
      <c r="T946" s="17"/>
      <c r="U946" s="17"/>
      <c r="V946" s="17"/>
      <c r="AE946" s="2"/>
      <c r="AQ946" s="2"/>
      <c r="AR946" s="2"/>
      <c r="AS946" s="2"/>
      <c r="AT946" s="2"/>
      <c r="AU946" s="2"/>
      <c r="AV946" s="2"/>
      <c r="AW946" s="2"/>
      <c r="AX946" s="2"/>
      <c r="AY946" s="2"/>
    </row>
    <row r="947" spans="1:51" x14ac:dyDescent="0.25">
      <c r="A947" s="24">
        <v>44396</v>
      </c>
      <c r="B947" s="1">
        <v>44396</v>
      </c>
      <c r="C947">
        <v>0.98</v>
      </c>
      <c r="D947">
        <v>1.1100000000000001</v>
      </c>
      <c r="E947">
        <v>1.25</v>
      </c>
      <c r="F947">
        <v>1.39</v>
      </c>
      <c r="G947">
        <v>1.55</v>
      </c>
      <c r="H947">
        <v>1.63</v>
      </c>
      <c r="I947">
        <v>1.87</v>
      </c>
      <c r="J947">
        <v>2.48</v>
      </c>
      <c r="K947">
        <v>2.89</v>
      </c>
      <c r="M947" s="3"/>
      <c r="N947" s="17"/>
      <c r="O947" s="17"/>
      <c r="P947" s="17"/>
      <c r="Q947" s="17"/>
      <c r="R947" s="17"/>
      <c r="S947" s="17"/>
      <c r="T947" s="17"/>
      <c r="U947" s="17"/>
      <c r="V947" s="17"/>
      <c r="AE947" s="2"/>
      <c r="AQ947" s="2"/>
      <c r="AR947" s="2"/>
      <c r="AS947" s="2"/>
      <c r="AT947" s="2"/>
      <c r="AU947" s="2"/>
      <c r="AV947" s="2"/>
      <c r="AW947" s="2"/>
      <c r="AX947" s="2"/>
      <c r="AY947" s="2"/>
    </row>
    <row r="948" spans="1:51" x14ac:dyDescent="0.25">
      <c r="A948" s="24">
        <v>44393</v>
      </c>
      <c r="B948" s="1">
        <v>44393</v>
      </c>
      <c r="C948">
        <v>1</v>
      </c>
      <c r="D948">
        <v>1.1000000000000001</v>
      </c>
      <c r="E948">
        <v>1.22</v>
      </c>
      <c r="F948">
        <v>1.38</v>
      </c>
      <c r="G948">
        <v>1.53</v>
      </c>
      <c r="H948">
        <v>1.61</v>
      </c>
      <c r="I948">
        <v>1.86</v>
      </c>
      <c r="J948">
        <v>2.5</v>
      </c>
      <c r="K948">
        <v>2.99</v>
      </c>
      <c r="M948" s="3"/>
      <c r="N948" s="17"/>
      <c r="O948" s="17"/>
      <c r="P948" s="17"/>
      <c r="Q948" s="17"/>
      <c r="R948" s="17"/>
      <c r="S948" s="17"/>
      <c r="T948" s="17"/>
      <c r="U948" s="17"/>
      <c r="V948" s="17"/>
      <c r="AE948" s="2"/>
      <c r="AQ948" s="2"/>
      <c r="AR948" s="2"/>
      <c r="AS948" s="2"/>
      <c r="AT948" s="2"/>
      <c r="AU948" s="2"/>
      <c r="AV948" s="2"/>
      <c r="AW948" s="2"/>
      <c r="AX948" s="2"/>
      <c r="AY948" s="2"/>
    </row>
    <row r="949" spans="1:51" x14ac:dyDescent="0.25">
      <c r="A949" s="24">
        <v>44392</v>
      </c>
      <c r="B949" s="1">
        <v>44392</v>
      </c>
      <c r="C949">
        <v>0.98</v>
      </c>
      <c r="D949">
        <v>1.1000000000000001</v>
      </c>
      <c r="E949">
        <v>1.24</v>
      </c>
      <c r="F949">
        <v>1.4</v>
      </c>
      <c r="G949">
        <v>1.51</v>
      </c>
      <c r="H949">
        <v>1.63</v>
      </c>
      <c r="I949">
        <v>1.88</v>
      </c>
      <c r="J949">
        <v>2.48</v>
      </c>
      <c r="K949">
        <v>3.07</v>
      </c>
      <c r="M949" s="3"/>
      <c r="N949" s="17"/>
      <c r="O949" s="17"/>
      <c r="P949" s="17"/>
      <c r="Q949" s="17"/>
      <c r="R949" s="17"/>
      <c r="S949" s="17"/>
      <c r="T949" s="17"/>
      <c r="U949" s="17"/>
      <c r="V949" s="17"/>
      <c r="AE949" s="2"/>
      <c r="AQ949" s="2"/>
      <c r="AR949" s="2"/>
      <c r="AS949" s="2"/>
      <c r="AT949" s="2"/>
      <c r="AU949" s="2"/>
      <c r="AV949" s="2"/>
      <c r="AW949" s="2"/>
      <c r="AX949" s="2"/>
      <c r="AY949" s="2"/>
    </row>
    <row r="950" spans="1:51" x14ac:dyDescent="0.25">
      <c r="A950" s="24">
        <v>44391</v>
      </c>
      <c r="B950" s="1">
        <v>44391</v>
      </c>
      <c r="C950">
        <v>0.98</v>
      </c>
      <c r="D950">
        <v>1.1000000000000001</v>
      </c>
      <c r="E950">
        <v>1.22</v>
      </c>
      <c r="F950">
        <v>1.4</v>
      </c>
      <c r="G950">
        <v>1.58</v>
      </c>
      <c r="H950">
        <v>1.65</v>
      </c>
      <c r="I950">
        <v>1.92</v>
      </c>
      <c r="J950">
        <v>2.54</v>
      </c>
      <c r="K950">
        <v>3.09</v>
      </c>
      <c r="M950" s="3"/>
      <c r="N950" s="17"/>
      <c r="O950" s="17"/>
      <c r="P950" s="17"/>
      <c r="Q950" s="17"/>
      <c r="R950" s="17"/>
      <c r="S950" s="17"/>
      <c r="T950" s="17"/>
      <c r="U950" s="17"/>
      <c r="V950" s="17"/>
      <c r="AE950" s="2"/>
      <c r="AQ950" s="2"/>
      <c r="AR950" s="2"/>
      <c r="AS950" s="2"/>
      <c r="AT950" s="2"/>
      <c r="AU950" s="2"/>
      <c r="AV950" s="2"/>
      <c r="AW950" s="2"/>
      <c r="AX950" s="2"/>
      <c r="AY950" s="2"/>
    </row>
    <row r="951" spans="1:51" x14ac:dyDescent="0.25">
      <c r="A951" s="24">
        <v>44390</v>
      </c>
      <c r="B951" s="1">
        <v>44390</v>
      </c>
      <c r="C951">
        <v>1</v>
      </c>
      <c r="D951">
        <v>1.1000000000000001</v>
      </c>
      <c r="E951">
        <v>1.23</v>
      </c>
      <c r="F951">
        <v>1.38</v>
      </c>
      <c r="G951">
        <v>1.54</v>
      </c>
      <c r="H951">
        <v>1.63</v>
      </c>
      <c r="I951">
        <v>1.83</v>
      </c>
      <c r="J951">
        <v>2.52</v>
      </c>
      <c r="K951">
        <v>3.09</v>
      </c>
      <c r="M951" s="3"/>
      <c r="N951" s="17"/>
      <c r="O951" s="17"/>
      <c r="P951" s="17"/>
      <c r="Q951" s="17"/>
      <c r="R951" s="17"/>
      <c r="S951" s="17"/>
      <c r="T951" s="17"/>
      <c r="U951" s="17"/>
      <c r="V951" s="17"/>
      <c r="AE951" s="2"/>
      <c r="AQ951" s="2"/>
      <c r="AR951" s="2"/>
      <c r="AS951" s="2"/>
      <c r="AT951" s="2"/>
      <c r="AU951" s="2"/>
      <c r="AV951" s="2"/>
      <c r="AW951" s="2"/>
      <c r="AX951" s="2"/>
      <c r="AY951" s="2"/>
    </row>
    <row r="952" spans="1:51" x14ac:dyDescent="0.25">
      <c r="A952" s="24">
        <v>44389</v>
      </c>
      <c r="B952" s="1">
        <v>44389</v>
      </c>
      <c r="C952">
        <v>0.98</v>
      </c>
      <c r="D952">
        <v>1.1000000000000001</v>
      </c>
      <c r="E952">
        <v>1.23</v>
      </c>
      <c r="F952">
        <v>1.4</v>
      </c>
      <c r="G952">
        <v>1.6</v>
      </c>
      <c r="H952">
        <v>1.65</v>
      </c>
      <c r="I952">
        <v>1.93</v>
      </c>
      <c r="J952">
        <v>2.56</v>
      </c>
      <c r="K952">
        <v>3.26</v>
      </c>
      <c r="M952" s="3"/>
      <c r="N952" s="17"/>
      <c r="O952" s="17"/>
      <c r="P952" s="17"/>
      <c r="Q952" s="17"/>
      <c r="R952" s="17"/>
      <c r="S952" s="17"/>
      <c r="T952" s="17"/>
      <c r="U952" s="17"/>
      <c r="V952" s="17"/>
      <c r="AE952" s="2"/>
      <c r="AQ952" s="2"/>
      <c r="AR952" s="2"/>
      <c r="AS952" s="2"/>
      <c r="AT952" s="2"/>
      <c r="AU952" s="2"/>
      <c r="AV952" s="2"/>
      <c r="AW952" s="2"/>
      <c r="AX952" s="2"/>
      <c r="AY952" s="2"/>
    </row>
    <row r="953" spans="1:51" x14ac:dyDescent="0.25">
      <c r="A953" s="24">
        <v>44386</v>
      </c>
      <c r="B953" s="1">
        <v>44386</v>
      </c>
      <c r="C953">
        <v>1</v>
      </c>
      <c r="D953">
        <v>1.1100000000000001</v>
      </c>
      <c r="E953">
        <v>1.25</v>
      </c>
      <c r="F953">
        <v>1.41</v>
      </c>
      <c r="G953">
        <v>1.57</v>
      </c>
      <c r="H953">
        <v>1.66</v>
      </c>
      <c r="I953">
        <v>1.87</v>
      </c>
      <c r="J953">
        <v>2.48</v>
      </c>
      <c r="K953">
        <v>2.87</v>
      </c>
      <c r="M953" s="3"/>
      <c r="N953" s="17"/>
      <c r="O953" s="17"/>
      <c r="P953" s="17"/>
      <c r="Q953" s="17"/>
      <c r="R953" s="17"/>
      <c r="S953" s="17"/>
      <c r="T953" s="17"/>
      <c r="U953" s="17"/>
      <c r="V953" s="17"/>
      <c r="AE953" s="2"/>
      <c r="AQ953" s="2"/>
      <c r="AR953" s="2"/>
      <c r="AS953" s="2"/>
      <c r="AT953" s="2"/>
      <c r="AU953" s="2"/>
      <c r="AV953" s="2"/>
      <c r="AW953" s="2"/>
      <c r="AX953" s="2"/>
      <c r="AY953" s="2"/>
    </row>
    <row r="954" spans="1:51" x14ac:dyDescent="0.25">
      <c r="A954" s="24">
        <v>44385</v>
      </c>
      <c r="B954" s="1">
        <v>44385</v>
      </c>
      <c r="C954">
        <v>1.02</v>
      </c>
      <c r="D954">
        <v>1.1000000000000001</v>
      </c>
      <c r="E954">
        <v>1.26</v>
      </c>
      <c r="F954">
        <v>1.46</v>
      </c>
      <c r="G954">
        <v>1.59</v>
      </c>
      <c r="H954">
        <v>1.66</v>
      </c>
      <c r="I954">
        <v>1.9</v>
      </c>
      <c r="J954">
        <v>2.5299999999999998</v>
      </c>
      <c r="K954">
        <v>3.17</v>
      </c>
      <c r="M954" s="3"/>
      <c r="N954" s="17"/>
      <c r="O954" s="17"/>
      <c r="P954" s="17"/>
      <c r="Q954" s="17"/>
      <c r="R954" s="17"/>
      <c r="S954" s="17"/>
      <c r="T954" s="17"/>
      <c r="U954" s="17"/>
      <c r="V954" s="17"/>
      <c r="AE954" s="2"/>
      <c r="AQ954" s="2"/>
      <c r="AR954" s="2"/>
      <c r="AS954" s="2"/>
      <c r="AT954" s="2"/>
      <c r="AU954" s="2"/>
      <c r="AV954" s="2"/>
      <c r="AW954" s="2"/>
      <c r="AX954" s="2"/>
      <c r="AY954" s="2"/>
    </row>
    <row r="955" spans="1:51" x14ac:dyDescent="0.25">
      <c r="A955" s="24">
        <v>44384</v>
      </c>
      <c r="B955" s="1">
        <v>44384</v>
      </c>
      <c r="C955">
        <v>0.98</v>
      </c>
      <c r="D955">
        <v>1.1000000000000001</v>
      </c>
      <c r="E955">
        <v>1.22</v>
      </c>
      <c r="F955">
        <v>1.36</v>
      </c>
      <c r="G955">
        <v>1.54</v>
      </c>
      <c r="H955">
        <v>1.64</v>
      </c>
      <c r="I955">
        <v>1.9</v>
      </c>
      <c r="J955">
        <v>2.5299999999999998</v>
      </c>
      <c r="K955">
        <v>3.03</v>
      </c>
      <c r="M955" s="3"/>
      <c r="N955" s="17"/>
      <c r="O955" s="17"/>
      <c r="P955" s="17"/>
      <c r="Q955" s="17"/>
      <c r="R955" s="17"/>
      <c r="S955" s="17"/>
      <c r="T955" s="17"/>
      <c r="U955" s="17"/>
      <c r="V955" s="17"/>
      <c r="AE955" s="2"/>
      <c r="AQ955" s="2"/>
      <c r="AR955" s="2"/>
      <c r="AS955" s="2"/>
      <c r="AT955" s="2"/>
      <c r="AU955" s="2"/>
      <c r="AV955" s="2"/>
      <c r="AW955" s="2"/>
      <c r="AX955" s="2"/>
      <c r="AY955" s="2"/>
    </row>
    <row r="956" spans="1:51" x14ac:dyDescent="0.25">
      <c r="A956" s="24">
        <v>44383</v>
      </c>
      <c r="B956" s="1">
        <v>44383</v>
      </c>
      <c r="C956">
        <v>1.03</v>
      </c>
      <c r="D956">
        <v>1.1599999999999999</v>
      </c>
      <c r="E956">
        <v>1.29</v>
      </c>
      <c r="F956">
        <v>1.43</v>
      </c>
      <c r="G956">
        <v>1.59</v>
      </c>
      <c r="H956">
        <v>1.66</v>
      </c>
      <c r="I956">
        <v>1.88</v>
      </c>
      <c r="J956">
        <v>2.54</v>
      </c>
      <c r="K956">
        <v>2.94</v>
      </c>
      <c r="M956" s="3"/>
      <c r="N956" s="17"/>
      <c r="O956" s="17"/>
      <c r="P956" s="17"/>
      <c r="Q956" s="17"/>
      <c r="R956" s="17"/>
      <c r="S956" s="17"/>
      <c r="T956" s="17"/>
      <c r="U956" s="17"/>
      <c r="V956" s="17"/>
      <c r="AE956" s="2"/>
      <c r="AQ956" s="2"/>
      <c r="AR956" s="2"/>
      <c r="AS956" s="2"/>
      <c r="AT956" s="2"/>
      <c r="AU956" s="2"/>
      <c r="AV956" s="2"/>
      <c r="AW956" s="2"/>
      <c r="AX956" s="2"/>
      <c r="AY956" s="2"/>
    </row>
    <row r="957" spans="1:51" x14ac:dyDescent="0.25">
      <c r="A957" s="24">
        <v>44382</v>
      </c>
      <c r="B957" s="1">
        <v>44382</v>
      </c>
      <c r="C957">
        <v>1.08</v>
      </c>
      <c r="D957">
        <v>1.21</v>
      </c>
      <c r="E957">
        <v>1.31</v>
      </c>
      <c r="F957">
        <v>1.46</v>
      </c>
      <c r="G957">
        <v>1.62</v>
      </c>
      <c r="H957">
        <v>1.69</v>
      </c>
      <c r="I957">
        <v>1.9</v>
      </c>
      <c r="J957">
        <v>2.56</v>
      </c>
      <c r="K957">
        <v>3.09</v>
      </c>
      <c r="M957" s="3"/>
      <c r="N957" s="17"/>
      <c r="O957" s="17"/>
      <c r="P957" s="17"/>
      <c r="Q957" s="17"/>
      <c r="R957" s="17"/>
      <c r="S957" s="17"/>
      <c r="T957" s="17"/>
      <c r="U957" s="17"/>
      <c r="V957" s="17"/>
      <c r="AE957" s="2"/>
      <c r="AQ957" s="2"/>
      <c r="AR957" s="2"/>
      <c r="AS957" s="2"/>
      <c r="AT957" s="2"/>
      <c r="AU957" s="2"/>
      <c r="AV957" s="2"/>
      <c r="AW957" s="2"/>
      <c r="AX957" s="2"/>
      <c r="AY957" s="2"/>
    </row>
    <row r="958" spans="1:51" x14ac:dyDescent="0.25">
      <c r="A958" s="24">
        <v>44379</v>
      </c>
      <c r="B958" s="1">
        <v>44379</v>
      </c>
      <c r="C958">
        <v>1.1200000000000001</v>
      </c>
      <c r="D958">
        <v>1.32</v>
      </c>
      <c r="E958">
        <v>1.41</v>
      </c>
      <c r="F958">
        <v>1.53</v>
      </c>
      <c r="G958">
        <v>1.67</v>
      </c>
      <c r="H958">
        <v>1.77</v>
      </c>
      <c r="I958">
        <v>1.91</v>
      </c>
      <c r="J958">
        <v>2.5099999999999998</v>
      </c>
      <c r="K958">
        <v>2.94</v>
      </c>
      <c r="M958" s="3"/>
      <c r="N958" s="17"/>
      <c r="O958" s="17"/>
      <c r="P958" s="17"/>
      <c r="Q958" s="17"/>
      <c r="R958" s="17"/>
      <c r="S958" s="17"/>
      <c r="T958" s="17"/>
      <c r="U958" s="17"/>
      <c r="V958" s="17"/>
      <c r="AE958" s="2"/>
      <c r="AQ958" s="2"/>
      <c r="AR958" s="2"/>
      <c r="AS958" s="2"/>
      <c r="AT958" s="2"/>
      <c r="AU958" s="2"/>
      <c r="AV958" s="2"/>
      <c r="AW958" s="2"/>
      <c r="AX958" s="2"/>
      <c r="AY958" s="2"/>
    </row>
    <row r="959" spans="1:51" x14ac:dyDescent="0.25">
      <c r="A959" s="24">
        <v>44378</v>
      </c>
      <c r="B959" s="1">
        <v>44378</v>
      </c>
      <c r="C959">
        <v>1.1299999999999999</v>
      </c>
      <c r="D959">
        <v>1.3</v>
      </c>
      <c r="E959">
        <v>1.42</v>
      </c>
      <c r="F959">
        <v>1.52</v>
      </c>
      <c r="G959">
        <v>1.67</v>
      </c>
      <c r="H959">
        <v>1.73</v>
      </c>
      <c r="I959">
        <v>1.91</v>
      </c>
      <c r="J959">
        <v>2.5</v>
      </c>
      <c r="K959">
        <v>2.78</v>
      </c>
      <c r="M959" s="3"/>
      <c r="N959" s="17"/>
      <c r="O959" s="17"/>
      <c r="P959" s="17"/>
      <c r="Q959" s="17"/>
      <c r="R959" s="17"/>
      <c r="S959" s="17"/>
      <c r="T959" s="17"/>
      <c r="U959" s="17"/>
      <c r="V959" s="17"/>
      <c r="AE959" s="2"/>
      <c r="AQ959" s="2"/>
      <c r="AR959" s="2"/>
      <c r="AS959" s="2"/>
      <c r="AT959" s="2"/>
      <c r="AU959" s="2"/>
      <c r="AV959" s="2"/>
      <c r="AW959" s="2"/>
      <c r="AX959" s="2"/>
      <c r="AY959" s="2"/>
    </row>
    <row r="960" spans="1:51" x14ac:dyDescent="0.25">
      <c r="A960" s="24">
        <v>44377</v>
      </c>
      <c r="B960" s="1">
        <v>44377</v>
      </c>
      <c r="C960">
        <v>1.1399999999999999</v>
      </c>
      <c r="D960">
        <v>1.34</v>
      </c>
      <c r="E960">
        <v>1.44</v>
      </c>
      <c r="F960">
        <v>1.54</v>
      </c>
      <c r="G960">
        <v>1.68</v>
      </c>
      <c r="H960">
        <v>1.73</v>
      </c>
      <c r="I960">
        <v>1.88</v>
      </c>
      <c r="J960">
        <v>2.58</v>
      </c>
      <c r="K960">
        <v>3.03</v>
      </c>
      <c r="M960" s="3"/>
      <c r="N960" s="17"/>
      <c r="O960" s="17"/>
      <c r="P960" s="17"/>
      <c r="Q960" s="17"/>
      <c r="R960" s="17"/>
      <c r="S960" s="17"/>
      <c r="T960" s="17"/>
      <c r="U960" s="17"/>
      <c r="V960" s="17"/>
      <c r="AE960" s="2"/>
      <c r="AQ960" s="2"/>
      <c r="AR960" s="2"/>
      <c r="AS960" s="2"/>
      <c r="AT960" s="2"/>
      <c r="AU960" s="2"/>
      <c r="AV960" s="2"/>
      <c r="AW960" s="2"/>
      <c r="AX960" s="2"/>
      <c r="AY960" s="2"/>
    </row>
    <row r="961" spans="1:51" x14ac:dyDescent="0.25">
      <c r="A961" s="24">
        <v>44376</v>
      </c>
      <c r="B961" s="1">
        <v>44376</v>
      </c>
      <c r="C961">
        <v>1.1399999999999999</v>
      </c>
      <c r="D961">
        <v>1.4</v>
      </c>
      <c r="E961">
        <v>1.51</v>
      </c>
      <c r="F961">
        <v>1.59</v>
      </c>
      <c r="G961">
        <v>1.69</v>
      </c>
      <c r="H961">
        <v>1.76</v>
      </c>
      <c r="I961">
        <v>1.89</v>
      </c>
      <c r="J961">
        <v>2.57</v>
      </c>
      <c r="K961">
        <v>3.03</v>
      </c>
      <c r="M961" s="3"/>
      <c r="N961" s="17"/>
      <c r="O961" s="17"/>
      <c r="P961" s="17"/>
      <c r="Q961" s="17"/>
      <c r="R961" s="17"/>
      <c r="S961" s="17"/>
      <c r="T961" s="17"/>
      <c r="U961" s="17"/>
      <c r="V961" s="17"/>
      <c r="AE961" s="2"/>
      <c r="AQ961" s="2"/>
      <c r="AR961" s="2"/>
      <c r="AS961" s="2"/>
      <c r="AT961" s="2"/>
      <c r="AU961" s="2"/>
      <c r="AV961" s="2"/>
      <c r="AW961" s="2"/>
      <c r="AX961" s="2"/>
      <c r="AY961" s="2"/>
    </row>
    <row r="962" spans="1:51" x14ac:dyDescent="0.25">
      <c r="A962" s="24">
        <v>44375</v>
      </c>
      <c r="B962" s="1">
        <v>44375</v>
      </c>
      <c r="C962">
        <v>1.25</v>
      </c>
      <c r="D962">
        <v>1.43</v>
      </c>
      <c r="E962">
        <v>1.53</v>
      </c>
      <c r="F962">
        <v>1.6</v>
      </c>
      <c r="G962">
        <v>1.67</v>
      </c>
      <c r="H962">
        <v>1.76</v>
      </c>
      <c r="I962">
        <v>1.88</v>
      </c>
      <c r="J962">
        <v>2.5099999999999998</v>
      </c>
      <c r="K962">
        <v>2.89</v>
      </c>
      <c r="M962" s="3"/>
      <c r="N962" s="17"/>
      <c r="O962" s="17"/>
      <c r="P962" s="17"/>
      <c r="Q962" s="17"/>
      <c r="R962" s="17"/>
      <c r="S962" s="17"/>
      <c r="T962" s="17"/>
      <c r="U962" s="17"/>
      <c r="V962" s="17"/>
      <c r="AE962" s="2"/>
      <c r="AQ962" s="2"/>
      <c r="AR962" s="2"/>
      <c r="AS962" s="2"/>
      <c r="AT962" s="2"/>
      <c r="AU962" s="2"/>
      <c r="AV962" s="2"/>
      <c r="AW962" s="2"/>
      <c r="AX962" s="2"/>
      <c r="AY962" s="2"/>
    </row>
    <row r="963" spans="1:51" x14ac:dyDescent="0.25">
      <c r="A963" s="24">
        <v>44372</v>
      </c>
      <c r="B963" s="1">
        <v>44372</v>
      </c>
      <c r="C963">
        <v>1.2</v>
      </c>
      <c r="D963">
        <v>1.32</v>
      </c>
      <c r="E963">
        <v>1.41</v>
      </c>
      <c r="F963">
        <v>1.54</v>
      </c>
      <c r="G963">
        <v>1.66</v>
      </c>
      <c r="H963">
        <v>1.75</v>
      </c>
      <c r="I963">
        <v>1.9</v>
      </c>
      <c r="J963">
        <v>2.58</v>
      </c>
      <c r="K963">
        <v>3.03</v>
      </c>
      <c r="M963" s="3"/>
      <c r="N963" s="17"/>
      <c r="O963" s="17"/>
      <c r="P963" s="17"/>
      <c r="Q963" s="17"/>
      <c r="R963" s="17"/>
      <c r="S963" s="17"/>
      <c r="T963" s="17"/>
      <c r="U963" s="17"/>
      <c r="V963" s="17"/>
      <c r="AE963" s="2"/>
      <c r="AQ963" s="2"/>
      <c r="AR963" s="2"/>
      <c r="AS963" s="2"/>
      <c r="AT963" s="2"/>
      <c r="AU963" s="2"/>
      <c r="AV963" s="2"/>
      <c r="AW963" s="2"/>
      <c r="AX963" s="2"/>
      <c r="AY963" s="2"/>
    </row>
    <row r="964" spans="1:51" x14ac:dyDescent="0.25">
      <c r="A964" s="24">
        <v>44371</v>
      </c>
      <c r="B964" s="1">
        <v>44371</v>
      </c>
      <c r="C964">
        <v>1.21</v>
      </c>
      <c r="D964">
        <v>1.39</v>
      </c>
      <c r="E964">
        <v>1.45</v>
      </c>
      <c r="F964">
        <v>1.59</v>
      </c>
      <c r="G964">
        <v>1.68</v>
      </c>
      <c r="H964">
        <v>1.76</v>
      </c>
      <c r="I964">
        <v>1.94</v>
      </c>
      <c r="J964">
        <v>2.57</v>
      </c>
      <c r="K964">
        <v>3.03</v>
      </c>
      <c r="M964" s="3"/>
      <c r="N964" s="17"/>
      <c r="O964" s="17"/>
      <c r="P964" s="17"/>
      <c r="Q964" s="17"/>
      <c r="R964" s="17"/>
      <c r="S964" s="17"/>
      <c r="T964" s="17"/>
      <c r="U964" s="17"/>
      <c r="V964" s="17"/>
      <c r="AE964" s="2"/>
      <c r="AQ964" s="2"/>
      <c r="AR964" s="2"/>
      <c r="AS964" s="2"/>
      <c r="AT964" s="2"/>
      <c r="AU964" s="2"/>
      <c r="AV964" s="2"/>
      <c r="AW964" s="2"/>
      <c r="AX964" s="2"/>
      <c r="AY964" s="2"/>
    </row>
    <row r="965" spans="1:51" x14ac:dyDescent="0.25">
      <c r="A965" s="24">
        <v>44370</v>
      </c>
      <c r="B965" s="1">
        <v>44370</v>
      </c>
      <c r="C965">
        <v>1.1000000000000001</v>
      </c>
      <c r="D965">
        <v>1.33</v>
      </c>
      <c r="E965">
        <v>1.43</v>
      </c>
      <c r="F965">
        <v>1.55</v>
      </c>
      <c r="G965">
        <v>1.59</v>
      </c>
      <c r="H965">
        <v>1.68</v>
      </c>
      <c r="I965">
        <v>2.0299999999999998</v>
      </c>
      <c r="J965">
        <v>2.71</v>
      </c>
      <c r="K965">
        <v>3.18</v>
      </c>
      <c r="M965" s="3"/>
      <c r="N965" s="17"/>
      <c r="O965" s="17"/>
      <c r="P965" s="17"/>
      <c r="Q965" s="17"/>
      <c r="R965" s="17"/>
      <c r="S965" s="17"/>
      <c r="T965" s="17"/>
      <c r="U965" s="17"/>
      <c r="V965" s="17"/>
      <c r="AE965" s="2"/>
      <c r="AQ965" s="2"/>
      <c r="AR965" s="2"/>
      <c r="AS965" s="2"/>
      <c r="AT965" s="2"/>
      <c r="AU965" s="2"/>
      <c r="AV965" s="2"/>
      <c r="AW965" s="2"/>
      <c r="AX965" s="2"/>
      <c r="AY965" s="2"/>
    </row>
    <row r="966" spans="1:51" x14ac:dyDescent="0.25">
      <c r="A966" s="24">
        <v>44369</v>
      </c>
      <c r="B966" s="1">
        <v>44369</v>
      </c>
      <c r="C966">
        <v>1.1200000000000001</v>
      </c>
      <c r="D966">
        <v>1.28</v>
      </c>
      <c r="E966">
        <v>1.37</v>
      </c>
      <c r="F966">
        <v>1.5</v>
      </c>
      <c r="G966">
        <v>1.65</v>
      </c>
      <c r="H966">
        <v>1.75</v>
      </c>
      <c r="I966">
        <v>1.96</v>
      </c>
      <c r="J966">
        <v>2.6</v>
      </c>
      <c r="K966">
        <v>3.05</v>
      </c>
      <c r="M966" s="3"/>
      <c r="N966" s="17"/>
      <c r="O966" s="17"/>
      <c r="P966" s="17"/>
      <c r="Q966" s="17"/>
      <c r="R966" s="17"/>
      <c r="S966" s="17"/>
      <c r="T966" s="17"/>
      <c r="U966" s="17"/>
      <c r="V966" s="17"/>
      <c r="AE966" s="2"/>
      <c r="AQ966" s="2"/>
      <c r="AR966" s="2"/>
      <c r="AS966" s="2"/>
      <c r="AT966" s="2"/>
      <c r="AU966" s="2"/>
      <c r="AV966" s="2"/>
      <c r="AW966" s="2"/>
      <c r="AX966" s="2"/>
      <c r="AY966" s="2"/>
    </row>
    <row r="967" spans="1:51" x14ac:dyDescent="0.25">
      <c r="A967" s="24">
        <v>44368</v>
      </c>
      <c r="B967" s="1">
        <v>44368</v>
      </c>
      <c r="C967">
        <v>1.1000000000000001</v>
      </c>
      <c r="D967">
        <v>1.26</v>
      </c>
      <c r="E967">
        <v>1.35</v>
      </c>
      <c r="F967">
        <v>1.48</v>
      </c>
      <c r="G967">
        <v>1.63</v>
      </c>
      <c r="H967">
        <v>1.75</v>
      </c>
      <c r="I967">
        <v>1.93</v>
      </c>
      <c r="J967">
        <v>2.5299999999999998</v>
      </c>
      <c r="K967">
        <v>2.8</v>
      </c>
      <c r="M967" s="3"/>
      <c r="N967" s="17"/>
      <c r="O967" s="17"/>
      <c r="P967" s="17"/>
      <c r="Q967" s="17"/>
      <c r="R967" s="17"/>
      <c r="S967" s="17"/>
      <c r="T967" s="17"/>
      <c r="U967" s="17"/>
      <c r="V967" s="17"/>
      <c r="AE967" s="2"/>
      <c r="AQ967" s="2"/>
      <c r="AR967" s="2"/>
      <c r="AS967" s="2"/>
      <c r="AT967" s="2"/>
      <c r="AU967" s="2"/>
      <c r="AV967" s="2"/>
      <c r="AW967" s="2"/>
      <c r="AX967" s="2"/>
      <c r="AY967" s="2"/>
    </row>
    <row r="968" spans="1:51" x14ac:dyDescent="0.25">
      <c r="A968" s="24">
        <v>44365</v>
      </c>
      <c r="B968" s="1">
        <v>44365</v>
      </c>
      <c r="C968">
        <v>1.07</v>
      </c>
      <c r="D968">
        <v>1.25</v>
      </c>
      <c r="E968">
        <v>1.35</v>
      </c>
      <c r="F968">
        <v>1.53</v>
      </c>
      <c r="G968">
        <v>1.67</v>
      </c>
      <c r="H968">
        <v>1.79</v>
      </c>
      <c r="I968">
        <v>1.89</v>
      </c>
      <c r="J968">
        <v>2.5299999999999998</v>
      </c>
      <c r="K968">
        <v>2.89</v>
      </c>
      <c r="M968" s="3"/>
      <c r="N968" s="17"/>
      <c r="O968" s="17"/>
      <c r="P968" s="17"/>
      <c r="Q968" s="17"/>
      <c r="R968" s="17"/>
      <c r="S968" s="17"/>
      <c r="T968" s="17"/>
      <c r="U968" s="17"/>
      <c r="V968" s="17"/>
      <c r="AE968" s="2"/>
      <c r="AQ968" s="2"/>
      <c r="AR968" s="2"/>
      <c r="AS968" s="2"/>
      <c r="AT968" s="2"/>
      <c r="AU968" s="2"/>
      <c r="AV968" s="2"/>
      <c r="AW968" s="2"/>
      <c r="AX968" s="2"/>
      <c r="AY968" s="2"/>
    </row>
    <row r="969" spans="1:51" x14ac:dyDescent="0.25">
      <c r="A969" s="24">
        <v>44364</v>
      </c>
      <c r="B969" s="1">
        <v>44364</v>
      </c>
      <c r="C969">
        <v>1.02</v>
      </c>
      <c r="D969">
        <v>1.2</v>
      </c>
      <c r="E969">
        <v>1.29</v>
      </c>
      <c r="F969">
        <v>1.44</v>
      </c>
      <c r="G969">
        <v>1.64</v>
      </c>
      <c r="H969">
        <v>1.75</v>
      </c>
      <c r="I969">
        <v>1.89</v>
      </c>
      <c r="J969">
        <v>2.58</v>
      </c>
      <c r="K969">
        <v>2.87</v>
      </c>
      <c r="M969" s="3"/>
      <c r="N969" s="17"/>
      <c r="O969" s="17"/>
      <c r="P969" s="17"/>
      <c r="Q969" s="17"/>
      <c r="R969" s="17"/>
      <c r="S969" s="17"/>
      <c r="T969" s="17"/>
      <c r="U969" s="17"/>
      <c r="V969" s="17"/>
      <c r="AE969" s="2"/>
      <c r="AQ969" s="2"/>
      <c r="AR969" s="2"/>
      <c r="AS969" s="2"/>
      <c r="AT969" s="2"/>
      <c r="AU969" s="2"/>
      <c r="AV969" s="2"/>
      <c r="AW969" s="2"/>
      <c r="AX969" s="2"/>
      <c r="AY969" s="2"/>
    </row>
    <row r="970" spans="1:51" x14ac:dyDescent="0.25">
      <c r="A970" s="24">
        <v>44363</v>
      </c>
      <c r="B970" s="1">
        <v>44363</v>
      </c>
      <c r="C970">
        <v>1.02</v>
      </c>
      <c r="D970">
        <v>1.22</v>
      </c>
      <c r="E970">
        <v>1.33</v>
      </c>
      <c r="F970">
        <v>1.5</v>
      </c>
      <c r="G970">
        <v>1.66</v>
      </c>
      <c r="H970">
        <v>1.76</v>
      </c>
      <c r="I970">
        <v>1.93</v>
      </c>
      <c r="J970">
        <v>2.5299999999999998</v>
      </c>
      <c r="K970">
        <v>2.8</v>
      </c>
      <c r="M970" s="3"/>
      <c r="N970" s="17"/>
      <c r="O970" s="17"/>
      <c r="P970" s="17"/>
      <c r="Q970" s="17"/>
      <c r="R970" s="17"/>
      <c r="S970" s="17"/>
      <c r="T970" s="17"/>
      <c r="U970" s="17"/>
      <c r="V970" s="17"/>
      <c r="AE970" s="2"/>
      <c r="AQ970" s="2"/>
      <c r="AR970" s="2"/>
      <c r="AS970" s="2"/>
      <c r="AT970" s="2"/>
      <c r="AU970" s="2"/>
      <c r="AV970" s="2"/>
      <c r="AW970" s="2"/>
      <c r="AX970" s="2"/>
      <c r="AY970" s="2"/>
    </row>
    <row r="971" spans="1:51" x14ac:dyDescent="0.25">
      <c r="A971" s="24">
        <v>44362</v>
      </c>
      <c r="B971" s="1">
        <v>44362</v>
      </c>
      <c r="C971">
        <v>1.04</v>
      </c>
      <c r="D971">
        <v>1.23</v>
      </c>
      <c r="E971">
        <v>1.32</v>
      </c>
      <c r="F971">
        <v>1.53</v>
      </c>
      <c r="G971">
        <v>1.68</v>
      </c>
      <c r="H971">
        <v>1.79</v>
      </c>
      <c r="I971">
        <v>1.94</v>
      </c>
      <c r="J971">
        <v>2.54</v>
      </c>
      <c r="K971">
        <v>2.87</v>
      </c>
      <c r="M971" s="3"/>
      <c r="N971" s="17"/>
      <c r="O971" s="17"/>
      <c r="P971" s="17"/>
      <c r="Q971" s="17"/>
      <c r="R971" s="17"/>
      <c r="S971" s="17"/>
      <c r="T971" s="17"/>
      <c r="U971" s="17"/>
      <c r="V971" s="17"/>
      <c r="AE971" s="2"/>
      <c r="AQ971" s="2"/>
      <c r="AR971" s="2"/>
      <c r="AS971" s="2"/>
      <c r="AT971" s="2"/>
      <c r="AU971" s="2"/>
      <c r="AV971" s="2"/>
      <c r="AW971" s="2"/>
      <c r="AX971" s="2"/>
      <c r="AY971" s="2"/>
    </row>
    <row r="972" spans="1:51" x14ac:dyDescent="0.25">
      <c r="A972" s="24">
        <v>44361</v>
      </c>
      <c r="B972" s="1">
        <v>44361</v>
      </c>
      <c r="C972">
        <v>1.04</v>
      </c>
      <c r="D972">
        <v>1.23</v>
      </c>
      <c r="E972">
        <v>1.32</v>
      </c>
      <c r="F972">
        <v>1.52</v>
      </c>
      <c r="G972">
        <v>1.66</v>
      </c>
      <c r="H972">
        <v>1.78</v>
      </c>
      <c r="I972">
        <v>1.94</v>
      </c>
      <c r="J972">
        <v>2.54</v>
      </c>
      <c r="K972">
        <v>3.01</v>
      </c>
      <c r="M972" s="3"/>
      <c r="N972" s="17"/>
      <c r="O972" s="17"/>
      <c r="P972" s="17"/>
      <c r="Q972" s="17"/>
      <c r="R972" s="17"/>
      <c r="S972" s="17"/>
      <c r="T972" s="17"/>
      <c r="U972" s="17"/>
      <c r="V972" s="17"/>
      <c r="AE972" s="2"/>
      <c r="AQ972" s="2"/>
      <c r="AR972" s="2"/>
      <c r="AS972" s="2"/>
      <c r="AT972" s="2"/>
      <c r="AU972" s="2"/>
      <c r="AV972" s="2"/>
      <c r="AW972" s="2"/>
      <c r="AX972" s="2"/>
      <c r="AY972" s="2"/>
    </row>
    <row r="973" spans="1:51" x14ac:dyDescent="0.25">
      <c r="A973" s="24">
        <v>44358</v>
      </c>
      <c r="B973" s="1">
        <v>44358</v>
      </c>
      <c r="C973">
        <v>1.03</v>
      </c>
      <c r="D973">
        <v>1.2</v>
      </c>
      <c r="E973">
        <v>1.33</v>
      </c>
      <c r="F973">
        <v>1.53</v>
      </c>
      <c r="G973">
        <v>1.68</v>
      </c>
      <c r="H973">
        <v>1.78</v>
      </c>
      <c r="I973">
        <v>1.93</v>
      </c>
      <c r="J973">
        <v>2.54</v>
      </c>
      <c r="K973">
        <v>2.98</v>
      </c>
      <c r="M973" s="3"/>
      <c r="N973" s="17"/>
      <c r="O973" s="17"/>
      <c r="P973" s="17"/>
      <c r="Q973" s="17"/>
      <c r="R973" s="17"/>
      <c r="S973" s="17"/>
      <c r="T973" s="17"/>
      <c r="U973" s="17"/>
      <c r="V973" s="17"/>
      <c r="AE973" s="2"/>
      <c r="AQ973" s="2"/>
      <c r="AR973" s="2"/>
      <c r="AS973" s="2"/>
      <c r="AT973" s="2"/>
      <c r="AU973" s="2"/>
      <c r="AV973" s="2"/>
      <c r="AW973" s="2"/>
      <c r="AX973" s="2"/>
      <c r="AY973" s="2"/>
    </row>
    <row r="974" spans="1:51" x14ac:dyDescent="0.25">
      <c r="A974" s="24">
        <v>44357</v>
      </c>
      <c r="B974" s="1">
        <v>44357</v>
      </c>
      <c r="C974">
        <v>1</v>
      </c>
      <c r="D974">
        <v>1.2</v>
      </c>
      <c r="E974">
        <v>1.28</v>
      </c>
      <c r="F974">
        <v>1.51</v>
      </c>
      <c r="G974">
        <v>1.65</v>
      </c>
      <c r="H974">
        <v>1.76</v>
      </c>
      <c r="I974">
        <v>1.95</v>
      </c>
      <c r="J974">
        <v>2.5299999999999998</v>
      </c>
      <c r="K974">
        <v>2.84</v>
      </c>
      <c r="M974" s="3"/>
      <c r="N974" s="17"/>
      <c r="O974" s="17"/>
      <c r="P974" s="17"/>
      <c r="Q974" s="17"/>
      <c r="R974" s="17"/>
      <c r="S974" s="17"/>
      <c r="T974" s="17"/>
      <c r="U974" s="17"/>
      <c r="V974" s="17"/>
      <c r="AE974" s="2"/>
      <c r="AQ974" s="2"/>
      <c r="AR974" s="2"/>
      <c r="AS974" s="2"/>
      <c r="AT974" s="2"/>
      <c r="AU974" s="2"/>
      <c r="AV974" s="2"/>
      <c r="AW974" s="2"/>
      <c r="AX974" s="2"/>
      <c r="AY974" s="2"/>
    </row>
    <row r="975" spans="1:51" x14ac:dyDescent="0.25">
      <c r="A975" s="24">
        <v>44356</v>
      </c>
      <c r="B975" s="1">
        <v>44356</v>
      </c>
      <c r="C975">
        <v>1.1299999999999999</v>
      </c>
      <c r="D975">
        <v>1.31</v>
      </c>
      <c r="E975">
        <v>1.41</v>
      </c>
      <c r="F975">
        <v>1.59</v>
      </c>
      <c r="G975">
        <v>1.74</v>
      </c>
      <c r="H975">
        <v>1.81</v>
      </c>
      <c r="I975">
        <v>1.91</v>
      </c>
      <c r="J975">
        <v>2.5299999999999998</v>
      </c>
      <c r="K975">
        <v>2.87</v>
      </c>
      <c r="M975" s="3"/>
      <c r="N975" s="17"/>
      <c r="O975" s="17"/>
      <c r="P975" s="17"/>
      <c r="Q975" s="17"/>
      <c r="R975" s="17"/>
      <c r="S975" s="17"/>
      <c r="T975" s="17"/>
      <c r="U975" s="17"/>
      <c r="V975" s="17"/>
      <c r="AE975" s="2"/>
      <c r="AQ975" s="2"/>
      <c r="AR975" s="2"/>
      <c r="AS975" s="2"/>
      <c r="AT975" s="2"/>
      <c r="AU975" s="2"/>
      <c r="AV975" s="2"/>
      <c r="AW975" s="2"/>
      <c r="AX975" s="2"/>
      <c r="AY975" s="2"/>
    </row>
    <row r="976" spans="1:51" x14ac:dyDescent="0.25">
      <c r="A976" s="24">
        <v>44355</v>
      </c>
      <c r="B976" s="1">
        <v>44355</v>
      </c>
      <c r="C976">
        <v>1.1499999999999999</v>
      </c>
      <c r="D976">
        <v>1.37</v>
      </c>
      <c r="E976">
        <v>1.47</v>
      </c>
      <c r="F976">
        <v>1.6</v>
      </c>
      <c r="G976">
        <v>1.73</v>
      </c>
      <c r="H976">
        <v>1.8</v>
      </c>
      <c r="I976">
        <v>1.95</v>
      </c>
      <c r="J976">
        <v>2.54</v>
      </c>
      <c r="K976">
        <v>2.99</v>
      </c>
      <c r="M976" s="3"/>
      <c r="N976" s="17"/>
      <c r="O976" s="17"/>
      <c r="P976" s="17"/>
      <c r="Q976" s="17"/>
      <c r="R976" s="17"/>
      <c r="S976" s="17"/>
      <c r="T976" s="17"/>
      <c r="U976" s="17"/>
      <c r="V976" s="17"/>
      <c r="AE976" s="2"/>
      <c r="AQ976" s="2"/>
      <c r="AR976" s="2"/>
      <c r="AS976" s="2"/>
      <c r="AT976" s="2"/>
      <c r="AU976" s="2"/>
      <c r="AV976" s="2"/>
      <c r="AW976" s="2"/>
      <c r="AX976" s="2"/>
      <c r="AY976" s="2"/>
    </row>
    <row r="977" spans="1:51" x14ac:dyDescent="0.25">
      <c r="A977" s="24">
        <v>44354</v>
      </c>
      <c r="B977" s="1">
        <v>44354</v>
      </c>
      <c r="C977">
        <v>1.3</v>
      </c>
      <c r="D977">
        <v>1.49</v>
      </c>
      <c r="E977">
        <v>1.59</v>
      </c>
      <c r="F977">
        <v>1.69</v>
      </c>
      <c r="G977">
        <v>1.79</v>
      </c>
      <c r="H977">
        <v>1.84</v>
      </c>
      <c r="I977">
        <v>2.06</v>
      </c>
      <c r="J977">
        <v>2.58</v>
      </c>
      <c r="K977">
        <v>3.09</v>
      </c>
      <c r="M977" s="3"/>
      <c r="N977" s="17"/>
      <c r="O977" s="17"/>
      <c r="P977" s="17"/>
      <c r="Q977" s="17"/>
      <c r="R977" s="17"/>
      <c r="S977" s="17"/>
      <c r="T977" s="17"/>
      <c r="U977" s="17"/>
      <c r="V977" s="17"/>
      <c r="AE977" s="2"/>
      <c r="AQ977" s="2"/>
      <c r="AR977" s="2"/>
      <c r="AS977" s="2"/>
      <c r="AT977" s="2"/>
      <c r="AU977" s="2"/>
      <c r="AV977" s="2"/>
      <c r="AW977" s="2"/>
      <c r="AX977" s="2"/>
      <c r="AY977" s="2"/>
    </row>
    <row r="978" spans="1:51" x14ac:dyDescent="0.25">
      <c r="A978" s="24">
        <v>44351</v>
      </c>
      <c r="B978" s="1">
        <v>44351</v>
      </c>
      <c r="C978">
        <v>1.37</v>
      </c>
      <c r="D978">
        <v>1.5</v>
      </c>
      <c r="E978">
        <v>1.59</v>
      </c>
      <c r="F978">
        <v>1.69</v>
      </c>
      <c r="G978">
        <v>1.76</v>
      </c>
      <c r="H978">
        <v>1.82</v>
      </c>
      <c r="I978">
        <v>2.0299999999999998</v>
      </c>
      <c r="J978">
        <v>2.6</v>
      </c>
      <c r="K978">
        <v>3.09</v>
      </c>
      <c r="M978" s="3"/>
      <c r="N978" s="17"/>
      <c r="O978" s="17"/>
      <c r="P978" s="17"/>
      <c r="Q978" s="17"/>
      <c r="R978" s="17"/>
      <c r="S978" s="17"/>
      <c r="T978" s="17"/>
      <c r="U978" s="17"/>
      <c r="V978" s="17"/>
      <c r="AE978" s="2"/>
      <c r="AQ978" s="2"/>
      <c r="AR978" s="2"/>
      <c r="AS978" s="2"/>
      <c r="AT978" s="2"/>
      <c r="AU978" s="2"/>
      <c r="AV978" s="2"/>
      <c r="AW978" s="2"/>
      <c r="AX978" s="2"/>
      <c r="AY978" s="2"/>
    </row>
    <row r="979" spans="1:51" x14ac:dyDescent="0.25">
      <c r="A979" s="24">
        <v>44350</v>
      </c>
      <c r="B979" s="1">
        <v>44350</v>
      </c>
      <c r="C979">
        <v>1.34</v>
      </c>
      <c r="D979">
        <v>1.5</v>
      </c>
      <c r="E979">
        <v>1.62</v>
      </c>
      <c r="F979">
        <v>1.68</v>
      </c>
      <c r="G979">
        <v>1.8</v>
      </c>
      <c r="H979">
        <v>1.82</v>
      </c>
      <c r="I979">
        <v>1.98</v>
      </c>
      <c r="J979">
        <v>2.56</v>
      </c>
      <c r="K979">
        <v>2.99</v>
      </c>
      <c r="M979" s="3"/>
      <c r="N979" s="17"/>
      <c r="O979" s="17"/>
      <c r="P979" s="17"/>
      <c r="Q979" s="17"/>
      <c r="R979" s="17"/>
      <c r="S979" s="17"/>
      <c r="T979" s="17"/>
      <c r="U979" s="17"/>
      <c r="V979" s="17"/>
      <c r="AE979" s="2"/>
      <c r="AQ979" s="2"/>
      <c r="AR979" s="2"/>
      <c r="AS979" s="2"/>
      <c r="AT979" s="2"/>
      <c r="AU979" s="2"/>
      <c r="AV979" s="2"/>
      <c r="AW979" s="2"/>
      <c r="AX979" s="2"/>
      <c r="AY979" s="2"/>
    </row>
    <row r="980" spans="1:51" x14ac:dyDescent="0.25">
      <c r="A980" s="24">
        <v>44349</v>
      </c>
      <c r="B980" s="1">
        <v>44349</v>
      </c>
      <c r="C980">
        <v>1.44</v>
      </c>
      <c r="D980">
        <v>1.54</v>
      </c>
      <c r="E980">
        <v>1.6</v>
      </c>
      <c r="F980">
        <v>1.68</v>
      </c>
      <c r="G980">
        <v>1.8</v>
      </c>
      <c r="H980">
        <v>1.82</v>
      </c>
      <c r="I980">
        <v>1.98</v>
      </c>
      <c r="J980">
        <v>2.5299999999999998</v>
      </c>
      <c r="K980">
        <v>2.94</v>
      </c>
      <c r="M980" s="3"/>
      <c r="N980" s="17"/>
      <c r="O980" s="17"/>
      <c r="P980" s="17"/>
      <c r="Q980" s="17"/>
      <c r="R980" s="17"/>
      <c r="S980" s="17"/>
      <c r="T980" s="17"/>
      <c r="U980" s="17"/>
      <c r="V980" s="17"/>
      <c r="AE980" s="2"/>
      <c r="AQ980" s="2"/>
      <c r="AR980" s="2"/>
      <c r="AS980" s="2"/>
      <c r="AT980" s="2"/>
      <c r="AU980" s="2"/>
      <c r="AV980" s="2"/>
      <c r="AW980" s="2"/>
      <c r="AX980" s="2"/>
      <c r="AY980" s="2"/>
    </row>
    <row r="981" spans="1:51" x14ac:dyDescent="0.25">
      <c r="A981" s="24">
        <v>44348</v>
      </c>
      <c r="B981" s="1">
        <v>44348</v>
      </c>
      <c r="C981">
        <v>1.48</v>
      </c>
      <c r="D981">
        <v>1.54</v>
      </c>
      <c r="E981">
        <v>1.6</v>
      </c>
      <c r="F981">
        <v>1.68</v>
      </c>
      <c r="G981">
        <v>1.78</v>
      </c>
      <c r="H981">
        <v>1.8</v>
      </c>
      <c r="I981">
        <v>2</v>
      </c>
      <c r="J981">
        <v>2.57</v>
      </c>
      <c r="K981">
        <v>2.94</v>
      </c>
      <c r="M981" s="3"/>
      <c r="N981" s="17"/>
      <c r="O981" s="17"/>
      <c r="P981" s="17"/>
      <c r="Q981" s="17"/>
      <c r="R981" s="17"/>
      <c r="S981" s="17"/>
      <c r="T981" s="17"/>
      <c r="U981" s="17"/>
      <c r="V981" s="17"/>
      <c r="AE981" s="2"/>
      <c r="AQ981" s="2"/>
      <c r="AR981" s="2"/>
      <c r="AS981" s="2"/>
      <c r="AT981" s="2"/>
      <c r="AU981" s="2"/>
      <c r="AV981" s="2"/>
      <c r="AW981" s="2"/>
      <c r="AX981" s="2"/>
      <c r="AY981" s="2"/>
    </row>
    <row r="982" spans="1:51" x14ac:dyDescent="0.25">
      <c r="A982" s="24">
        <v>44347</v>
      </c>
      <c r="B982" s="1">
        <v>44347</v>
      </c>
      <c r="C982">
        <v>1.5</v>
      </c>
      <c r="D982">
        <v>1.55</v>
      </c>
      <c r="E982">
        <v>1.63</v>
      </c>
      <c r="F982">
        <v>1.68</v>
      </c>
      <c r="G982">
        <v>1.78</v>
      </c>
      <c r="H982">
        <v>1.8</v>
      </c>
      <c r="I982">
        <v>1.95</v>
      </c>
      <c r="J982">
        <v>2.5099999999999998</v>
      </c>
      <c r="K982">
        <v>2.85</v>
      </c>
      <c r="M982" s="3"/>
      <c r="N982" s="17"/>
      <c r="O982" s="17"/>
      <c r="P982" s="17"/>
      <c r="Q982" s="17"/>
      <c r="R982" s="17"/>
      <c r="S982" s="17"/>
      <c r="T982" s="17"/>
      <c r="U982" s="17"/>
      <c r="V982" s="17"/>
      <c r="AE982" s="2"/>
      <c r="AQ982" s="2"/>
      <c r="AR982" s="2"/>
      <c r="AS982" s="2"/>
      <c r="AT982" s="2"/>
      <c r="AU982" s="2"/>
      <c r="AV982" s="2"/>
      <c r="AW982" s="2"/>
      <c r="AX982" s="2"/>
      <c r="AY982" s="2"/>
    </row>
    <row r="983" spans="1:51" x14ac:dyDescent="0.25">
      <c r="A983" s="24">
        <v>44344</v>
      </c>
      <c r="B983" s="1">
        <v>44344</v>
      </c>
      <c r="C983">
        <v>1.47</v>
      </c>
      <c r="D983">
        <v>1.57</v>
      </c>
      <c r="E983">
        <v>1.63</v>
      </c>
      <c r="F983">
        <v>1.7</v>
      </c>
      <c r="G983">
        <v>1.77</v>
      </c>
      <c r="H983">
        <v>1.82</v>
      </c>
      <c r="I983">
        <v>1.98</v>
      </c>
      <c r="J983">
        <v>2.56</v>
      </c>
      <c r="K983">
        <v>3.04</v>
      </c>
      <c r="M983" s="3"/>
      <c r="N983" s="17"/>
      <c r="O983" s="17"/>
      <c r="P983" s="17"/>
      <c r="Q983" s="17"/>
      <c r="R983" s="17"/>
      <c r="S983" s="17"/>
      <c r="T983" s="17"/>
      <c r="U983" s="17"/>
      <c r="V983" s="17"/>
      <c r="AE983" s="2"/>
      <c r="AQ983" s="2"/>
      <c r="AR983" s="2"/>
      <c r="AS983" s="2"/>
      <c r="AT983" s="2"/>
      <c r="AU983" s="2"/>
      <c r="AV983" s="2"/>
      <c r="AW983" s="2"/>
      <c r="AX983" s="2"/>
      <c r="AY983" s="2"/>
    </row>
    <row r="984" spans="1:51" x14ac:dyDescent="0.25">
      <c r="A984" s="24">
        <v>44343</v>
      </c>
      <c r="B984" s="1">
        <v>44343</v>
      </c>
      <c r="C984">
        <v>1.45</v>
      </c>
      <c r="D984">
        <v>1.53</v>
      </c>
      <c r="E984">
        <v>1.6</v>
      </c>
      <c r="F984">
        <v>1.67</v>
      </c>
      <c r="G984">
        <v>1.72</v>
      </c>
      <c r="H984">
        <v>1.78</v>
      </c>
      <c r="I984">
        <v>1.98</v>
      </c>
      <c r="J984">
        <v>2.56</v>
      </c>
      <c r="K984">
        <v>3.04</v>
      </c>
      <c r="M984" s="3"/>
      <c r="N984" s="17"/>
      <c r="O984" s="17"/>
      <c r="P984" s="17"/>
      <c r="Q984" s="17"/>
      <c r="R984" s="17"/>
      <c r="S984" s="17"/>
      <c r="T984" s="17"/>
      <c r="U984" s="17"/>
      <c r="V984" s="17"/>
      <c r="AE984" s="2"/>
      <c r="AQ984" s="2"/>
      <c r="AR984" s="2"/>
      <c r="AS984" s="2"/>
      <c r="AT984" s="2"/>
      <c r="AU984" s="2"/>
      <c r="AV984" s="2"/>
      <c r="AW984" s="2"/>
      <c r="AX984" s="2"/>
      <c r="AY984" s="2"/>
    </row>
    <row r="985" spans="1:51" x14ac:dyDescent="0.25">
      <c r="A985" s="24">
        <v>44342</v>
      </c>
      <c r="B985" s="1">
        <v>44342</v>
      </c>
      <c r="C985">
        <v>1.43</v>
      </c>
      <c r="D985">
        <v>1.5</v>
      </c>
      <c r="E985">
        <v>1.57</v>
      </c>
      <c r="F985">
        <v>1.62</v>
      </c>
      <c r="G985">
        <v>1.67</v>
      </c>
      <c r="H985">
        <v>1.72</v>
      </c>
      <c r="I985">
        <v>1.97</v>
      </c>
      <c r="J985">
        <v>2.56</v>
      </c>
      <c r="K985">
        <v>3.04</v>
      </c>
      <c r="M985" s="3"/>
      <c r="N985" s="17"/>
      <c r="O985" s="17"/>
      <c r="P985" s="17"/>
      <c r="Q985" s="17"/>
      <c r="R985" s="17"/>
      <c r="S985" s="17"/>
      <c r="T985" s="17"/>
      <c r="U985" s="17"/>
      <c r="V985" s="17"/>
      <c r="AE985" s="2"/>
      <c r="AQ985" s="2"/>
      <c r="AR985" s="2"/>
      <c r="AS985" s="2"/>
      <c r="AT985" s="2"/>
      <c r="AU985" s="2"/>
      <c r="AV985" s="2"/>
      <c r="AW985" s="2"/>
      <c r="AX985" s="2"/>
      <c r="AY985" s="2"/>
    </row>
    <row r="986" spans="1:51" x14ac:dyDescent="0.25">
      <c r="A986" s="24">
        <v>44341</v>
      </c>
      <c r="B986" s="1">
        <v>44341</v>
      </c>
      <c r="C986">
        <v>1.38</v>
      </c>
      <c r="D986">
        <v>1.48</v>
      </c>
      <c r="E986">
        <v>1.54</v>
      </c>
      <c r="F986">
        <v>1.6</v>
      </c>
      <c r="G986">
        <v>1.7</v>
      </c>
      <c r="H986">
        <v>1.74</v>
      </c>
      <c r="I986">
        <v>1.94</v>
      </c>
      <c r="J986">
        <v>2.4900000000000002</v>
      </c>
      <c r="K986">
        <v>3.14</v>
      </c>
      <c r="M986" s="3"/>
      <c r="N986" s="17"/>
      <c r="O986" s="17"/>
      <c r="P986" s="17"/>
      <c r="Q986" s="17"/>
      <c r="R986" s="17"/>
      <c r="S986" s="17"/>
      <c r="T986" s="17"/>
      <c r="U986" s="17"/>
      <c r="V986" s="17"/>
      <c r="AE986" s="2"/>
      <c r="AQ986" s="2"/>
      <c r="AR986" s="2"/>
      <c r="AS986" s="2"/>
      <c r="AT986" s="2"/>
      <c r="AU986" s="2"/>
      <c r="AV986" s="2"/>
      <c r="AW986" s="2"/>
      <c r="AX986" s="2"/>
      <c r="AY986" s="2"/>
    </row>
    <row r="987" spans="1:51" x14ac:dyDescent="0.25">
      <c r="A987" s="24">
        <v>44340</v>
      </c>
      <c r="B987" s="1">
        <v>44340</v>
      </c>
      <c r="C987">
        <v>1.25</v>
      </c>
      <c r="D987">
        <v>1.33</v>
      </c>
      <c r="E987">
        <v>1.42</v>
      </c>
      <c r="F987">
        <v>1.54</v>
      </c>
      <c r="G987">
        <v>1.67</v>
      </c>
      <c r="H987">
        <v>1.72</v>
      </c>
      <c r="I987">
        <v>1.9</v>
      </c>
      <c r="J987">
        <v>2.5099999999999998</v>
      </c>
      <c r="K987">
        <v>3.03</v>
      </c>
      <c r="M987" s="3"/>
      <c r="N987" s="17"/>
      <c r="O987" s="17"/>
      <c r="P987" s="17"/>
      <c r="Q987" s="17"/>
      <c r="R987" s="17"/>
      <c r="S987" s="17"/>
      <c r="T987" s="17"/>
      <c r="U987" s="17"/>
      <c r="V987" s="17"/>
      <c r="AE987" s="2"/>
      <c r="AQ987" s="2"/>
      <c r="AR987" s="2"/>
      <c r="AS987" s="2"/>
      <c r="AT987" s="2"/>
      <c r="AU987" s="2"/>
      <c r="AV987" s="2"/>
      <c r="AW987" s="2"/>
      <c r="AX987" s="2"/>
      <c r="AY987" s="2"/>
    </row>
    <row r="988" spans="1:51" x14ac:dyDescent="0.25">
      <c r="A988" s="24">
        <v>44337</v>
      </c>
      <c r="B988" s="1">
        <v>44337</v>
      </c>
      <c r="C988">
        <v>1.26</v>
      </c>
      <c r="D988">
        <v>1.33</v>
      </c>
      <c r="E988">
        <v>1.41</v>
      </c>
      <c r="F988">
        <v>1.52</v>
      </c>
      <c r="G988">
        <v>1.63</v>
      </c>
      <c r="H988">
        <v>1.67</v>
      </c>
      <c r="I988">
        <v>1.89</v>
      </c>
      <c r="J988">
        <v>2.5299999999999998</v>
      </c>
      <c r="K988">
        <v>2.95</v>
      </c>
      <c r="M988" s="3"/>
      <c r="N988" s="17"/>
      <c r="O988" s="17"/>
      <c r="P988" s="17"/>
      <c r="Q988" s="17"/>
      <c r="R988" s="17"/>
      <c r="S988" s="17"/>
      <c r="T988" s="17"/>
      <c r="U988" s="17"/>
      <c r="V988" s="17"/>
      <c r="AE988" s="2"/>
      <c r="AQ988" s="2"/>
      <c r="AR988" s="2"/>
      <c r="AS988" s="2"/>
      <c r="AT988" s="2"/>
      <c r="AU988" s="2"/>
      <c r="AV988" s="2"/>
      <c r="AW988" s="2"/>
      <c r="AX988" s="2"/>
      <c r="AY988" s="2"/>
    </row>
    <row r="989" spans="1:51" x14ac:dyDescent="0.25">
      <c r="A989" s="24">
        <v>44336</v>
      </c>
      <c r="B989" s="1">
        <v>44336</v>
      </c>
      <c r="C989">
        <v>1.22</v>
      </c>
      <c r="D989">
        <v>1.28</v>
      </c>
      <c r="E989">
        <v>1.4</v>
      </c>
      <c r="F989">
        <v>1.5</v>
      </c>
      <c r="G989">
        <v>1.64</v>
      </c>
      <c r="H989">
        <v>1.66</v>
      </c>
      <c r="I989">
        <v>1.92</v>
      </c>
      <c r="J989">
        <v>2.5499999999999998</v>
      </c>
      <c r="K989">
        <v>2.95</v>
      </c>
      <c r="M989" s="3"/>
      <c r="N989" s="17"/>
      <c r="O989" s="17"/>
      <c r="P989" s="17"/>
      <c r="Q989" s="17"/>
      <c r="R989" s="17"/>
      <c r="S989" s="17"/>
      <c r="T989" s="17"/>
      <c r="U989" s="17"/>
      <c r="V989" s="17"/>
      <c r="AE989" s="2"/>
      <c r="AQ989" s="2"/>
      <c r="AR989" s="2"/>
      <c r="AS989" s="2"/>
      <c r="AT989" s="2"/>
      <c r="AU989" s="2"/>
      <c r="AV989" s="2"/>
      <c r="AW989" s="2"/>
      <c r="AX989" s="2"/>
      <c r="AY989" s="2"/>
    </row>
    <row r="990" spans="1:51" x14ac:dyDescent="0.25">
      <c r="A990" s="24">
        <v>44335</v>
      </c>
      <c r="B990" s="1">
        <v>44335</v>
      </c>
      <c r="C990">
        <v>1.2</v>
      </c>
      <c r="D990">
        <v>1.31</v>
      </c>
      <c r="E990">
        <v>1.43</v>
      </c>
      <c r="F990">
        <v>1.49</v>
      </c>
      <c r="G990">
        <v>1.58</v>
      </c>
      <c r="H990">
        <v>1.64</v>
      </c>
      <c r="I990">
        <v>1.9</v>
      </c>
      <c r="J990">
        <v>2.56</v>
      </c>
      <c r="K990">
        <v>3.04</v>
      </c>
      <c r="M990" s="3"/>
      <c r="N990" s="17"/>
      <c r="O990" s="17"/>
      <c r="P990" s="17"/>
      <c r="Q990" s="17"/>
      <c r="R990" s="17"/>
      <c r="S990" s="17"/>
      <c r="T990" s="17"/>
      <c r="U990" s="17"/>
      <c r="V990" s="17"/>
      <c r="AE990" s="2"/>
      <c r="AQ990" s="2"/>
      <c r="AR990" s="2"/>
      <c r="AS990" s="2"/>
      <c r="AT990" s="2"/>
      <c r="AU990" s="2"/>
      <c r="AV990" s="2"/>
      <c r="AW990" s="2"/>
      <c r="AX990" s="2"/>
      <c r="AY990" s="2"/>
    </row>
    <row r="991" spans="1:51" x14ac:dyDescent="0.25">
      <c r="A991" s="24">
        <v>44334</v>
      </c>
      <c r="B991" s="1">
        <v>44334</v>
      </c>
      <c r="C991">
        <v>1.17</v>
      </c>
      <c r="D991">
        <v>1.29</v>
      </c>
      <c r="E991">
        <v>1.4</v>
      </c>
      <c r="F991">
        <v>1.46</v>
      </c>
      <c r="G991">
        <v>1.54</v>
      </c>
      <c r="H991">
        <v>1.63</v>
      </c>
      <c r="I991">
        <v>1.89</v>
      </c>
      <c r="J991">
        <v>2.5299999999999998</v>
      </c>
      <c r="K991">
        <v>3.04</v>
      </c>
      <c r="M991" s="3"/>
      <c r="N991" s="17"/>
      <c r="O991" s="17"/>
      <c r="P991" s="17"/>
      <c r="Q991" s="17"/>
      <c r="R991" s="17"/>
      <c r="S991" s="17"/>
      <c r="T991" s="17"/>
      <c r="U991" s="17"/>
      <c r="V991" s="17"/>
      <c r="AE991" s="2"/>
      <c r="AQ991" s="2"/>
      <c r="AR991" s="2"/>
      <c r="AS991" s="2"/>
      <c r="AT991" s="2"/>
      <c r="AU991" s="2"/>
      <c r="AV991" s="2"/>
      <c r="AW991" s="2"/>
      <c r="AX991" s="2"/>
      <c r="AY991" s="2"/>
    </row>
    <row r="992" spans="1:51" x14ac:dyDescent="0.25">
      <c r="A992" s="24">
        <v>44333</v>
      </c>
      <c r="B992" s="1">
        <v>44333</v>
      </c>
      <c r="C992">
        <v>1.22</v>
      </c>
      <c r="D992">
        <v>1.26</v>
      </c>
      <c r="E992">
        <v>1.37</v>
      </c>
      <c r="F992">
        <v>1.44</v>
      </c>
      <c r="G992">
        <v>1.52</v>
      </c>
      <c r="H992">
        <v>1.59</v>
      </c>
      <c r="I992">
        <v>1.84</v>
      </c>
      <c r="J992">
        <v>2.5499999999999998</v>
      </c>
      <c r="K992">
        <v>2.99</v>
      </c>
      <c r="M992" s="3"/>
      <c r="N992" s="17"/>
      <c r="O992" s="17"/>
      <c r="P992" s="17"/>
      <c r="Q992" s="17"/>
      <c r="R992" s="17"/>
      <c r="S992" s="17"/>
      <c r="T992" s="17"/>
      <c r="U992" s="17"/>
      <c r="V992" s="17"/>
      <c r="AE992" s="2"/>
      <c r="AQ992" s="2"/>
      <c r="AR992" s="2"/>
      <c r="AS992" s="2"/>
      <c r="AT992" s="2"/>
      <c r="AU992" s="2"/>
      <c r="AV992" s="2"/>
      <c r="AW992" s="2"/>
      <c r="AX992" s="2"/>
      <c r="AY992" s="2"/>
    </row>
    <row r="993" spans="1:51" x14ac:dyDescent="0.25">
      <c r="A993" s="24">
        <v>44330</v>
      </c>
      <c r="B993" s="1">
        <v>44330</v>
      </c>
      <c r="C993">
        <v>1.26</v>
      </c>
      <c r="D993">
        <v>1.32</v>
      </c>
      <c r="E993">
        <v>1.39</v>
      </c>
      <c r="F993">
        <v>1.44</v>
      </c>
      <c r="G993">
        <v>1.48</v>
      </c>
      <c r="H993">
        <v>1.59</v>
      </c>
      <c r="I993">
        <v>1.88</v>
      </c>
      <c r="J993">
        <v>2.5499999999999998</v>
      </c>
      <c r="K993">
        <v>3.27</v>
      </c>
      <c r="M993" s="3"/>
      <c r="N993" s="17"/>
      <c r="O993" s="17"/>
      <c r="P993" s="17"/>
      <c r="Q993" s="17"/>
      <c r="R993" s="17"/>
      <c r="S993" s="17"/>
      <c r="T993" s="17"/>
      <c r="U993" s="17"/>
      <c r="V993" s="17"/>
      <c r="AE993" s="2"/>
      <c r="AQ993" s="2"/>
      <c r="AR993" s="2"/>
      <c r="AS993" s="2"/>
      <c r="AT993" s="2"/>
      <c r="AU993" s="2"/>
      <c r="AV993" s="2"/>
      <c r="AW993" s="2"/>
      <c r="AX993" s="2"/>
      <c r="AY993" s="2"/>
    </row>
    <row r="994" spans="1:51" x14ac:dyDescent="0.25">
      <c r="A994" s="24">
        <v>44329</v>
      </c>
      <c r="B994" s="1">
        <v>44329</v>
      </c>
      <c r="C994">
        <v>1.23</v>
      </c>
      <c r="D994">
        <v>1.31</v>
      </c>
      <c r="E994">
        <v>1.38</v>
      </c>
      <c r="F994">
        <v>1.44</v>
      </c>
      <c r="G994">
        <v>1.5</v>
      </c>
      <c r="H994">
        <v>1.59</v>
      </c>
      <c r="I994">
        <v>1.96</v>
      </c>
      <c r="J994">
        <v>2.56</v>
      </c>
      <c r="K994">
        <v>3.09</v>
      </c>
      <c r="M994" s="3"/>
      <c r="N994" s="17"/>
      <c r="O994" s="17"/>
      <c r="P994" s="17"/>
      <c r="Q994" s="17"/>
      <c r="R994" s="17"/>
      <c r="S994" s="17"/>
      <c r="T994" s="17"/>
      <c r="U994" s="17"/>
      <c r="V994" s="17"/>
      <c r="AE994" s="2"/>
      <c r="AQ994" s="2"/>
      <c r="AR994" s="2"/>
      <c r="AS994" s="2"/>
      <c r="AT994" s="2"/>
      <c r="AU994" s="2"/>
      <c r="AV994" s="2"/>
      <c r="AW994" s="2"/>
      <c r="AX994" s="2"/>
      <c r="AY994" s="2"/>
    </row>
    <row r="995" spans="1:51" x14ac:dyDescent="0.25">
      <c r="A995" s="24">
        <v>44328</v>
      </c>
      <c r="B995" s="1">
        <v>44328</v>
      </c>
      <c r="C995">
        <v>1.22</v>
      </c>
      <c r="D995">
        <v>1.28</v>
      </c>
      <c r="E995">
        <v>1.38</v>
      </c>
      <c r="F995">
        <v>1.47</v>
      </c>
      <c r="G995">
        <v>1.52</v>
      </c>
      <c r="H995">
        <v>1.61</v>
      </c>
      <c r="I995">
        <v>1.9</v>
      </c>
      <c r="J995">
        <v>2.56</v>
      </c>
      <c r="K995">
        <v>3.04</v>
      </c>
      <c r="M995" s="3"/>
      <c r="N995" s="17"/>
      <c r="O995" s="17"/>
      <c r="P995" s="17"/>
      <c r="Q995" s="17"/>
      <c r="R995" s="17"/>
      <c r="S995" s="17"/>
      <c r="T995" s="17"/>
      <c r="U995" s="17"/>
      <c r="V995" s="17"/>
      <c r="AE995" s="2"/>
      <c r="AQ995" s="2"/>
      <c r="AR995" s="2"/>
      <c r="AS995" s="2"/>
      <c r="AT995" s="2"/>
      <c r="AU995" s="2"/>
      <c r="AV995" s="2"/>
      <c r="AW995" s="2"/>
      <c r="AX995" s="2"/>
      <c r="AY995" s="2"/>
    </row>
    <row r="996" spans="1:51" x14ac:dyDescent="0.25">
      <c r="A996" s="24">
        <v>44327</v>
      </c>
      <c r="B996" s="1">
        <v>44327</v>
      </c>
      <c r="C996">
        <v>1.19</v>
      </c>
      <c r="D996">
        <v>1.27</v>
      </c>
      <c r="E996">
        <v>1.34</v>
      </c>
      <c r="F996">
        <v>1.42</v>
      </c>
      <c r="G996">
        <v>1.51</v>
      </c>
      <c r="H996">
        <v>1.59</v>
      </c>
      <c r="I996">
        <v>1.89</v>
      </c>
      <c r="J996">
        <v>2.5299999999999998</v>
      </c>
      <c r="K996">
        <v>2.95</v>
      </c>
      <c r="M996" s="3"/>
      <c r="N996" s="17"/>
      <c r="O996" s="17"/>
      <c r="P996" s="17"/>
      <c r="Q996" s="17"/>
      <c r="R996" s="17"/>
      <c r="S996" s="17"/>
      <c r="T996" s="17"/>
      <c r="U996" s="17"/>
      <c r="V996" s="17"/>
      <c r="AE996" s="2"/>
      <c r="AQ996" s="2"/>
      <c r="AR996" s="2"/>
      <c r="AS996" s="2"/>
      <c r="AT996" s="2"/>
      <c r="AU996" s="2"/>
      <c r="AV996" s="2"/>
      <c r="AW996" s="2"/>
      <c r="AX996" s="2"/>
      <c r="AY996" s="2"/>
    </row>
    <row r="997" spans="1:51" x14ac:dyDescent="0.25">
      <c r="A997" s="24">
        <v>44326</v>
      </c>
      <c r="B997" s="1">
        <v>44326</v>
      </c>
      <c r="C997">
        <v>1.18</v>
      </c>
      <c r="D997">
        <v>1.26</v>
      </c>
      <c r="E997">
        <v>1.32</v>
      </c>
      <c r="F997">
        <v>1.39</v>
      </c>
      <c r="G997">
        <v>1.43</v>
      </c>
      <c r="H997">
        <v>1.53</v>
      </c>
      <c r="I997">
        <v>2.02</v>
      </c>
      <c r="J997">
        <v>2.6</v>
      </c>
      <c r="K997">
        <v>3.17</v>
      </c>
      <c r="M997" s="3"/>
      <c r="N997" s="17"/>
      <c r="O997" s="17"/>
      <c r="P997" s="17"/>
      <c r="Q997" s="17"/>
      <c r="R997" s="17"/>
      <c r="S997" s="17"/>
      <c r="T997" s="17"/>
      <c r="U997" s="17"/>
      <c r="V997" s="17"/>
      <c r="AE997" s="2"/>
      <c r="AQ997" s="2"/>
      <c r="AR997" s="2"/>
      <c r="AS997" s="2"/>
      <c r="AT997" s="2"/>
      <c r="AU997" s="2"/>
      <c r="AV997" s="2"/>
      <c r="AW997" s="2"/>
      <c r="AX997" s="2"/>
      <c r="AY997" s="2"/>
    </row>
    <row r="998" spans="1:51" x14ac:dyDescent="0.25">
      <c r="A998" s="24">
        <v>44323</v>
      </c>
      <c r="B998" s="1">
        <v>44323</v>
      </c>
      <c r="C998">
        <v>1.24</v>
      </c>
      <c r="D998">
        <v>1.26</v>
      </c>
      <c r="E998">
        <v>1.3</v>
      </c>
      <c r="F998">
        <v>1.39</v>
      </c>
      <c r="G998">
        <v>1.43</v>
      </c>
      <c r="H998">
        <v>1.53</v>
      </c>
      <c r="I998">
        <v>1.98</v>
      </c>
      <c r="J998">
        <v>2.63</v>
      </c>
      <c r="K998">
        <v>3.31</v>
      </c>
      <c r="M998" s="3"/>
      <c r="N998" s="17"/>
      <c r="O998" s="17"/>
      <c r="P998" s="17"/>
      <c r="Q998" s="17"/>
      <c r="R998" s="17"/>
      <c r="S998" s="17"/>
      <c r="T998" s="17"/>
      <c r="U998" s="17"/>
      <c r="V998" s="17"/>
      <c r="AE998" s="2"/>
      <c r="AQ998" s="2"/>
      <c r="AR998" s="2"/>
      <c r="AS998" s="2"/>
      <c r="AT998" s="2"/>
      <c r="AU998" s="2"/>
      <c r="AV998" s="2"/>
      <c r="AW998" s="2"/>
      <c r="AX998" s="2"/>
      <c r="AY998" s="2"/>
    </row>
    <row r="999" spans="1:51" x14ac:dyDescent="0.25">
      <c r="A999" s="24">
        <v>44322</v>
      </c>
      <c r="B999" s="1">
        <v>44322</v>
      </c>
      <c r="C999">
        <v>1.1399999999999999</v>
      </c>
      <c r="D999">
        <v>1.3</v>
      </c>
      <c r="E999">
        <v>1.36</v>
      </c>
      <c r="F999">
        <v>1.39</v>
      </c>
      <c r="G999">
        <v>1.39</v>
      </c>
      <c r="H999">
        <v>1.49</v>
      </c>
      <c r="I999">
        <v>1.86</v>
      </c>
      <c r="J999">
        <v>2.4900000000000002</v>
      </c>
      <c r="K999">
        <v>2.82</v>
      </c>
      <c r="M999" s="3"/>
      <c r="N999" s="17"/>
      <c r="O999" s="17"/>
      <c r="P999" s="17"/>
      <c r="Q999" s="17"/>
      <c r="R999" s="17"/>
      <c r="S999" s="17"/>
      <c r="T999" s="17"/>
      <c r="U999" s="17"/>
      <c r="V999" s="17"/>
      <c r="AE999" s="2"/>
      <c r="AQ999" s="2"/>
      <c r="AR999" s="2"/>
      <c r="AS999" s="2"/>
      <c r="AT999" s="2"/>
      <c r="AU999" s="2"/>
      <c r="AV999" s="2"/>
      <c r="AW999" s="2"/>
      <c r="AX999" s="2"/>
      <c r="AY999" s="2"/>
    </row>
    <row r="1000" spans="1:51" x14ac:dyDescent="0.25">
      <c r="A1000" s="24">
        <v>44321</v>
      </c>
      <c r="B1000" s="1">
        <v>44321</v>
      </c>
      <c r="C1000">
        <v>1.1499999999999999</v>
      </c>
      <c r="D1000">
        <v>1.2</v>
      </c>
      <c r="E1000">
        <v>1.21</v>
      </c>
      <c r="F1000">
        <v>1.26</v>
      </c>
      <c r="G1000">
        <v>1.37</v>
      </c>
      <c r="H1000">
        <v>1.51</v>
      </c>
      <c r="I1000">
        <v>1.84</v>
      </c>
      <c r="J1000">
        <v>2.58</v>
      </c>
      <c r="K1000">
        <v>3.09</v>
      </c>
      <c r="M1000" s="3"/>
      <c r="N1000" s="17"/>
      <c r="O1000" s="17"/>
      <c r="P1000" s="17"/>
      <c r="Q1000" s="17"/>
      <c r="R1000" s="17"/>
      <c r="S1000" s="17"/>
      <c r="T1000" s="17"/>
      <c r="U1000" s="17"/>
      <c r="V1000" s="17"/>
      <c r="AE1000" s="2"/>
      <c r="AQ1000" s="2"/>
      <c r="AR1000" s="2"/>
      <c r="AS1000" s="2"/>
      <c r="AT1000" s="2"/>
      <c r="AU1000" s="2"/>
      <c r="AV1000" s="2"/>
      <c r="AW1000" s="2"/>
      <c r="AX1000" s="2"/>
      <c r="AY1000" s="2"/>
    </row>
    <row r="1001" spans="1:51" x14ac:dyDescent="0.25">
      <c r="A1001" s="24">
        <v>44320</v>
      </c>
      <c r="B1001" s="1">
        <v>44320</v>
      </c>
      <c r="C1001">
        <v>1.03</v>
      </c>
      <c r="D1001">
        <v>1.1000000000000001</v>
      </c>
      <c r="E1001">
        <v>1.19</v>
      </c>
      <c r="F1001">
        <v>1.21</v>
      </c>
      <c r="G1001">
        <v>1.34</v>
      </c>
      <c r="H1001">
        <v>1.46</v>
      </c>
      <c r="I1001">
        <v>1.95</v>
      </c>
      <c r="J1001">
        <v>2.62</v>
      </c>
      <c r="K1001">
        <v>3.16</v>
      </c>
      <c r="M1001" s="3"/>
      <c r="N1001" s="17"/>
      <c r="O1001" s="17"/>
      <c r="P1001" s="17"/>
      <c r="Q1001" s="17"/>
      <c r="R1001" s="17"/>
      <c r="S1001" s="17"/>
      <c r="T1001" s="17"/>
      <c r="U1001" s="17"/>
      <c r="V1001" s="17"/>
      <c r="AE1001" s="2"/>
      <c r="AQ1001" s="2"/>
      <c r="AR1001" s="2"/>
      <c r="AS1001" s="2"/>
      <c r="AT1001" s="2"/>
      <c r="AU1001" s="2"/>
      <c r="AV1001" s="2"/>
      <c r="AW1001" s="2"/>
      <c r="AX1001" s="2"/>
      <c r="AY1001" s="2"/>
    </row>
    <row r="1002" spans="1:51" x14ac:dyDescent="0.25">
      <c r="A1002" s="24">
        <v>44315</v>
      </c>
      <c r="B1002" s="1">
        <v>44315</v>
      </c>
      <c r="C1002">
        <v>0.99</v>
      </c>
      <c r="D1002">
        <v>1.24</v>
      </c>
      <c r="E1002">
        <v>1.21</v>
      </c>
      <c r="F1002">
        <v>1.24</v>
      </c>
      <c r="G1002">
        <v>1.33</v>
      </c>
      <c r="H1002">
        <v>1.47</v>
      </c>
      <c r="I1002">
        <v>1.96</v>
      </c>
      <c r="J1002">
        <v>2.63</v>
      </c>
      <c r="K1002">
        <v>3.31</v>
      </c>
      <c r="M1002" s="3"/>
      <c r="N1002" s="17"/>
      <c r="O1002" s="17"/>
      <c r="P1002" s="17"/>
      <c r="Q1002" s="17"/>
      <c r="R1002" s="17"/>
      <c r="S1002" s="17"/>
      <c r="T1002" s="17"/>
      <c r="U1002" s="17"/>
      <c r="V1002" s="17"/>
      <c r="AE1002" s="2"/>
      <c r="AQ1002" s="2"/>
      <c r="AR1002" s="2"/>
      <c r="AS1002" s="2"/>
      <c r="AT1002" s="2"/>
      <c r="AU1002" s="2"/>
      <c r="AV1002" s="2"/>
      <c r="AW1002" s="2"/>
      <c r="AX1002" s="2"/>
      <c r="AY1002" s="2"/>
    </row>
    <row r="1003" spans="1:51" x14ac:dyDescent="0.25">
      <c r="A1003" s="24">
        <v>44314</v>
      </c>
      <c r="B1003" s="1">
        <v>44314</v>
      </c>
      <c r="C1003">
        <v>1.06</v>
      </c>
      <c r="D1003">
        <v>1.3</v>
      </c>
      <c r="E1003">
        <v>1.25</v>
      </c>
      <c r="F1003">
        <v>1.3</v>
      </c>
      <c r="G1003">
        <v>1.4</v>
      </c>
      <c r="H1003">
        <v>1.5</v>
      </c>
      <c r="I1003">
        <v>1.9</v>
      </c>
      <c r="J1003">
        <v>2.6</v>
      </c>
      <c r="K1003">
        <v>3.19</v>
      </c>
      <c r="M1003" s="3"/>
      <c r="N1003" s="17"/>
      <c r="O1003" s="17"/>
      <c r="P1003" s="17"/>
      <c r="Q1003" s="17"/>
      <c r="R1003" s="17"/>
      <c r="S1003" s="17"/>
      <c r="T1003" s="17"/>
      <c r="U1003" s="17"/>
      <c r="V1003" s="17"/>
      <c r="AE1003" s="2"/>
      <c r="AQ1003" s="2"/>
      <c r="AR1003" s="2"/>
      <c r="AS1003" s="2"/>
      <c r="AT1003" s="2"/>
      <c r="AU1003" s="2"/>
      <c r="AV1003" s="2"/>
      <c r="AW1003" s="2"/>
      <c r="AX1003" s="2"/>
      <c r="AY1003" s="2"/>
    </row>
    <row r="1004" spans="1:51" x14ac:dyDescent="0.25">
      <c r="A1004" s="24">
        <v>44313</v>
      </c>
      <c r="B1004" s="1">
        <v>44313</v>
      </c>
      <c r="C1004">
        <v>1.02</v>
      </c>
      <c r="D1004">
        <v>1.2</v>
      </c>
      <c r="E1004">
        <v>1.22</v>
      </c>
      <c r="F1004">
        <v>1.33</v>
      </c>
      <c r="G1004">
        <v>1.4</v>
      </c>
      <c r="H1004">
        <v>1.47</v>
      </c>
      <c r="I1004">
        <v>2</v>
      </c>
      <c r="J1004">
        <v>2.59</v>
      </c>
      <c r="K1004">
        <v>3.11</v>
      </c>
      <c r="M1004" s="3"/>
      <c r="N1004" s="17"/>
      <c r="O1004" s="17"/>
      <c r="P1004" s="17"/>
      <c r="Q1004" s="17"/>
      <c r="R1004" s="17"/>
      <c r="S1004" s="17"/>
      <c r="T1004" s="17"/>
      <c r="U1004" s="17"/>
      <c r="V1004" s="17"/>
      <c r="AE1004" s="2"/>
      <c r="AQ1004" s="2"/>
      <c r="AR1004" s="2"/>
      <c r="AS1004" s="2"/>
      <c r="AT1004" s="2"/>
      <c r="AU1004" s="2"/>
      <c r="AV1004" s="2"/>
      <c r="AW1004" s="2"/>
      <c r="AX1004" s="2"/>
      <c r="AY1004" s="2"/>
    </row>
    <row r="1005" spans="1:51" x14ac:dyDescent="0.25">
      <c r="A1005" s="24">
        <v>44312</v>
      </c>
      <c r="B1005" s="1">
        <v>44312</v>
      </c>
      <c r="C1005">
        <v>0.69</v>
      </c>
      <c r="D1005">
        <v>0.86</v>
      </c>
      <c r="E1005">
        <v>0.93</v>
      </c>
      <c r="F1005">
        <v>1.1100000000000001</v>
      </c>
      <c r="G1005">
        <v>1.21</v>
      </c>
      <c r="H1005">
        <v>1.39</v>
      </c>
      <c r="I1005">
        <v>1.9</v>
      </c>
      <c r="J1005">
        <v>2.5499999999999998</v>
      </c>
      <c r="K1005">
        <v>2.97</v>
      </c>
      <c r="M1005" s="3"/>
      <c r="N1005" s="17"/>
      <c r="O1005" s="17"/>
      <c r="P1005" s="17"/>
      <c r="Q1005" s="17"/>
      <c r="R1005" s="17"/>
      <c r="S1005" s="17"/>
      <c r="T1005" s="17"/>
      <c r="U1005" s="17"/>
      <c r="V1005" s="17"/>
      <c r="AE1005" s="2"/>
      <c r="AQ1005" s="2"/>
      <c r="AR1005" s="2"/>
      <c r="AS1005" s="2"/>
      <c r="AT1005" s="2"/>
      <c r="AU1005" s="2"/>
      <c r="AV1005" s="2"/>
      <c r="AW1005" s="2"/>
      <c r="AX1005" s="2"/>
      <c r="AY1005" s="2"/>
    </row>
    <row r="1006" spans="1:51" x14ac:dyDescent="0.25">
      <c r="A1006" s="24">
        <v>44309</v>
      </c>
      <c r="B1006" s="1">
        <v>44309</v>
      </c>
      <c r="C1006">
        <v>0.46</v>
      </c>
      <c r="D1006">
        <v>0.61</v>
      </c>
      <c r="E1006">
        <v>0.7</v>
      </c>
      <c r="F1006">
        <v>0.88</v>
      </c>
      <c r="G1006">
        <v>1.04</v>
      </c>
      <c r="H1006">
        <v>1.28</v>
      </c>
      <c r="I1006">
        <v>1.88</v>
      </c>
      <c r="J1006">
        <v>2.59</v>
      </c>
      <c r="K1006">
        <v>3.29</v>
      </c>
      <c r="M1006" s="3"/>
      <c r="N1006" s="17"/>
      <c r="O1006" s="17"/>
      <c r="P1006" s="17"/>
      <c r="Q1006" s="17"/>
      <c r="R1006" s="17"/>
      <c r="S1006" s="17"/>
      <c r="T1006" s="17"/>
      <c r="U1006" s="17"/>
      <c r="V1006" s="17"/>
      <c r="AE1006" s="2"/>
      <c r="AQ1006" s="2"/>
      <c r="AR1006" s="2"/>
      <c r="AS1006" s="2"/>
      <c r="AT1006" s="2"/>
      <c r="AU1006" s="2"/>
      <c r="AV1006" s="2"/>
      <c r="AW1006" s="2"/>
      <c r="AX1006" s="2"/>
      <c r="AY1006" s="2"/>
    </row>
    <row r="1007" spans="1:51" x14ac:dyDescent="0.25">
      <c r="A1007" s="24">
        <v>44308</v>
      </c>
      <c r="B1007" s="1">
        <v>44308</v>
      </c>
      <c r="C1007">
        <v>0.45</v>
      </c>
      <c r="D1007">
        <v>0.57999999999999996</v>
      </c>
      <c r="E1007">
        <v>0.69</v>
      </c>
      <c r="F1007">
        <v>0.89</v>
      </c>
      <c r="G1007">
        <v>1.07</v>
      </c>
      <c r="H1007">
        <v>1.28</v>
      </c>
      <c r="I1007">
        <v>1.9</v>
      </c>
      <c r="J1007">
        <v>2.59</v>
      </c>
      <c r="K1007">
        <v>3.01</v>
      </c>
      <c r="M1007" s="3"/>
      <c r="N1007" s="17"/>
      <c r="O1007" s="17"/>
      <c r="P1007" s="17"/>
      <c r="Q1007" s="17"/>
      <c r="R1007" s="17"/>
      <c r="S1007" s="17"/>
      <c r="T1007" s="17"/>
      <c r="U1007" s="17"/>
      <c r="V1007" s="17"/>
      <c r="AE1007" s="2"/>
      <c r="AQ1007" s="2"/>
      <c r="AR1007" s="2"/>
      <c r="AS1007" s="2"/>
      <c r="AT1007" s="2"/>
      <c r="AU1007" s="2"/>
      <c r="AV1007" s="2"/>
      <c r="AW1007" s="2"/>
      <c r="AX1007" s="2"/>
      <c r="AY1007" s="2"/>
    </row>
    <row r="1008" spans="1:51" x14ac:dyDescent="0.25">
      <c r="A1008" s="24">
        <v>44306</v>
      </c>
      <c r="B1008" s="1">
        <v>44306</v>
      </c>
      <c r="C1008">
        <v>0.47</v>
      </c>
      <c r="D1008">
        <v>0.6</v>
      </c>
      <c r="E1008">
        <v>0.7</v>
      </c>
      <c r="F1008">
        <v>0.92</v>
      </c>
      <c r="G1008">
        <v>1.0900000000000001</v>
      </c>
      <c r="H1008">
        <v>1.31</v>
      </c>
      <c r="I1008">
        <v>1.97</v>
      </c>
      <c r="J1008">
        <v>2.58</v>
      </c>
      <c r="K1008">
        <v>3.05</v>
      </c>
      <c r="M1008" s="3"/>
      <c r="N1008" s="17"/>
      <c r="O1008" s="17"/>
      <c r="P1008" s="17"/>
      <c r="Q1008" s="17"/>
      <c r="R1008" s="17"/>
      <c r="S1008" s="17"/>
      <c r="T1008" s="17"/>
      <c r="U1008" s="17"/>
      <c r="V1008" s="17"/>
      <c r="AE1008" s="2"/>
      <c r="AQ1008" s="2"/>
      <c r="AR1008" s="2"/>
      <c r="AS1008" s="2"/>
      <c r="AT1008" s="2"/>
      <c r="AU1008" s="2"/>
      <c r="AV1008" s="2"/>
      <c r="AW1008" s="2"/>
      <c r="AX1008" s="2"/>
      <c r="AY1008" s="2"/>
    </row>
    <row r="1009" spans="1:51" x14ac:dyDescent="0.25">
      <c r="A1009" s="24">
        <v>44305</v>
      </c>
      <c r="B1009" s="1">
        <v>44305</v>
      </c>
      <c r="C1009">
        <v>0.48</v>
      </c>
      <c r="D1009">
        <v>0.59</v>
      </c>
      <c r="E1009">
        <v>0.7</v>
      </c>
      <c r="F1009">
        <v>0.91</v>
      </c>
      <c r="G1009">
        <v>1.08</v>
      </c>
      <c r="H1009">
        <v>1.31</v>
      </c>
      <c r="I1009">
        <v>1.92</v>
      </c>
      <c r="J1009">
        <v>2.6</v>
      </c>
      <c r="K1009">
        <v>3.11</v>
      </c>
      <c r="M1009" s="3"/>
      <c r="N1009" s="17"/>
      <c r="O1009" s="17"/>
      <c r="P1009" s="17"/>
      <c r="Q1009" s="17"/>
      <c r="R1009" s="17"/>
      <c r="S1009" s="17"/>
      <c r="T1009" s="17"/>
      <c r="U1009" s="17"/>
      <c r="V1009" s="17"/>
      <c r="AE1009" s="2"/>
      <c r="AQ1009" s="2"/>
      <c r="AR1009" s="2"/>
      <c r="AS1009" s="2"/>
      <c r="AT1009" s="2"/>
      <c r="AU1009" s="2"/>
      <c r="AV1009" s="2"/>
      <c r="AW1009" s="2"/>
      <c r="AX1009" s="2"/>
      <c r="AY1009" s="2"/>
    </row>
    <row r="1010" spans="1:51" x14ac:dyDescent="0.25">
      <c r="A1010" s="24">
        <v>44302</v>
      </c>
      <c r="B1010" s="1">
        <v>44302</v>
      </c>
      <c r="C1010">
        <v>0.47</v>
      </c>
      <c r="D1010">
        <v>0.61</v>
      </c>
      <c r="E1010">
        <v>0.7</v>
      </c>
      <c r="F1010">
        <v>0.91</v>
      </c>
      <c r="G1010">
        <v>1.0900000000000001</v>
      </c>
      <c r="H1010">
        <v>1.33</v>
      </c>
      <c r="I1010">
        <v>1.99</v>
      </c>
      <c r="J1010">
        <v>2.6</v>
      </c>
      <c r="K1010">
        <v>3.05</v>
      </c>
      <c r="M1010" s="3"/>
      <c r="N1010" s="17"/>
      <c r="O1010" s="17"/>
      <c r="P1010" s="17"/>
      <c r="Q1010" s="17"/>
      <c r="R1010" s="17"/>
      <c r="S1010" s="17"/>
      <c r="T1010" s="17"/>
      <c r="U1010" s="17"/>
      <c r="V1010" s="17"/>
      <c r="AE1010" s="2"/>
      <c r="AQ1010" s="2"/>
      <c r="AR1010" s="2"/>
      <c r="AS1010" s="2"/>
      <c r="AT1010" s="2"/>
      <c r="AU1010" s="2"/>
      <c r="AV1010" s="2"/>
      <c r="AW1010" s="2"/>
      <c r="AX1010" s="2"/>
      <c r="AY1010" s="2"/>
    </row>
    <row r="1011" spans="1:51" x14ac:dyDescent="0.25">
      <c r="A1011" s="24">
        <v>44301</v>
      </c>
      <c r="B1011" s="1">
        <v>44301</v>
      </c>
      <c r="C1011">
        <v>0.43</v>
      </c>
      <c r="D1011">
        <v>0.56000000000000005</v>
      </c>
      <c r="E1011">
        <v>0.66</v>
      </c>
      <c r="F1011">
        <v>0.84</v>
      </c>
      <c r="G1011">
        <v>1</v>
      </c>
      <c r="H1011">
        <v>1.23</v>
      </c>
      <c r="I1011">
        <v>1.84</v>
      </c>
      <c r="J1011">
        <v>2.54</v>
      </c>
      <c r="K1011">
        <v>2.97</v>
      </c>
      <c r="M1011" s="3"/>
      <c r="N1011" s="17"/>
      <c r="O1011" s="17"/>
      <c r="P1011" s="17"/>
      <c r="Q1011" s="17"/>
      <c r="R1011" s="17"/>
      <c r="S1011" s="17"/>
      <c r="T1011" s="17"/>
      <c r="U1011" s="17"/>
      <c r="V1011" s="17"/>
      <c r="AE1011" s="2"/>
      <c r="AQ1011" s="2"/>
      <c r="AR1011" s="2"/>
      <c r="AS1011" s="2"/>
      <c r="AT1011" s="2"/>
      <c r="AU1011" s="2"/>
      <c r="AV1011" s="2"/>
      <c r="AW1011" s="2"/>
      <c r="AX1011" s="2"/>
      <c r="AY1011" s="2"/>
    </row>
    <row r="1012" spans="1:51" x14ac:dyDescent="0.25">
      <c r="A1012" s="24">
        <v>44300</v>
      </c>
      <c r="B1012" s="1">
        <v>44300</v>
      </c>
      <c r="C1012">
        <v>0.43</v>
      </c>
      <c r="D1012">
        <v>0.55000000000000004</v>
      </c>
      <c r="E1012">
        <v>0.67</v>
      </c>
      <c r="F1012">
        <v>0.84</v>
      </c>
      <c r="G1012">
        <v>1.05</v>
      </c>
      <c r="H1012">
        <v>1.25</v>
      </c>
      <c r="I1012">
        <v>1.98</v>
      </c>
      <c r="J1012">
        <v>2.62</v>
      </c>
      <c r="K1012">
        <v>2.97</v>
      </c>
      <c r="M1012" s="3"/>
      <c r="N1012" s="17"/>
      <c r="O1012" s="17"/>
      <c r="P1012" s="17"/>
      <c r="Q1012" s="17"/>
      <c r="R1012" s="17"/>
      <c r="S1012" s="17"/>
      <c r="T1012" s="17"/>
      <c r="U1012" s="17"/>
      <c r="V1012" s="17"/>
      <c r="AE1012" s="2"/>
      <c r="AQ1012" s="2"/>
      <c r="AR1012" s="2"/>
      <c r="AS1012" s="2"/>
      <c r="AT1012" s="2"/>
      <c r="AU1012" s="2"/>
      <c r="AV1012" s="2"/>
      <c r="AW1012" s="2"/>
      <c r="AX1012" s="2"/>
      <c r="AY1012" s="2"/>
    </row>
    <row r="1013" spans="1:51" x14ac:dyDescent="0.25">
      <c r="A1013" s="24">
        <v>44299</v>
      </c>
      <c r="B1013" s="1">
        <v>44299</v>
      </c>
      <c r="C1013">
        <v>0.45</v>
      </c>
      <c r="D1013">
        <v>0.54</v>
      </c>
      <c r="E1013">
        <v>0.66</v>
      </c>
      <c r="F1013">
        <v>0.81</v>
      </c>
      <c r="G1013">
        <v>1.03</v>
      </c>
      <c r="H1013">
        <v>1.23</v>
      </c>
      <c r="I1013">
        <v>1.94</v>
      </c>
      <c r="J1013">
        <v>2.58</v>
      </c>
      <c r="K1013">
        <v>2.97</v>
      </c>
      <c r="M1013" s="3"/>
      <c r="N1013" s="17"/>
      <c r="O1013" s="17"/>
      <c r="P1013" s="17"/>
      <c r="Q1013" s="17"/>
      <c r="R1013" s="17"/>
      <c r="S1013" s="17"/>
      <c r="T1013" s="17"/>
      <c r="U1013" s="17"/>
      <c r="V1013" s="17"/>
      <c r="AE1013" s="2"/>
      <c r="AQ1013" s="2"/>
      <c r="AR1013" s="2"/>
      <c r="AS1013" s="2"/>
      <c r="AT1013" s="2"/>
      <c r="AU1013" s="2"/>
      <c r="AV1013" s="2"/>
      <c r="AW1013" s="2"/>
      <c r="AX1013" s="2"/>
      <c r="AY1013" s="2"/>
    </row>
    <row r="1014" spans="1:51" x14ac:dyDescent="0.25">
      <c r="A1014" s="24">
        <v>44298</v>
      </c>
      <c r="B1014" s="1">
        <v>44298</v>
      </c>
      <c r="C1014">
        <v>0.41</v>
      </c>
      <c r="D1014">
        <v>0.5</v>
      </c>
      <c r="E1014">
        <v>0.6</v>
      </c>
      <c r="F1014">
        <v>0.8</v>
      </c>
      <c r="G1014">
        <v>0.99</v>
      </c>
      <c r="H1014">
        <v>1.23</v>
      </c>
      <c r="I1014">
        <v>1.84</v>
      </c>
      <c r="J1014">
        <v>2.58</v>
      </c>
      <c r="K1014">
        <v>3.06</v>
      </c>
      <c r="M1014" s="3"/>
      <c r="N1014" s="17"/>
      <c r="O1014" s="17"/>
      <c r="P1014" s="17"/>
      <c r="Q1014" s="17"/>
      <c r="R1014" s="17"/>
      <c r="S1014" s="17"/>
      <c r="T1014" s="17"/>
      <c r="U1014" s="17"/>
      <c r="V1014" s="17"/>
      <c r="AE1014" s="2"/>
      <c r="AQ1014" s="2"/>
      <c r="AR1014" s="2"/>
      <c r="AS1014" s="2"/>
      <c r="AT1014" s="2"/>
      <c r="AU1014" s="2"/>
      <c r="AV1014" s="2"/>
      <c r="AW1014" s="2"/>
      <c r="AX1014" s="2"/>
      <c r="AY1014" s="2"/>
    </row>
    <row r="1015" spans="1:51" x14ac:dyDescent="0.25">
      <c r="A1015" s="24">
        <v>44295</v>
      </c>
      <c r="B1015" s="1">
        <v>44295</v>
      </c>
      <c r="C1015">
        <v>0.33</v>
      </c>
      <c r="D1015">
        <v>0.42</v>
      </c>
      <c r="E1015">
        <v>0.51</v>
      </c>
      <c r="F1015">
        <v>0.74</v>
      </c>
      <c r="G1015">
        <v>1</v>
      </c>
      <c r="H1015">
        <v>1.26</v>
      </c>
      <c r="I1015">
        <v>2.0099999999999998</v>
      </c>
      <c r="J1015">
        <v>2.65</v>
      </c>
      <c r="K1015">
        <v>3.27</v>
      </c>
      <c r="M1015" s="3"/>
      <c r="N1015" s="17"/>
      <c r="O1015" s="17"/>
      <c r="P1015" s="17"/>
      <c r="Q1015" s="17"/>
      <c r="R1015" s="17"/>
      <c r="S1015" s="17"/>
      <c r="T1015" s="17"/>
      <c r="U1015" s="17"/>
      <c r="V1015" s="17"/>
      <c r="AE1015" s="2"/>
      <c r="AQ1015" s="2"/>
      <c r="AR1015" s="2"/>
      <c r="AS1015" s="2"/>
      <c r="AT1015" s="2"/>
      <c r="AU1015" s="2"/>
      <c r="AV1015" s="2"/>
      <c r="AW1015" s="2"/>
      <c r="AX1015" s="2"/>
      <c r="AY1015" s="2"/>
    </row>
    <row r="1016" spans="1:51" x14ac:dyDescent="0.25">
      <c r="A1016" s="24">
        <v>44294</v>
      </c>
      <c r="B1016" s="1">
        <v>44294</v>
      </c>
      <c r="C1016">
        <v>0.31</v>
      </c>
      <c r="D1016">
        <v>0.42</v>
      </c>
      <c r="E1016">
        <v>0.52</v>
      </c>
      <c r="F1016">
        <v>0.71</v>
      </c>
      <c r="G1016">
        <v>0.95</v>
      </c>
      <c r="H1016">
        <v>1.21</v>
      </c>
      <c r="I1016">
        <v>1.82</v>
      </c>
      <c r="J1016">
        <v>2.5499999999999998</v>
      </c>
      <c r="K1016">
        <v>3.06</v>
      </c>
      <c r="M1016" s="3"/>
      <c r="N1016" s="17"/>
      <c r="O1016" s="17"/>
      <c r="P1016" s="17"/>
      <c r="Q1016" s="17"/>
      <c r="R1016" s="17"/>
      <c r="S1016" s="17"/>
      <c r="T1016" s="17"/>
      <c r="U1016" s="17"/>
      <c r="V1016" s="17"/>
      <c r="AE1016" s="2"/>
      <c r="AQ1016" s="2"/>
      <c r="AR1016" s="2"/>
      <c r="AS1016" s="2"/>
      <c r="AT1016" s="2"/>
      <c r="AU1016" s="2"/>
      <c r="AV1016" s="2"/>
      <c r="AW1016" s="2"/>
      <c r="AX1016" s="2"/>
      <c r="AY1016" s="2"/>
    </row>
    <row r="1017" spans="1:51" x14ac:dyDescent="0.25">
      <c r="A1017" s="24">
        <v>44293</v>
      </c>
      <c r="B1017" s="1">
        <v>44293</v>
      </c>
      <c r="C1017">
        <v>0.28999999999999998</v>
      </c>
      <c r="D1017">
        <v>0.39</v>
      </c>
      <c r="E1017">
        <v>0.49</v>
      </c>
      <c r="F1017">
        <v>0.67</v>
      </c>
      <c r="G1017">
        <v>0.96</v>
      </c>
      <c r="H1017">
        <v>1.21</v>
      </c>
      <c r="I1017">
        <v>1.92</v>
      </c>
      <c r="J1017">
        <v>2.54</v>
      </c>
      <c r="K1017">
        <v>2.97</v>
      </c>
      <c r="M1017" s="3"/>
      <c r="N1017" s="17"/>
      <c r="O1017" s="17"/>
      <c r="P1017" s="17"/>
      <c r="Q1017" s="17"/>
      <c r="R1017" s="17"/>
      <c r="S1017" s="17"/>
      <c r="T1017" s="17"/>
      <c r="U1017" s="17"/>
      <c r="V1017" s="17"/>
      <c r="AE1017" s="2"/>
      <c r="AQ1017" s="2"/>
      <c r="AR1017" s="2"/>
      <c r="AS1017" s="2"/>
      <c r="AT1017" s="2"/>
      <c r="AU1017" s="2"/>
      <c r="AV1017" s="2"/>
      <c r="AW1017" s="2"/>
      <c r="AX1017" s="2"/>
      <c r="AY1017" s="2"/>
    </row>
    <row r="1018" spans="1:51" x14ac:dyDescent="0.25">
      <c r="A1018" s="24">
        <v>44292</v>
      </c>
      <c r="B1018" s="1">
        <v>44292</v>
      </c>
      <c r="C1018">
        <v>0.31</v>
      </c>
      <c r="D1018">
        <v>0.41</v>
      </c>
      <c r="E1018">
        <v>0.5</v>
      </c>
      <c r="F1018">
        <v>0.67</v>
      </c>
      <c r="G1018">
        <v>0.95</v>
      </c>
      <c r="H1018">
        <v>1.21</v>
      </c>
      <c r="I1018">
        <v>1.89</v>
      </c>
      <c r="J1018">
        <v>2.54</v>
      </c>
      <c r="K1018">
        <v>3.11</v>
      </c>
      <c r="M1018" s="3"/>
      <c r="N1018" s="17"/>
      <c r="O1018" s="17"/>
      <c r="P1018" s="17"/>
      <c r="Q1018" s="17"/>
      <c r="R1018" s="17"/>
      <c r="S1018" s="17"/>
      <c r="T1018" s="17"/>
      <c r="U1018" s="17"/>
      <c r="V1018" s="17"/>
      <c r="AE1018" s="2"/>
      <c r="AQ1018" s="2"/>
      <c r="AR1018" s="2"/>
      <c r="AS1018" s="2"/>
      <c r="AT1018" s="2"/>
      <c r="AU1018" s="2"/>
      <c r="AV1018" s="2"/>
      <c r="AW1018" s="2"/>
      <c r="AX1018" s="2"/>
      <c r="AY1018" s="2"/>
    </row>
    <row r="1019" spans="1:51" x14ac:dyDescent="0.25">
      <c r="A1019" s="24">
        <v>44291</v>
      </c>
      <c r="B1019" s="1">
        <v>44291</v>
      </c>
      <c r="C1019">
        <v>0.28000000000000003</v>
      </c>
      <c r="D1019">
        <v>0.36</v>
      </c>
      <c r="E1019">
        <v>0.46</v>
      </c>
      <c r="F1019">
        <v>0.66</v>
      </c>
      <c r="G1019">
        <v>0.98</v>
      </c>
      <c r="H1019">
        <v>1.23</v>
      </c>
      <c r="I1019">
        <v>2.06</v>
      </c>
      <c r="J1019">
        <v>2.83</v>
      </c>
      <c r="K1019">
        <v>3.37</v>
      </c>
      <c r="M1019" s="3"/>
      <c r="N1019" s="17"/>
      <c r="O1019" s="17"/>
      <c r="P1019" s="17"/>
      <c r="Q1019" s="17"/>
      <c r="R1019" s="17"/>
      <c r="S1019" s="17"/>
      <c r="T1019" s="17"/>
      <c r="U1019" s="17"/>
      <c r="V1019" s="17"/>
      <c r="AE1019" s="2"/>
      <c r="AQ1019" s="2"/>
      <c r="AR1019" s="2"/>
      <c r="AS1019" s="2"/>
      <c r="AT1019" s="2"/>
      <c r="AU1019" s="2"/>
      <c r="AV1019" s="2"/>
      <c r="AW1019" s="2"/>
      <c r="AX1019" s="2"/>
      <c r="AY1019" s="2"/>
    </row>
    <row r="1020" spans="1:51" x14ac:dyDescent="0.25">
      <c r="A1020" s="24">
        <v>44288</v>
      </c>
      <c r="B1020" s="1">
        <v>44288</v>
      </c>
      <c r="C1020">
        <v>0.28000000000000003</v>
      </c>
      <c r="D1020">
        <v>0.39</v>
      </c>
      <c r="E1020">
        <v>0.48</v>
      </c>
      <c r="F1020">
        <v>0.69</v>
      </c>
      <c r="G1020">
        <v>1.02</v>
      </c>
      <c r="H1020">
        <v>1.25</v>
      </c>
      <c r="I1020">
        <v>1.86</v>
      </c>
      <c r="J1020">
        <v>2.5499999999999998</v>
      </c>
      <c r="K1020">
        <v>3.06</v>
      </c>
      <c r="M1020" s="3"/>
      <c r="N1020" s="17"/>
      <c r="O1020" s="17"/>
      <c r="P1020" s="17"/>
      <c r="Q1020" s="17"/>
      <c r="R1020" s="17"/>
      <c r="S1020" s="17"/>
      <c r="T1020" s="17"/>
      <c r="U1020" s="17"/>
      <c r="V1020" s="17"/>
      <c r="AE1020" s="2"/>
      <c r="AQ1020" s="2"/>
      <c r="AR1020" s="2"/>
      <c r="AS1020" s="2"/>
      <c r="AT1020" s="2"/>
      <c r="AU1020" s="2"/>
      <c r="AV1020" s="2"/>
      <c r="AW1020" s="2"/>
      <c r="AX1020" s="2"/>
      <c r="AY1020" s="2"/>
    </row>
    <row r="1021" spans="1:51" x14ac:dyDescent="0.25">
      <c r="A1021" s="24">
        <v>44287</v>
      </c>
      <c r="B1021" s="1">
        <v>44287</v>
      </c>
      <c r="C1021">
        <v>0.27</v>
      </c>
      <c r="D1021">
        <v>0.37</v>
      </c>
      <c r="E1021">
        <v>0.45</v>
      </c>
      <c r="F1021">
        <v>0.65</v>
      </c>
      <c r="G1021">
        <v>0.98</v>
      </c>
      <c r="H1021">
        <v>1.24</v>
      </c>
      <c r="I1021">
        <v>2.0099999999999998</v>
      </c>
      <c r="J1021">
        <v>2.65</v>
      </c>
      <c r="K1021">
        <v>3.19</v>
      </c>
      <c r="M1021" s="3"/>
      <c r="N1021" s="17"/>
      <c r="O1021" s="17"/>
      <c r="P1021" s="17"/>
      <c r="Q1021" s="17"/>
      <c r="R1021" s="17"/>
      <c r="S1021" s="17"/>
      <c r="T1021" s="17"/>
      <c r="U1021" s="17"/>
      <c r="V1021" s="17"/>
      <c r="AE1021" s="2"/>
      <c r="AQ1021" s="2"/>
      <c r="AR1021" s="2"/>
      <c r="AS1021" s="2"/>
      <c r="AT1021" s="2"/>
      <c r="AU1021" s="2"/>
      <c r="AV1021" s="2"/>
      <c r="AW1021" s="2"/>
      <c r="AX1021" s="2"/>
      <c r="AY1021" s="2"/>
    </row>
    <row r="1022" spans="1:51" x14ac:dyDescent="0.25">
      <c r="A1022" s="24">
        <v>44286</v>
      </c>
      <c r="B1022" s="1">
        <v>44286</v>
      </c>
      <c r="C1022">
        <v>0.3</v>
      </c>
      <c r="D1022">
        <v>0.39</v>
      </c>
      <c r="E1022">
        <v>0.49</v>
      </c>
      <c r="F1022">
        <v>0.69</v>
      </c>
      <c r="G1022">
        <v>1</v>
      </c>
      <c r="H1022">
        <v>1.25</v>
      </c>
      <c r="I1022">
        <v>1.79</v>
      </c>
      <c r="J1022">
        <v>2.4900000000000002</v>
      </c>
      <c r="K1022">
        <v>3.01</v>
      </c>
      <c r="M1022" s="3"/>
      <c r="N1022" s="17"/>
      <c r="O1022" s="17"/>
      <c r="P1022" s="17"/>
      <c r="Q1022" s="17"/>
      <c r="R1022" s="17"/>
      <c r="S1022" s="17"/>
      <c r="T1022" s="17"/>
      <c r="U1022" s="17"/>
      <c r="V1022" s="17"/>
      <c r="AE1022" s="2"/>
      <c r="AQ1022" s="2"/>
      <c r="AR1022" s="2"/>
      <c r="AS1022" s="2"/>
      <c r="AT1022" s="2"/>
      <c r="AU1022" s="2"/>
      <c r="AV1022" s="2"/>
      <c r="AW1022" s="2"/>
      <c r="AX1022" s="2"/>
      <c r="AY1022" s="2"/>
    </row>
    <row r="1023" spans="1:51" x14ac:dyDescent="0.25">
      <c r="A1023" s="24">
        <v>44285</v>
      </c>
      <c r="B1023" s="1">
        <v>44285</v>
      </c>
      <c r="C1023">
        <v>0.28000000000000003</v>
      </c>
      <c r="D1023">
        <v>0.38</v>
      </c>
      <c r="E1023">
        <v>0.48</v>
      </c>
      <c r="F1023">
        <v>0.63</v>
      </c>
      <c r="G1023">
        <v>1</v>
      </c>
      <c r="H1023">
        <v>1.22</v>
      </c>
      <c r="I1023">
        <v>1.85</v>
      </c>
      <c r="J1023">
        <v>2.56</v>
      </c>
      <c r="K1023">
        <v>3.14</v>
      </c>
      <c r="M1023" s="3"/>
      <c r="N1023" s="17"/>
      <c r="O1023" s="17"/>
      <c r="P1023" s="17"/>
      <c r="Q1023" s="17"/>
      <c r="R1023" s="17"/>
      <c r="S1023" s="17"/>
      <c r="T1023" s="17"/>
      <c r="U1023" s="17"/>
      <c r="V1023" s="17"/>
      <c r="AE1023" s="2"/>
      <c r="AQ1023" s="2"/>
      <c r="AR1023" s="2"/>
      <c r="AS1023" s="2"/>
      <c r="AT1023" s="2"/>
      <c r="AU1023" s="2"/>
      <c r="AV1023" s="2"/>
      <c r="AW1023" s="2"/>
      <c r="AX1023" s="2"/>
      <c r="AY1023" s="2"/>
    </row>
    <row r="1024" spans="1:51" x14ac:dyDescent="0.25">
      <c r="A1024" s="24">
        <v>44284</v>
      </c>
      <c r="B1024" s="1">
        <v>44284</v>
      </c>
      <c r="C1024">
        <v>0.28000000000000003</v>
      </c>
      <c r="D1024">
        <v>0.38</v>
      </c>
      <c r="E1024">
        <v>0.48</v>
      </c>
      <c r="F1024">
        <v>0.63</v>
      </c>
      <c r="G1024">
        <v>1</v>
      </c>
      <c r="H1024">
        <v>1.22</v>
      </c>
      <c r="I1024">
        <v>1.82</v>
      </c>
      <c r="J1024">
        <v>2.5</v>
      </c>
      <c r="K1024">
        <v>2.96</v>
      </c>
      <c r="M1024" s="3"/>
      <c r="N1024" s="17"/>
      <c r="O1024" s="17"/>
      <c r="P1024" s="17"/>
      <c r="Q1024" s="17"/>
      <c r="R1024" s="17"/>
      <c r="S1024" s="17"/>
      <c r="T1024" s="17"/>
      <c r="U1024" s="17"/>
      <c r="V1024" s="17"/>
      <c r="AE1024" s="2"/>
      <c r="AQ1024" s="2"/>
      <c r="AR1024" s="2"/>
      <c r="AS1024" s="2"/>
      <c r="AT1024" s="2"/>
      <c r="AU1024" s="2"/>
      <c r="AV1024" s="2"/>
      <c r="AW1024" s="2"/>
      <c r="AX1024" s="2"/>
      <c r="AY1024" s="2"/>
    </row>
    <row r="1025" spans="1:51" x14ac:dyDescent="0.25">
      <c r="A1025" s="24">
        <v>44281</v>
      </c>
      <c r="B1025" s="1">
        <v>44281</v>
      </c>
      <c r="C1025">
        <v>0.28999999999999998</v>
      </c>
      <c r="D1025">
        <v>0.4</v>
      </c>
      <c r="E1025">
        <v>0.49</v>
      </c>
      <c r="F1025">
        <v>0.66</v>
      </c>
      <c r="G1025">
        <v>1.01</v>
      </c>
      <c r="H1025">
        <v>1.23</v>
      </c>
      <c r="I1025">
        <v>1.84</v>
      </c>
      <c r="J1025">
        <v>2.52</v>
      </c>
      <c r="K1025">
        <v>3.07</v>
      </c>
      <c r="M1025" s="3"/>
      <c r="N1025" s="17"/>
      <c r="O1025" s="17"/>
      <c r="P1025" s="17"/>
      <c r="Q1025" s="17"/>
      <c r="R1025" s="17"/>
      <c r="S1025" s="17"/>
      <c r="T1025" s="17"/>
      <c r="U1025" s="17"/>
      <c r="V1025" s="17"/>
      <c r="AE1025" s="2"/>
      <c r="AQ1025" s="2"/>
      <c r="AR1025" s="2"/>
      <c r="AS1025" s="2"/>
      <c r="AT1025" s="2"/>
      <c r="AU1025" s="2"/>
      <c r="AV1025" s="2"/>
      <c r="AW1025" s="2"/>
      <c r="AX1025" s="2"/>
      <c r="AY1025" s="2"/>
    </row>
    <row r="1026" spans="1:51" x14ac:dyDescent="0.25">
      <c r="A1026" s="24">
        <v>44280</v>
      </c>
      <c r="B1026" s="1">
        <v>44280</v>
      </c>
      <c r="C1026">
        <v>0.28999999999999998</v>
      </c>
      <c r="D1026">
        <v>0.4</v>
      </c>
      <c r="E1026">
        <v>0.48</v>
      </c>
      <c r="F1026">
        <v>0.67</v>
      </c>
      <c r="G1026">
        <v>1.03</v>
      </c>
      <c r="H1026">
        <v>1.25</v>
      </c>
      <c r="I1026">
        <v>1.98</v>
      </c>
      <c r="J1026">
        <v>2.64</v>
      </c>
      <c r="K1026">
        <v>3.19</v>
      </c>
      <c r="M1026" s="3"/>
      <c r="N1026" s="17"/>
      <c r="O1026" s="17"/>
      <c r="P1026" s="17"/>
      <c r="Q1026" s="17"/>
      <c r="R1026" s="17"/>
      <c r="S1026" s="17"/>
      <c r="T1026" s="17"/>
      <c r="U1026" s="17"/>
      <c r="V1026" s="17"/>
      <c r="AE1026" s="2"/>
      <c r="AQ1026" s="2"/>
      <c r="AR1026" s="2"/>
      <c r="AS1026" s="2"/>
      <c r="AT1026" s="2"/>
      <c r="AU1026" s="2"/>
      <c r="AV1026" s="2"/>
      <c r="AW1026" s="2"/>
      <c r="AX1026" s="2"/>
      <c r="AY1026" s="2"/>
    </row>
    <row r="1027" spans="1:51" x14ac:dyDescent="0.25">
      <c r="A1027" s="24">
        <v>44279</v>
      </c>
      <c r="B1027" s="1">
        <v>44279</v>
      </c>
      <c r="C1027">
        <v>0.28000000000000003</v>
      </c>
      <c r="D1027">
        <v>0.38</v>
      </c>
      <c r="E1027">
        <v>0.48</v>
      </c>
      <c r="F1027">
        <v>0.63</v>
      </c>
      <c r="G1027">
        <v>1</v>
      </c>
      <c r="H1027">
        <v>1.22</v>
      </c>
      <c r="I1027">
        <v>1.97</v>
      </c>
      <c r="J1027">
        <v>2.6</v>
      </c>
      <c r="K1027">
        <v>3.01</v>
      </c>
      <c r="M1027" s="3"/>
      <c r="N1027" s="17"/>
      <c r="O1027" s="17"/>
      <c r="P1027" s="17"/>
      <c r="Q1027" s="17"/>
      <c r="R1027" s="17"/>
      <c r="S1027" s="17"/>
      <c r="T1027" s="17"/>
      <c r="U1027" s="17"/>
      <c r="V1027" s="17"/>
      <c r="AE1027" s="2"/>
      <c r="AQ1027" s="2"/>
      <c r="AR1027" s="2"/>
      <c r="AS1027" s="2"/>
      <c r="AT1027" s="2"/>
      <c r="AU1027" s="2"/>
      <c r="AV1027" s="2"/>
      <c r="AW1027" s="2"/>
      <c r="AX1027" s="2"/>
      <c r="AY1027" s="2"/>
    </row>
    <row r="1028" spans="1:51" x14ac:dyDescent="0.25">
      <c r="A1028" s="24">
        <v>44278</v>
      </c>
      <c r="B1028" s="1">
        <v>44278</v>
      </c>
      <c r="C1028">
        <v>0.3</v>
      </c>
      <c r="D1028">
        <v>0.4</v>
      </c>
      <c r="E1028">
        <v>0.48</v>
      </c>
      <c r="F1028">
        <v>0.67</v>
      </c>
      <c r="G1028">
        <v>1.03</v>
      </c>
      <c r="H1028">
        <v>1.27</v>
      </c>
      <c r="I1028">
        <v>1.92</v>
      </c>
      <c r="J1028">
        <v>2.62</v>
      </c>
      <c r="K1028">
        <v>3.14</v>
      </c>
      <c r="M1028" s="3"/>
      <c r="N1028" s="17"/>
      <c r="O1028" s="17"/>
      <c r="P1028" s="17"/>
      <c r="Q1028" s="17"/>
      <c r="R1028" s="17"/>
      <c r="S1028" s="17"/>
      <c r="T1028" s="17"/>
      <c r="U1028" s="17"/>
      <c r="V1028" s="17"/>
      <c r="AE1028" s="2"/>
      <c r="AQ1028" s="2"/>
      <c r="AR1028" s="2"/>
      <c r="AS1028" s="2"/>
      <c r="AT1028" s="2"/>
      <c r="AU1028" s="2"/>
      <c r="AV1028" s="2"/>
      <c r="AW1028" s="2"/>
      <c r="AX1028" s="2"/>
      <c r="AY1028" s="2"/>
    </row>
    <row r="1029" spans="1:51" x14ac:dyDescent="0.25">
      <c r="A1029" s="24">
        <v>44277</v>
      </c>
      <c r="B1029" s="1">
        <v>44277</v>
      </c>
      <c r="C1029">
        <v>0.3</v>
      </c>
      <c r="D1029">
        <v>0.4</v>
      </c>
      <c r="E1029">
        <v>0.48</v>
      </c>
      <c r="F1029">
        <v>0.67</v>
      </c>
      <c r="G1029">
        <v>1.02</v>
      </c>
      <c r="H1029">
        <v>1.25</v>
      </c>
      <c r="I1029">
        <v>1.88</v>
      </c>
      <c r="J1029">
        <v>2.57</v>
      </c>
      <c r="K1029">
        <v>3.07</v>
      </c>
      <c r="M1029" s="3"/>
      <c r="N1029" s="17"/>
      <c r="O1029" s="17"/>
      <c r="P1029" s="17"/>
      <c r="Q1029" s="17"/>
      <c r="R1029" s="17"/>
      <c r="S1029" s="17"/>
      <c r="T1029" s="17"/>
      <c r="U1029" s="17"/>
      <c r="V1029" s="17"/>
      <c r="AE1029" s="2"/>
      <c r="AQ1029" s="2"/>
      <c r="AR1029" s="2"/>
      <c r="AS1029" s="2"/>
      <c r="AT1029" s="2"/>
      <c r="AU1029" s="2"/>
      <c r="AV1029" s="2"/>
      <c r="AW1029" s="2"/>
      <c r="AX1029" s="2"/>
      <c r="AY1029" s="2"/>
    </row>
    <row r="1030" spans="1:51" x14ac:dyDescent="0.25">
      <c r="A1030" s="24">
        <v>44274</v>
      </c>
      <c r="B1030" s="1">
        <v>44274</v>
      </c>
      <c r="C1030">
        <v>0.3</v>
      </c>
      <c r="D1030">
        <v>0.42</v>
      </c>
      <c r="E1030">
        <v>0.51</v>
      </c>
      <c r="F1030">
        <v>0.72</v>
      </c>
      <c r="G1030">
        <v>1.05</v>
      </c>
      <c r="H1030">
        <v>1.27</v>
      </c>
      <c r="I1030">
        <v>1.93</v>
      </c>
      <c r="J1030">
        <v>2.6</v>
      </c>
      <c r="K1030">
        <v>3.06</v>
      </c>
      <c r="M1030" s="3"/>
      <c r="N1030" s="17"/>
      <c r="O1030" s="17"/>
      <c r="P1030" s="17"/>
      <c r="Q1030" s="17"/>
      <c r="R1030" s="17"/>
      <c r="S1030" s="17"/>
      <c r="T1030" s="17"/>
      <c r="U1030" s="17"/>
      <c r="V1030" s="17"/>
      <c r="AE1030" s="2"/>
      <c r="AQ1030" s="2"/>
      <c r="AR1030" s="2"/>
      <c r="AS1030" s="2"/>
      <c r="AT1030" s="2"/>
      <c r="AU1030" s="2"/>
      <c r="AV1030" s="2"/>
      <c r="AW1030" s="2"/>
      <c r="AX1030" s="2"/>
      <c r="AY1030" s="2"/>
    </row>
    <row r="1031" spans="1:51" x14ac:dyDescent="0.25">
      <c r="A1031" s="24">
        <v>44273</v>
      </c>
      <c r="B1031" s="1">
        <v>44273</v>
      </c>
      <c r="C1031">
        <v>0.31</v>
      </c>
      <c r="D1031">
        <v>0.43</v>
      </c>
      <c r="E1031">
        <v>0.51</v>
      </c>
      <c r="F1031">
        <v>0.68</v>
      </c>
      <c r="G1031">
        <v>1.03</v>
      </c>
      <c r="H1031">
        <v>1.25</v>
      </c>
      <c r="I1031">
        <v>2.02</v>
      </c>
      <c r="J1031">
        <v>2.54</v>
      </c>
      <c r="K1031">
        <v>3.01</v>
      </c>
      <c r="M1031" s="3"/>
      <c r="N1031" s="17"/>
      <c r="O1031" s="17"/>
      <c r="P1031" s="17"/>
      <c r="Q1031" s="17"/>
      <c r="R1031" s="17"/>
      <c r="S1031" s="17"/>
      <c r="T1031" s="17"/>
      <c r="U1031" s="17"/>
      <c r="V1031" s="17"/>
      <c r="AE1031" s="2"/>
      <c r="AQ1031" s="2"/>
      <c r="AR1031" s="2"/>
      <c r="AS1031" s="2"/>
      <c r="AT1031" s="2"/>
      <c r="AU1031" s="2"/>
      <c r="AV1031" s="2"/>
      <c r="AW1031" s="2"/>
      <c r="AX1031" s="2"/>
      <c r="AY1031" s="2"/>
    </row>
    <row r="1032" spans="1:51" x14ac:dyDescent="0.25">
      <c r="A1032" s="24">
        <v>44272</v>
      </c>
      <c r="B1032" s="1">
        <v>44272</v>
      </c>
      <c r="C1032">
        <v>0.32</v>
      </c>
      <c r="D1032">
        <v>0.43</v>
      </c>
      <c r="E1032">
        <v>0.51</v>
      </c>
      <c r="F1032">
        <v>0.72</v>
      </c>
      <c r="G1032">
        <v>1.07</v>
      </c>
      <c r="H1032">
        <v>1.27</v>
      </c>
      <c r="I1032">
        <v>1.97</v>
      </c>
      <c r="J1032">
        <v>2.65</v>
      </c>
      <c r="K1032">
        <v>3.11</v>
      </c>
      <c r="M1032" s="3"/>
      <c r="N1032" s="17"/>
      <c r="O1032" s="17"/>
      <c r="P1032" s="17"/>
      <c r="Q1032" s="17"/>
      <c r="R1032" s="17"/>
      <c r="S1032" s="17"/>
      <c r="T1032" s="17"/>
      <c r="U1032" s="17"/>
      <c r="V1032" s="17"/>
      <c r="AE1032" s="2"/>
      <c r="AQ1032" s="2"/>
      <c r="AR1032" s="2"/>
      <c r="AS1032" s="2"/>
      <c r="AT1032" s="2"/>
      <c r="AU1032" s="2"/>
      <c r="AV1032" s="2"/>
      <c r="AW1032" s="2"/>
      <c r="AX1032" s="2"/>
      <c r="AY1032" s="2"/>
    </row>
    <row r="1033" spans="1:51" x14ac:dyDescent="0.25">
      <c r="A1033" s="24">
        <v>44271</v>
      </c>
      <c r="B1033" s="1">
        <v>44271</v>
      </c>
      <c r="C1033">
        <v>0.32</v>
      </c>
      <c r="D1033">
        <v>0.46</v>
      </c>
      <c r="E1033">
        <v>0.55000000000000004</v>
      </c>
      <c r="F1033">
        <v>0.74</v>
      </c>
      <c r="G1033">
        <v>1.0900000000000001</v>
      </c>
      <c r="H1033">
        <v>1.3</v>
      </c>
      <c r="I1033">
        <v>2.0099999999999998</v>
      </c>
      <c r="J1033">
        <v>2.58</v>
      </c>
      <c r="K1033">
        <v>2.97</v>
      </c>
      <c r="M1033" s="3"/>
      <c r="N1033" s="17"/>
      <c r="O1033" s="17"/>
      <c r="P1033" s="17"/>
      <c r="Q1033" s="17"/>
      <c r="R1033" s="17"/>
      <c r="S1033" s="17"/>
      <c r="T1033" s="17"/>
      <c r="U1033" s="17"/>
      <c r="V1033" s="17"/>
      <c r="AE1033" s="2"/>
      <c r="AQ1033" s="2"/>
      <c r="AR1033" s="2"/>
      <c r="AS1033" s="2"/>
      <c r="AT1033" s="2"/>
      <c r="AU1033" s="2"/>
      <c r="AV1033" s="2"/>
      <c r="AW1033" s="2"/>
      <c r="AX1033" s="2"/>
      <c r="AY1033" s="2"/>
    </row>
    <row r="1034" spans="1:51" x14ac:dyDescent="0.25">
      <c r="A1034" s="24">
        <v>44270</v>
      </c>
      <c r="B1034" s="1">
        <v>44270</v>
      </c>
      <c r="C1034">
        <v>0.33</v>
      </c>
      <c r="D1034">
        <v>0.47</v>
      </c>
      <c r="E1034">
        <v>0.57999999999999996</v>
      </c>
      <c r="F1034">
        <v>0.77</v>
      </c>
      <c r="G1034">
        <v>1.1299999999999999</v>
      </c>
      <c r="H1034">
        <v>1.35</v>
      </c>
      <c r="I1034">
        <v>2</v>
      </c>
      <c r="J1034">
        <v>2.63</v>
      </c>
      <c r="K1034">
        <v>3.06</v>
      </c>
      <c r="M1034" s="3"/>
      <c r="N1034" s="17"/>
      <c r="O1034" s="17"/>
      <c r="P1034" s="17"/>
      <c r="Q1034" s="17"/>
      <c r="R1034" s="17"/>
      <c r="S1034" s="17"/>
      <c r="T1034" s="17"/>
      <c r="U1034" s="17"/>
      <c r="V1034" s="17"/>
      <c r="AE1034" s="2"/>
      <c r="AQ1034" s="2"/>
      <c r="AR1034" s="2"/>
      <c r="AS1034" s="2"/>
      <c r="AT1034" s="2"/>
      <c r="AU1034" s="2"/>
      <c r="AV1034" s="2"/>
      <c r="AW1034" s="2"/>
      <c r="AX1034" s="2"/>
      <c r="AY1034" s="2"/>
    </row>
    <row r="1035" spans="1:51" x14ac:dyDescent="0.25">
      <c r="A1035" s="24">
        <v>44267</v>
      </c>
      <c r="B1035" s="1">
        <v>44267</v>
      </c>
      <c r="C1035">
        <v>0.35</v>
      </c>
      <c r="D1035">
        <v>0.46</v>
      </c>
      <c r="E1035">
        <v>0.57999999999999996</v>
      </c>
      <c r="F1035">
        <v>0.78</v>
      </c>
      <c r="G1035">
        <v>1.1299999999999999</v>
      </c>
      <c r="H1035">
        <v>1.3</v>
      </c>
      <c r="I1035">
        <v>1.98</v>
      </c>
      <c r="J1035">
        <v>2.62</v>
      </c>
      <c r="K1035">
        <v>3.01</v>
      </c>
      <c r="M1035" s="3"/>
      <c r="N1035" s="17"/>
      <c r="O1035" s="17"/>
      <c r="P1035" s="17"/>
      <c r="Q1035" s="17"/>
      <c r="R1035" s="17"/>
      <c r="S1035" s="17"/>
      <c r="T1035" s="17"/>
      <c r="U1035" s="17"/>
      <c r="V1035" s="17"/>
      <c r="AE1035" s="2"/>
      <c r="AQ1035" s="2"/>
      <c r="AR1035" s="2"/>
      <c r="AS1035" s="2"/>
      <c r="AT1035" s="2"/>
      <c r="AU1035" s="2"/>
      <c r="AV1035" s="2"/>
      <c r="AW1035" s="2"/>
      <c r="AX1035" s="2"/>
      <c r="AY1035" s="2"/>
    </row>
    <row r="1036" spans="1:51" x14ac:dyDescent="0.25">
      <c r="A1036" s="24">
        <v>44266</v>
      </c>
      <c r="B1036" s="1">
        <v>44266</v>
      </c>
      <c r="C1036">
        <v>0.34</v>
      </c>
      <c r="D1036">
        <v>0.48</v>
      </c>
      <c r="E1036">
        <v>0.6</v>
      </c>
      <c r="F1036">
        <v>0.78</v>
      </c>
      <c r="G1036">
        <v>1.1299999999999999</v>
      </c>
      <c r="H1036">
        <v>1.35</v>
      </c>
      <c r="I1036">
        <v>2</v>
      </c>
      <c r="J1036">
        <v>2.63</v>
      </c>
      <c r="K1036">
        <v>3.06</v>
      </c>
      <c r="M1036" s="3"/>
      <c r="N1036" s="17"/>
      <c r="O1036" s="17"/>
      <c r="P1036" s="17"/>
      <c r="Q1036" s="17"/>
      <c r="R1036" s="17"/>
      <c r="S1036" s="17"/>
      <c r="T1036" s="17"/>
      <c r="U1036" s="17"/>
      <c r="V1036" s="17"/>
      <c r="AE1036" s="2"/>
      <c r="AQ1036" s="2"/>
      <c r="AR1036" s="2"/>
      <c r="AS1036" s="2"/>
      <c r="AT1036" s="2"/>
      <c r="AU1036" s="2"/>
      <c r="AV1036" s="2"/>
      <c r="AW1036" s="2"/>
      <c r="AX1036" s="2"/>
      <c r="AY1036" s="2"/>
    </row>
    <row r="1037" spans="1:51" x14ac:dyDescent="0.25">
      <c r="A1037" s="24">
        <v>44265</v>
      </c>
      <c r="B1037" s="1">
        <v>44265</v>
      </c>
      <c r="C1037">
        <v>0.34</v>
      </c>
      <c r="D1037">
        <v>0.45</v>
      </c>
      <c r="E1037">
        <v>0.56000000000000005</v>
      </c>
      <c r="F1037">
        <v>0.76</v>
      </c>
      <c r="G1037">
        <v>1.1200000000000001</v>
      </c>
      <c r="H1037">
        <v>1.34</v>
      </c>
      <c r="I1037">
        <v>2.06</v>
      </c>
      <c r="J1037">
        <v>2.66</v>
      </c>
      <c r="K1037">
        <v>3.11</v>
      </c>
      <c r="M1037" s="3"/>
      <c r="N1037" s="17"/>
      <c r="O1037" s="17"/>
      <c r="P1037" s="17"/>
      <c r="Q1037" s="17"/>
      <c r="R1037" s="17"/>
      <c r="S1037" s="17"/>
      <c r="T1037" s="17"/>
      <c r="U1037" s="17"/>
      <c r="V1037" s="17"/>
      <c r="AE1037" s="2"/>
      <c r="AQ1037" s="2"/>
      <c r="AR1037" s="2"/>
      <c r="AS1037" s="2"/>
      <c r="AT1037" s="2"/>
      <c r="AU1037" s="2"/>
      <c r="AV1037" s="2"/>
      <c r="AW1037" s="2"/>
      <c r="AX1037" s="2"/>
      <c r="AY1037" s="2"/>
    </row>
    <row r="1038" spans="1:51" x14ac:dyDescent="0.25">
      <c r="A1038" s="24">
        <v>44264</v>
      </c>
      <c r="B1038" s="1">
        <v>44264</v>
      </c>
      <c r="C1038">
        <v>0.34</v>
      </c>
      <c r="D1038">
        <v>0.46</v>
      </c>
      <c r="E1038">
        <v>0.57999999999999996</v>
      </c>
      <c r="F1038">
        <v>0.78</v>
      </c>
      <c r="G1038">
        <v>1.1399999999999999</v>
      </c>
      <c r="H1038">
        <v>1.38</v>
      </c>
      <c r="I1038">
        <v>1.98</v>
      </c>
      <c r="J1038">
        <v>2.56</v>
      </c>
      <c r="K1038">
        <v>2.95</v>
      </c>
      <c r="M1038" s="3"/>
      <c r="N1038" s="17"/>
      <c r="O1038" s="17"/>
      <c r="P1038" s="17"/>
      <c r="Q1038" s="17"/>
      <c r="R1038" s="17"/>
      <c r="S1038" s="17"/>
      <c r="T1038" s="17"/>
      <c r="U1038" s="17"/>
      <c r="V1038" s="17"/>
      <c r="AE1038" s="2"/>
      <c r="AQ1038" s="2"/>
      <c r="AR1038" s="2"/>
      <c r="AS1038" s="2"/>
      <c r="AT1038" s="2"/>
      <c r="AU1038" s="2"/>
      <c r="AV1038" s="2"/>
      <c r="AW1038" s="2"/>
      <c r="AX1038" s="2"/>
      <c r="AY1038" s="2"/>
    </row>
    <row r="1039" spans="1:51" x14ac:dyDescent="0.25">
      <c r="A1039" s="24">
        <v>44263</v>
      </c>
      <c r="B1039" s="1">
        <v>44263</v>
      </c>
      <c r="C1039">
        <v>0.34</v>
      </c>
      <c r="D1039">
        <v>0.51</v>
      </c>
      <c r="E1039">
        <v>0.6</v>
      </c>
      <c r="F1039">
        <v>0.88</v>
      </c>
      <c r="G1039">
        <v>1.26</v>
      </c>
      <c r="H1039">
        <v>1.5</v>
      </c>
      <c r="I1039">
        <v>2.14</v>
      </c>
      <c r="J1039">
        <v>2.84</v>
      </c>
      <c r="K1039">
        <v>3.51</v>
      </c>
      <c r="M1039" s="3"/>
      <c r="N1039" s="17"/>
      <c r="O1039" s="17"/>
      <c r="P1039" s="17"/>
      <c r="Q1039" s="17"/>
      <c r="R1039" s="17"/>
      <c r="S1039" s="17"/>
      <c r="T1039" s="17"/>
      <c r="U1039" s="17"/>
      <c r="V1039" s="17"/>
      <c r="AE1039" s="2"/>
      <c r="AQ1039" s="2"/>
      <c r="AR1039" s="2"/>
      <c r="AS1039" s="2"/>
      <c r="AT1039" s="2"/>
      <c r="AU1039" s="2"/>
      <c r="AV1039" s="2"/>
      <c r="AW1039" s="2"/>
      <c r="AX1039" s="2"/>
      <c r="AY1039" s="2"/>
    </row>
    <row r="1040" spans="1:51" x14ac:dyDescent="0.25">
      <c r="A1040" s="24">
        <v>44260</v>
      </c>
      <c r="B1040" s="1">
        <v>44260</v>
      </c>
      <c r="C1040">
        <v>0.36</v>
      </c>
      <c r="D1040">
        <v>0.53</v>
      </c>
      <c r="E1040">
        <v>0.64</v>
      </c>
      <c r="F1040">
        <v>0.9</v>
      </c>
      <c r="G1040">
        <v>1.24</v>
      </c>
      <c r="H1040">
        <v>1.44</v>
      </c>
      <c r="I1040">
        <v>2.09</v>
      </c>
      <c r="J1040">
        <v>2.68</v>
      </c>
      <c r="K1040">
        <v>3.09</v>
      </c>
      <c r="M1040" s="3"/>
      <c r="N1040" s="17"/>
      <c r="O1040" s="17"/>
      <c r="P1040" s="17"/>
      <c r="Q1040" s="17"/>
      <c r="R1040" s="17"/>
      <c r="S1040" s="17"/>
      <c r="T1040" s="17"/>
      <c r="U1040" s="17"/>
      <c r="V1040" s="17"/>
      <c r="AE1040" s="2"/>
      <c r="AQ1040" s="2"/>
      <c r="AR1040" s="2"/>
      <c r="AS1040" s="2"/>
      <c r="AT1040" s="2"/>
      <c r="AU1040" s="2"/>
      <c r="AV1040" s="2"/>
      <c r="AW1040" s="2"/>
      <c r="AX1040" s="2"/>
      <c r="AY1040" s="2"/>
    </row>
    <row r="1041" spans="1:51" x14ac:dyDescent="0.25">
      <c r="A1041" s="24">
        <v>44259</v>
      </c>
      <c r="B1041" s="1">
        <v>44259</v>
      </c>
      <c r="C1041">
        <v>0.34</v>
      </c>
      <c r="D1041">
        <v>0.51</v>
      </c>
      <c r="E1041">
        <v>0.63</v>
      </c>
      <c r="F1041">
        <v>0.87</v>
      </c>
      <c r="G1041">
        <v>1.2</v>
      </c>
      <c r="H1041">
        <v>1.4</v>
      </c>
      <c r="I1041">
        <v>2.09</v>
      </c>
      <c r="J1041">
        <v>2.68</v>
      </c>
      <c r="K1041">
        <v>3.15</v>
      </c>
      <c r="M1041" s="3"/>
      <c r="N1041" s="17"/>
      <c r="O1041" s="17"/>
      <c r="P1041" s="17"/>
      <c r="Q1041" s="17"/>
      <c r="R1041" s="17"/>
      <c r="S1041" s="17"/>
      <c r="T1041" s="17"/>
      <c r="U1041" s="17"/>
      <c r="V1041" s="17"/>
      <c r="AE1041" s="2"/>
      <c r="AQ1041" s="2"/>
      <c r="AR1041" s="2"/>
      <c r="AS1041" s="2"/>
      <c r="AT1041" s="2"/>
      <c r="AU1041" s="2"/>
      <c r="AV1041" s="2"/>
      <c r="AW1041" s="2"/>
      <c r="AX1041" s="2"/>
      <c r="AY1041" s="2"/>
    </row>
    <row r="1042" spans="1:51" x14ac:dyDescent="0.25">
      <c r="A1042" s="24">
        <v>44258</v>
      </c>
      <c r="B1042" s="1">
        <v>44258</v>
      </c>
      <c r="C1042">
        <v>0.39</v>
      </c>
      <c r="D1042">
        <v>0.54</v>
      </c>
      <c r="E1042">
        <v>0.66</v>
      </c>
      <c r="F1042">
        <v>0.93</v>
      </c>
      <c r="G1042">
        <v>1.26</v>
      </c>
      <c r="H1042">
        <v>1.43</v>
      </c>
      <c r="I1042">
        <v>2.11</v>
      </c>
      <c r="J1042">
        <v>2.69</v>
      </c>
      <c r="K1042">
        <v>3.15</v>
      </c>
      <c r="M1042" s="3"/>
      <c r="N1042" s="17"/>
      <c r="O1042" s="17"/>
      <c r="P1042" s="17"/>
      <c r="Q1042" s="17"/>
      <c r="R1042" s="17"/>
      <c r="S1042" s="17"/>
      <c r="T1042" s="17"/>
      <c r="U1042" s="17"/>
      <c r="V1042" s="17"/>
      <c r="AE1042" s="2"/>
      <c r="AQ1042" s="2"/>
      <c r="AR1042" s="2"/>
      <c r="AS1042" s="2"/>
      <c r="AT1042" s="2"/>
      <c r="AU1042" s="2"/>
      <c r="AV1042" s="2"/>
      <c r="AW1042" s="2"/>
      <c r="AX1042" s="2"/>
      <c r="AY1042" s="2"/>
    </row>
    <row r="1043" spans="1:51" x14ac:dyDescent="0.25">
      <c r="A1043" s="24">
        <v>44257</v>
      </c>
      <c r="B1043" s="1">
        <v>44257</v>
      </c>
      <c r="C1043">
        <v>0.4</v>
      </c>
      <c r="D1043">
        <v>0.54</v>
      </c>
      <c r="E1043">
        <v>0.66</v>
      </c>
      <c r="F1043">
        <v>0.98</v>
      </c>
      <c r="G1043">
        <v>1.32</v>
      </c>
      <c r="H1043">
        <v>1.52</v>
      </c>
      <c r="I1043">
        <v>2.1</v>
      </c>
      <c r="J1043">
        <v>2.66</v>
      </c>
      <c r="K1043">
        <v>3.15</v>
      </c>
      <c r="M1043" s="3"/>
      <c r="N1043" s="17"/>
      <c r="O1043" s="17"/>
      <c r="P1043" s="17"/>
      <c r="Q1043" s="17"/>
      <c r="R1043" s="17"/>
      <c r="S1043" s="17"/>
      <c r="T1043" s="17"/>
      <c r="U1043" s="17"/>
      <c r="V1043" s="17"/>
      <c r="AE1043" s="2"/>
      <c r="AQ1043" s="2"/>
      <c r="AR1043" s="2"/>
      <c r="AS1043" s="2"/>
      <c r="AT1043" s="2"/>
      <c r="AU1043" s="2"/>
      <c r="AV1043" s="2"/>
      <c r="AW1043" s="2"/>
      <c r="AX1043" s="2"/>
      <c r="AY1043" s="2"/>
    </row>
    <row r="1044" spans="1:51" x14ac:dyDescent="0.25">
      <c r="A1044" s="24">
        <v>44256</v>
      </c>
      <c r="B1044" s="1">
        <v>44256</v>
      </c>
      <c r="C1044">
        <v>0.42</v>
      </c>
      <c r="D1044">
        <v>0.55000000000000004</v>
      </c>
      <c r="E1044">
        <v>0.7</v>
      </c>
      <c r="F1044">
        <v>0.97</v>
      </c>
      <c r="G1044">
        <v>1.28</v>
      </c>
      <c r="H1044">
        <v>1.48</v>
      </c>
      <c r="I1044">
        <v>2.08</v>
      </c>
      <c r="J1044">
        <v>2.65</v>
      </c>
      <c r="K1044">
        <v>3.01</v>
      </c>
      <c r="M1044" s="3"/>
      <c r="N1044" s="17"/>
      <c r="O1044" s="17"/>
      <c r="P1044" s="17"/>
      <c r="Q1044" s="17"/>
      <c r="R1044" s="17"/>
      <c r="S1044" s="17"/>
      <c r="T1044" s="17"/>
      <c r="U1044" s="17"/>
      <c r="V1044" s="17"/>
      <c r="AE1044" s="2"/>
      <c r="AQ1044" s="2"/>
      <c r="AR1044" s="2"/>
      <c r="AS1044" s="2"/>
      <c r="AT1044" s="2"/>
      <c r="AU1044" s="2"/>
      <c r="AV1044" s="2"/>
      <c r="AW1044" s="2"/>
      <c r="AX1044" s="2"/>
      <c r="AY1044" s="2"/>
    </row>
    <row r="1045" spans="1:51" x14ac:dyDescent="0.25">
      <c r="A1045" s="24">
        <v>44253</v>
      </c>
      <c r="B1045" s="1">
        <v>44253</v>
      </c>
      <c r="C1045">
        <v>0.4</v>
      </c>
      <c r="D1045">
        <v>0.5</v>
      </c>
      <c r="E1045">
        <v>0.66</v>
      </c>
      <c r="F1045">
        <v>0.9</v>
      </c>
      <c r="G1045">
        <v>1.32</v>
      </c>
      <c r="H1045">
        <v>1.58</v>
      </c>
      <c r="I1045">
        <v>2.06</v>
      </c>
      <c r="J1045">
        <v>2.65</v>
      </c>
      <c r="K1045">
        <v>3.14</v>
      </c>
      <c r="M1045" s="3"/>
      <c r="N1045" s="17"/>
      <c r="O1045" s="17"/>
      <c r="P1045" s="17"/>
      <c r="Q1045" s="17"/>
      <c r="R1045" s="17"/>
      <c r="S1045" s="17"/>
      <c r="T1045" s="17"/>
      <c r="U1045" s="17"/>
      <c r="V1045" s="17"/>
      <c r="AE1045" s="2"/>
      <c r="AQ1045" s="2"/>
      <c r="AR1045" s="2"/>
      <c r="AS1045" s="2"/>
      <c r="AT1045" s="2"/>
      <c r="AU1045" s="2"/>
      <c r="AV1045" s="2"/>
      <c r="AW1045" s="2"/>
      <c r="AX1045" s="2"/>
      <c r="AY1045" s="2"/>
    </row>
    <row r="1046" spans="1:51" x14ac:dyDescent="0.25">
      <c r="A1046" s="24">
        <v>44252</v>
      </c>
      <c r="B1046" s="1">
        <v>44252</v>
      </c>
      <c r="C1046">
        <v>0.4</v>
      </c>
      <c r="D1046">
        <v>0.54</v>
      </c>
      <c r="E1046">
        <v>0.68</v>
      </c>
      <c r="F1046">
        <v>0.94</v>
      </c>
      <c r="G1046">
        <v>1.3</v>
      </c>
      <c r="H1046">
        <v>1.56</v>
      </c>
      <c r="I1046">
        <v>2.2000000000000002</v>
      </c>
      <c r="J1046">
        <v>2.82</v>
      </c>
      <c r="K1046">
        <v>3.2</v>
      </c>
      <c r="M1046" s="3"/>
      <c r="N1046" s="17"/>
      <c r="O1046" s="17"/>
      <c r="P1046" s="17"/>
      <c r="Q1046" s="17"/>
      <c r="R1046" s="17"/>
      <c r="S1046" s="17"/>
      <c r="T1046" s="17"/>
      <c r="U1046" s="17"/>
      <c r="V1046" s="17"/>
      <c r="AE1046" s="2"/>
      <c r="AQ1046" s="2"/>
      <c r="AR1046" s="2"/>
      <c r="AS1046" s="2"/>
      <c r="AT1046" s="2"/>
      <c r="AU1046" s="2"/>
      <c r="AV1046" s="2"/>
      <c r="AW1046" s="2"/>
      <c r="AX1046" s="2"/>
      <c r="AY1046" s="2"/>
    </row>
    <row r="1047" spans="1:51" x14ac:dyDescent="0.25">
      <c r="A1047" s="24">
        <v>44251</v>
      </c>
      <c r="B1047" s="1">
        <v>44251</v>
      </c>
      <c r="C1047">
        <v>0.4</v>
      </c>
      <c r="D1047">
        <v>0.56000000000000005</v>
      </c>
      <c r="E1047">
        <v>0.72</v>
      </c>
      <c r="F1047">
        <v>0.94</v>
      </c>
      <c r="G1047">
        <v>1.28</v>
      </c>
      <c r="H1047">
        <v>1.52</v>
      </c>
      <c r="I1047">
        <v>2.1</v>
      </c>
      <c r="J1047">
        <v>2.7</v>
      </c>
      <c r="K1047">
        <v>3.02</v>
      </c>
      <c r="M1047" s="3"/>
      <c r="N1047" s="17"/>
      <c r="O1047" s="17"/>
      <c r="P1047" s="17"/>
      <c r="Q1047" s="17"/>
      <c r="R1047" s="17"/>
      <c r="S1047" s="17"/>
      <c r="T1047" s="17"/>
      <c r="U1047" s="17"/>
      <c r="V1047" s="17"/>
      <c r="AE1047" s="2"/>
      <c r="AQ1047" s="2"/>
      <c r="AR1047" s="2"/>
      <c r="AS1047" s="2"/>
      <c r="AT1047" s="2"/>
      <c r="AU1047" s="2"/>
      <c r="AV1047" s="2"/>
      <c r="AW1047" s="2"/>
      <c r="AX1047" s="2"/>
      <c r="AY1047" s="2"/>
    </row>
    <row r="1048" spans="1:51" x14ac:dyDescent="0.25">
      <c r="A1048" s="24">
        <v>44250</v>
      </c>
      <c r="B1048" s="1">
        <v>44250</v>
      </c>
      <c r="C1048">
        <v>0.44</v>
      </c>
      <c r="D1048">
        <v>0.57999999999999996</v>
      </c>
      <c r="E1048">
        <v>0.76</v>
      </c>
      <c r="F1048">
        <v>0.96</v>
      </c>
      <c r="G1048">
        <v>1.34</v>
      </c>
      <c r="H1048">
        <v>1.6</v>
      </c>
      <c r="I1048">
        <v>2.16</v>
      </c>
      <c r="J1048">
        <v>2.83</v>
      </c>
      <c r="K1048">
        <v>3.23</v>
      </c>
      <c r="M1048" s="3"/>
      <c r="N1048" s="17"/>
      <c r="O1048" s="17"/>
      <c r="P1048" s="17"/>
      <c r="Q1048" s="17"/>
      <c r="R1048" s="17"/>
      <c r="S1048" s="17"/>
      <c r="T1048" s="17"/>
      <c r="U1048" s="17"/>
      <c r="V1048" s="17"/>
      <c r="AE1048" s="2"/>
      <c r="AQ1048" s="2"/>
      <c r="AR1048" s="2"/>
      <c r="AS1048" s="2"/>
      <c r="AT1048" s="2"/>
      <c r="AU1048" s="2"/>
      <c r="AV1048" s="2"/>
      <c r="AW1048" s="2"/>
      <c r="AX1048" s="2"/>
      <c r="AY1048" s="2"/>
    </row>
    <row r="1049" spans="1:51" x14ac:dyDescent="0.25">
      <c r="A1049" s="24">
        <v>44249</v>
      </c>
      <c r="B1049" s="1">
        <v>44249</v>
      </c>
      <c r="C1049">
        <v>0.57999999999999996</v>
      </c>
      <c r="D1049">
        <v>0.66</v>
      </c>
      <c r="E1049">
        <v>0.84</v>
      </c>
      <c r="F1049">
        <v>1.02</v>
      </c>
      <c r="G1049">
        <v>1.42</v>
      </c>
      <c r="H1049">
        <v>1.72</v>
      </c>
      <c r="I1049">
        <v>2.2599999999999998</v>
      </c>
      <c r="J1049">
        <v>2.9</v>
      </c>
      <c r="K1049">
        <v>3.35</v>
      </c>
      <c r="M1049" s="3"/>
      <c r="N1049" s="17"/>
      <c r="O1049" s="17"/>
      <c r="P1049" s="17"/>
      <c r="Q1049" s="17"/>
      <c r="R1049" s="17"/>
      <c r="S1049" s="17"/>
      <c r="T1049" s="17"/>
      <c r="U1049" s="17"/>
      <c r="V1049" s="17"/>
      <c r="AE1049" s="2"/>
      <c r="AQ1049" s="2"/>
      <c r="AR1049" s="2"/>
      <c r="AS1049" s="2"/>
      <c r="AT1049" s="2"/>
      <c r="AU1049" s="2"/>
      <c r="AV1049" s="2"/>
      <c r="AW1049" s="2"/>
      <c r="AX1049" s="2"/>
      <c r="AY1049" s="2"/>
    </row>
    <row r="1050" spans="1:51" x14ac:dyDescent="0.25">
      <c r="A1050" s="24">
        <v>44246</v>
      </c>
      <c r="B1050" s="1">
        <v>44246</v>
      </c>
      <c r="C1050">
        <v>0.73</v>
      </c>
      <c r="D1050">
        <v>0.83</v>
      </c>
      <c r="E1050">
        <v>0.99</v>
      </c>
      <c r="F1050">
        <v>1.1599999999999999</v>
      </c>
      <c r="G1050">
        <v>1.57</v>
      </c>
      <c r="H1050">
        <v>1.79</v>
      </c>
      <c r="I1050">
        <v>2.27</v>
      </c>
      <c r="J1050">
        <v>2.78</v>
      </c>
      <c r="K1050">
        <v>3.17</v>
      </c>
      <c r="M1050" s="3"/>
      <c r="N1050" s="17"/>
      <c r="O1050" s="17"/>
      <c r="P1050" s="17"/>
      <c r="Q1050" s="17"/>
      <c r="R1050" s="17"/>
      <c r="S1050" s="17"/>
      <c r="T1050" s="17"/>
      <c r="U1050" s="17"/>
      <c r="V1050" s="17"/>
      <c r="AE1050" s="2"/>
      <c r="AQ1050" s="2"/>
      <c r="AR1050" s="2"/>
      <c r="AS1050" s="2"/>
      <c r="AT1050" s="2"/>
      <c r="AU1050" s="2"/>
      <c r="AV1050" s="2"/>
      <c r="AW1050" s="2"/>
      <c r="AX1050" s="2"/>
      <c r="AY1050" s="2"/>
    </row>
    <row r="1051" spans="1:51" x14ac:dyDescent="0.25">
      <c r="A1051" s="24">
        <v>44245</v>
      </c>
      <c r="B1051" s="1">
        <v>44245</v>
      </c>
      <c r="C1051">
        <v>1.47</v>
      </c>
      <c r="D1051">
        <v>1.53</v>
      </c>
      <c r="E1051">
        <v>1.68</v>
      </c>
      <c r="F1051">
        <v>1.72</v>
      </c>
      <c r="G1051">
        <v>1.87</v>
      </c>
      <c r="H1051">
        <v>1.98</v>
      </c>
      <c r="I1051">
        <v>2.38</v>
      </c>
      <c r="J1051">
        <v>2.9</v>
      </c>
      <c r="K1051">
        <v>3.22</v>
      </c>
      <c r="M1051" s="3"/>
      <c r="N1051" s="17"/>
      <c r="O1051" s="17"/>
      <c r="P1051" s="17"/>
      <c r="Q1051" s="17"/>
      <c r="R1051" s="17"/>
      <c r="S1051" s="17"/>
      <c r="T1051" s="17"/>
      <c r="U1051" s="17"/>
      <c r="V1051" s="17"/>
      <c r="AE1051" s="2"/>
      <c r="AQ1051" s="2"/>
      <c r="AR1051" s="2"/>
      <c r="AS1051" s="2"/>
      <c r="AT1051" s="2"/>
      <c r="AU1051" s="2"/>
      <c r="AV1051" s="2"/>
      <c r="AW1051" s="2"/>
      <c r="AX1051" s="2"/>
      <c r="AY1051" s="2"/>
    </row>
    <row r="1052" spans="1:51" x14ac:dyDescent="0.25">
      <c r="A1052" s="24">
        <v>44244</v>
      </c>
      <c r="B1052" s="1">
        <v>44244</v>
      </c>
      <c r="C1052">
        <v>2.23</v>
      </c>
      <c r="D1052">
        <v>2.35</v>
      </c>
      <c r="E1052">
        <v>2.35</v>
      </c>
      <c r="F1052">
        <v>2.33</v>
      </c>
      <c r="G1052">
        <v>2.1</v>
      </c>
      <c r="H1052">
        <v>2.1</v>
      </c>
      <c r="I1052">
        <v>2.68</v>
      </c>
      <c r="J1052">
        <v>3.14</v>
      </c>
      <c r="K1052">
        <v>3.58</v>
      </c>
      <c r="M1052" s="3"/>
      <c r="N1052" s="17"/>
      <c r="O1052" s="17"/>
      <c r="P1052" s="17"/>
      <c r="Q1052" s="17"/>
      <c r="R1052" s="17"/>
      <c r="S1052" s="17"/>
      <c r="T1052" s="17"/>
      <c r="U1052" s="17"/>
      <c r="V1052" s="17"/>
      <c r="AE1052" s="2"/>
      <c r="AQ1052" s="2"/>
      <c r="AR1052" s="2"/>
      <c r="AS1052" s="2"/>
      <c r="AT1052" s="2"/>
      <c r="AU1052" s="2"/>
      <c r="AV1052" s="2"/>
      <c r="AW1052" s="2"/>
      <c r="AX1052" s="2"/>
      <c r="AY1052" s="2"/>
    </row>
    <row r="1053" spans="1:51" x14ac:dyDescent="0.25">
      <c r="A1053" s="24">
        <v>44236</v>
      </c>
      <c r="B1053" s="1">
        <v>44236</v>
      </c>
      <c r="C1053">
        <v>2.6</v>
      </c>
      <c r="D1053">
        <v>2.6</v>
      </c>
      <c r="E1053">
        <v>2.38</v>
      </c>
      <c r="F1053">
        <v>2.2999999999999998</v>
      </c>
      <c r="G1053">
        <v>2.2799999999999998</v>
      </c>
      <c r="H1053">
        <v>2.2799999999999998</v>
      </c>
      <c r="I1053">
        <v>2.6</v>
      </c>
      <c r="J1053">
        <v>3</v>
      </c>
      <c r="K1053">
        <v>3.48</v>
      </c>
      <c r="M1053" s="3"/>
      <c r="N1053" s="17"/>
      <c r="O1053" s="17"/>
      <c r="P1053" s="17"/>
      <c r="Q1053" s="17"/>
      <c r="R1053" s="17"/>
      <c r="S1053" s="17"/>
      <c r="T1053" s="17"/>
      <c r="U1053" s="17"/>
      <c r="V1053" s="17"/>
      <c r="AE1053" s="2"/>
      <c r="AQ1053" s="2"/>
      <c r="AR1053" s="2"/>
      <c r="AS1053" s="2"/>
      <c r="AT1053" s="2"/>
      <c r="AU1053" s="2"/>
      <c r="AV1053" s="2"/>
      <c r="AW1053" s="2"/>
      <c r="AX1053" s="2"/>
      <c r="AY1053" s="2"/>
    </row>
    <row r="1054" spans="1:51" x14ac:dyDescent="0.25">
      <c r="A1054" s="24">
        <v>44235</v>
      </c>
      <c r="B1054" s="1">
        <v>44235</v>
      </c>
      <c r="C1054">
        <v>2.2000000000000002</v>
      </c>
      <c r="D1054">
        <v>2.3199999999999998</v>
      </c>
      <c r="E1054">
        <v>2.36</v>
      </c>
      <c r="F1054">
        <v>2.2000000000000002</v>
      </c>
      <c r="G1054">
        <v>2.08</v>
      </c>
      <c r="H1054">
        <v>2.12</v>
      </c>
      <c r="I1054">
        <v>2.52</v>
      </c>
      <c r="J1054">
        <v>2.83</v>
      </c>
      <c r="K1054">
        <v>3.25</v>
      </c>
      <c r="M1054" s="3"/>
      <c r="N1054" s="17"/>
      <c r="O1054" s="17"/>
      <c r="P1054" s="17"/>
      <c r="Q1054" s="17"/>
      <c r="R1054" s="17"/>
      <c r="S1054" s="17"/>
      <c r="T1054" s="17"/>
      <c r="U1054" s="17"/>
      <c r="V1054" s="17"/>
      <c r="AE1054" s="2"/>
      <c r="AQ1054" s="2"/>
      <c r="AR1054" s="2"/>
      <c r="AS1054" s="2"/>
      <c r="AT1054" s="2"/>
      <c r="AU1054" s="2"/>
      <c r="AV1054" s="2"/>
      <c r="AW1054" s="2"/>
      <c r="AX1054" s="2"/>
      <c r="AY1054" s="2"/>
    </row>
    <row r="1055" spans="1:51" x14ac:dyDescent="0.25">
      <c r="A1055" s="24">
        <v>44232</v>
      </c>
      <c r="B1055" s="1">
        <v>44232</v>
      </c>
      <c r="C1055">
        <v>2</v>
      </c>
      <c r="D1055">
        <v>2.1800000000000002</v>
      </c>
      <c r="E1055">
        <v>2.25</v>
      </c>
      <c r="F1055">
        <v>2.2000000000000002</v>
      </c>
      <c r="G1055">
        <v>2.0499999999999998</v>
      </c>
      <c r="H1055">
        <v>2.08</v>
      </c>
      <c r="I1055">
        <v>2.6</v>
      </c>
      <c r="J1055">
        <v>3.08</v>
      </c>
      <c r="K1055">
        <v>3.52</v>
      </c>
      <c r="M1055" s="3"/>
      <c r="N1055" s="17"/>
      <c r="O1055" s="17"/>
      <c r="P1055" s="17"/>
      <c r="Q1055" s="17"/>
      <c r="R1055" s="17"/>
      <c r="S1055" s="17"/>
      <c r="T1055" s="17"/>
      <c r="U1055" s="17"/>
      <c r="V1055" s="17"/>
      <c r="AE1055" s="2"/>
      <c r="AQ1055" s="2"/>
      <c r="AR1055" s="2"/>
      <c r="AS1055" s="2"/>
      <c r="AT1055" s="2"/>
      <c r="AU1055" s="2"/>
      <c r="AV1055" s="2"/>
      <c r="AW1055" s="2"/>
      <c r="AX1055" s="2"/>
      <c r="AY1055" s="2"/>
    </row>
    <row r="1056" spans="1:51" x14ac:dyDescent="0.25">
      <c r="A1056" s="24">
        <v>44231</v>
      </c>
      <c r="B1056" s="1">
        <v>44231</v>
      </c>
      <c r="C1056">
        <v>2.0299999999999998</v>
      </c>
      <c r="D1056">
        <v>2.14</v>
      </c>
      <c r="E1056">
        <v>2.1800000000000002</v>
      </c>
      <c r="F1056">
        <v>2.2200000000000002</v>
      </c>
      <c r="G1056">
        <v>2.0699999999999998</v>
      </c>
      <c r="H1056">
        <v>2.12</v>
      </c>
      <c r="I1056">
        <v>2.6</v>
      </c>
      <c r="J1056">
        <v>3.05</v>
      </c>
      <c r="K1056">
        <v>3.6</v>
      </c>
      <c r="M1056" s="3"/>
      <c r="N1056" s="17"/>
      <c r="O1056" s="17"/>
      <c r="P1056" s="17"/>
      <c r="Q1056" s="17"/>
      <c r="R1056" s="17"/>
      <c r="S1056" s="17"/>
      <c r="T1056" s="17"/>
      <c r="U1056" s="17"/>
      <c r="V1056" s="17"/>
      <c r="AE1056" s="2"/>
      <c r="AQ1056" s="2"/>
      <c r="AR1056" s="2"/>
      <c r="AS1056" s="2"/>
      <c r="AT1056" s="2"/>
      <c r="AU1056" s="2"/>
      <c r="AV1056" s="2"/>
      <c r="AW1056" s="2"/>
      <c r="AX1056" s="2"/>
      <c r="AY1056" s="2"/>
    </row>
    <row r="1057" spans="1:51" x14ac:dyDescent="0.25">
      <c r="A1057" s="24">
        <v>44230</v>
      </c>
      <c r="B1057" s="1">
        <v>44230</v>
      </c>
      <c r="C1057">
        <v>2.15</v>
      </c>
      <c r="D1057">
        <v>2.27</v>
      </c>
      <c r="E1057">
        <v>2.38</v>
      </c>
      <c r="F1057">
        <v>2.38</v>
      </c>
      <c r="G1057">
        <v>2.2599999999999998</v>
      </c>
      <c r="H1057">
        <v>2.23</v>
      </c>
      <c r="I1057">
        <v>2.68</v>
      </c>
      <c r="J1057">
        <v>3.1</v>
      </c>
      <c r="K1057">
        <v>3.64</v>
      </c>
      <c r="M1057" s="3"/>
      <c r="N1057" s="17"/>
      <c r="O1057" s="17"/>
      <c r="P1057" s="17"/>
      <c r="Q1057" s="17"/>
      <c r="R1057" s="17"/>
      <c r="S1057" s="17"/>
      <c r="T1057" s="17"/>
      <c r="U1057" s="17"/>
      <c r="V1057" s="17"/>
      <c r="AE1057" s="2"/>
      <c r="AQ1057" s="2"/>
      <c r="AR1057" s="2"/>
      <c r="AS1057" s="2"/>
      <c r="AT1057" s="2"/>
      <c r="AU1057" s="2"/>
      <c r="AV1057" s="2"/>
      <c r="AW1057" s="2"/>
      <c r="AX1057" s="2"/>
      <c r="AY1057" s="2"/>
    </row>
    <row r="1058" spans="1:51" x14ac:dyDescent="0.25">
      <c r="A1058" s="24">
        <v>44229</v>
      </c>
      <c r="B1058" s="1">
        <v>44229</v>
      </c>
      <c r="C1058">
        <v>1.44</v>
      </c>
      <c r="D1058">
        <v>1.64</v>
      </c>
      <c r="E1058">
        <v>1.76</v>
      </c>
      <c r="F1058">
        <v>1.88</v>
      </c>
      <c r="G1058">
        <v>1.84</v>
      </c>
      <c r="H1058">
        <v>1.96</v>
      </c>
      <c r="I1058">
        <v>2.62</v>
      </c>
      <c r="J1058">
        <v>3.08</v>
      </c>
      <c r="K1058">
        <v>3.6</v>
      </c>
      <c r="M1058" s="3"/>
      <c r="N1058" s="17"/>
      <c r="O1058" s="17"/>
      <c r="P1058" s="17"/>
      <c r="Q1058" s="17"/>
      <c r="R1058" s="17"/>
      <c r="S1058" s="17"/>
      <c r="T1058" s="17"/>
      <c r="U1058" s="17"/>
      <c r="V1058" s="17"/>
      <c r="AE1058" s="2"/>
      <c r="AQ1058" s="2"/>
      <c r="AR1058" s="2"/>
      <c r="AS1058" s="2"/>
      <c r="AT1058" s="2"/>
      <c r="AU1058" s="2"/>
      <c r="AV1058" s="2"/>
      <c r="AW1058" s="2"/>
      <c r="AX1058" s="2"/>
      <c r="AY1058" s="2"/>
    </row>
    <row r="1059" spans="1:51" x14ac:dyDescent="0.25">
      <c r="A1059" s="24">
        <v>44228</v>
      </c>
      <c r="B1059" s="1">
        <v>44228</v>
      </c>
      <c r="C1059">
        <v>0.59</v>
      </c>
      <c r="D1059">
        <v>0.78</v>
      </c>
      <c r="E1059">
        <v>0.87</v>
      </c>
      <c r="F1059">
        <v>1.04</v>
      </c>
      <c r="G1059">
        <v>1.1299999999999999</v>
      </c>
      <c r="H1059">
        <v>1.34</v>
      </c>
      <c r="I1059">
        <v>2.5099999999999998</v>
      </c>
      <c r="J1059">
        <v>2.92</v>
      </c>
      <c r="K1059">
        <v>3.3</v>
      </c>
      <c r="M1059" s="3"/>
      <c r="N1059" s="17"/>
      <c r="O1059" s="17"/>
      <c r="P1059" s="17"/>
      <c r="Q1059" s="17"/>
      <c r="R1059" s="17"/>
      <c r="S1059" s="17"/>
      <c r="T1059" s="17"/>
      <c r="U1059" s="17"/>
      <c r="V1059" s="17"/>
      <c r="AE1059" s="2"/>
      <c r="AQ1059" s="2"/>
      <c r="AR1059" s="2"/>
      <c r="AS1059" s="2"/>
      <c r="AT1059" s="2"/>
      <c r="AU1059" s="2"/>
      <c r="AV1059" s="2"/>
      <c r="AW1059" s="2"/>
      <c r="AX1059" s="2"/>
      <c r="AY1059" s="2"/>
    </row>
    <row r="1060" spans="1:51" x14ac:dyDescent="0.25">
      <c r="A1060" s="24">
        <v>44225</v>
      </c>
      <c r="B1060" s="1">
        <v>44225</v>
      </c>
      <c r="C1060">
        <v>0.33</v>
      </c>
      <c r="D1060">
        <v>0.52</v>
      </c>
      <c r="E1060">
        <v>0.68</v>
      </c>
      <c r="F1060">
        <v>0.84</v>
      </c>
      <c r="G1060">
        <v>1.02</v>
      </c>
      <c r="H1060">
        <v>1.32</v>
      </c>
      <c r="I1060">
        <v>2.5499999999999998</v>
      </c>
      <c r="J1060">
        <v>3.02</v>
      </c>
      <c r="K1060">
        <v>3.48</v>
      </c>
      <c r="M1060" s="3"/>
      <c r="N1060" s="17"/>
      <c r="O1060" s="17"/>
      <c r="P1060" s="17"/>
      <c r="Q1060" s="17"/>
      <c r="R1060" s="17"/>
      <c r="S1060" s="17"/>
      <c r="T1060" s="17"/>
      <c r="U1060" s="17"/>
      <c r="V1060" s="17"/>
      <c r="AE1060" s="2"/>
      <c r="AQ1060" s="2"/>
      <c r="AR1060" s="2"/>
      <c r="AS1060" s="2"/>
      <c r="AT1060" s="2"/>
      <c r="AU1060" s="2"/>
      <c r="AV1060" s="2"/>
      <c r="AW1060" s="2"/>
      <c r="AX1060" s="2"/>
      <c r="AY1060" s="2"/>
    </row>
    <row r="1061" spans="1:51" x14ac:dyDescent="0.25">
      <c r="A1061" s="24">
        <v>44224</v>
      </c>
      <c r="B1061" s="1">
        <v>44224</v>
      </c>
      <c r="C1061">
        <v>0.16</v>
      </c>
      <c r="D1061">
        <v>0.26</v>
      </c>
      <c r="E1061">
        <v>0.4</v>
      </c>
      <c r="F1061">
        <v>0.63</v>
      </c>
      <c r="G1061">
        <v>0.94</v>
      </c>
      <c r="H1061">
        <v>1.24</v>
      </c>
      <c r="I1061">
        <v>2.58</v>
      </c>
      <c r="J1061">
        <v>2.95</v>
      </c>
      <c r="K1061">
        <v>3.38</v>
      </c>
      <c r="M1061" s="3"/>
      <c r="N1061" s="17"/>
      <c r="O1061" s="17"/>
      <c r="P1061" s="17"/>
      <c r="Q1061" s="17"/>
      <c r="R1061" s="17"/>
      <c r="S1061" s="17"/>
      <c r="T1061" s="17"/>
      <c r="U1061" s="17"/>
      <c r="V1061" s="17"/>
      <c r="AE1061" s="2"/>
      <c r="AQ1061" s="2"/>
      <c r="AR1061" s="2"/>
      <c r="AS1061" s="2"/>
      <c r="AT1061" s="2"/>
      <c r="AU1061" s="2"/>
      <c r="AV1061" s="2"/>
      <c r="AW1061" s="2"/>
      <c r="AX1061" s="2"/>
      <c r="AY1061" s="2"/>
    </row>
    <row r="1062" spans="1:51" x14ac:dyDescent="0.25">
      <c r="A1062" s="24">
        <v>44223</v>
      </c>
      <c r="B1062" s="1">
        <v>44223</v>
      </c>
      <c r="C1062">
        <v>0.16</v>
      </c>
      <c r="D1062">
        <v>0.25</v>
      </c>
      <c r="E1062">
        <v>0.42</v>
      </c>
      <c r="F1062">
        <v>0.65</v>
      </c>
      <c r="G1062">
        <v>0.92</v>
      </c>
      <c r="H1062">
        <v>1.22</v>
      </c>
      <c r="I1062">
        <v>2.54</v>
      </c>
      <c r="J1062">
        <v>2.95</v>
      </c>
      <c r="K1062">
        <v>3.38</v>
      </c>
      <c r="M1062" s="3"/>
      <c r="N1062" s="17"/>
      <c r="O1062" s="17"/>
      <c r="P1062" s="17"/>
      <c r="Q1062" s="17"/>
      <c r="R1062" s="17"/>
      <c r="S1062" s="17"/>
      <c r="T1062" s="17"/>
      <c r="U1062" s="17"/>
      <c r="V1062" s="17"/>
      <c r="AE1062" s="2"/>
      <c r="AQ1062" s="2"/>
      <c r="AR1062" s="2"/>
      <c r="AS1062" s="2"/>
      <c r="AT1062" s="2"/>
      <c r="AU1062" s="2"/>
      <c r="AV1062" s="2"/>
      <c r="AW1062" s="2"/>
      <c r="AX1062" s="2"/>
      <c r="AY1062" s="2"/>
    </row>
    <row r="1063" spans="1:51" x14ac:dyDescent="0.25">
      <c r="A1063" s="24">
        <v>44222</v>
      </c>
      <c r="B1063" s="1">
        <v>44222</v>
      </c>
      <c r="C1063">
        <v>0.16</v>
      </c>
      <c r="D1063">
        <v>0.21</v>
      </c>
      <c r="E1063">
        <v>0.31</v>
      </c>
      <c r="F1063">
        <v>0.49</v>
      </c>
      <c r="G1063">
        <v>0.89</v>
      </c>
      <c r="H1063">
        <v>1.23</v>
      </c>
      <c r="I1063">
        <v>2.57</v>
      </c>
      <c r="J1063">
        <v>3.08</v>
      </c>
      <c r="K1063">
        <v>3.57</v>
      </c>
      <c r="M1063" s="3"/>
      <c r="N1063" s="17"/>
      <c r="O1063" s="17"/>
      <c r="P1063" s="17"/>
      <c r="Q1063" s="17"/>
      <c r="R1063" s="17"/>
      <c r="S1063" s="17"/>
      <c r="T1063" s="17"/>
      <c r="U1063" s="17"/>
      <c r="V1063" s="17"/>
      <c r="AE1063" s="2"/>
      <c r="AQ1063" s="2"/>
      <c r="AR1063" s="2"/>
      <c r="AS1063" s="2"/>
      <c r="AT1063" s="2"/>
      <c r="AU1063" s="2"/>
      <c r="AV1063" s="2"/>
      <c r="AW1063" s="2"/>
      <c r="AX1063" s="2"/>
      <c r="AY1063" s="2"/>
    </row>
    <row r="1064" spans="1:51" x14ac:dyDescent="0.25">
      <c r="A1064" s="24">
        <v>44221</v>
      </c>
      <c r="B1064" s="1">
        <v>44221</v>
      </c>
      <c r="C1064">
        <v>0.15</v>
      </c>
      <c r="D1064">
        <v>0.2</v>
      </c>
      <c r="E1064">
        <v>0.28000000000000003</v>
      </c>
      <c r="F1064">
        <v>0.42</v>
      </c>
      <c r="G1064">
        <v>0.88</v>
      </c>
      <c r="H1064">
        <v>1.22</v>
      </c>
      <c r="I1064">
        <v>2.58</v>
      </c>
      <c r="J1064">
        <v>3.08</v>
      </c>
      <c r="K1064">
        <v>3.6</v>
      </c>
      <c r="M1064" s="3"/>
      <c r="N1064" s="17"/>
      <c r="O1064" s="17"/>
      <c r="P1064" s="17"/>
      <c r="Q1064" s="17"/>
      <c r="R1064" s="17"/>
      <c r="S1064" s="17"/>
      <c r="T1064" s="17"/>
      <c r="U1064" s="17"/>
      <c r="V1064" s="17"/>
      <c r="AE1064" s="2"/>
      <c r="AQ1064" s="2"/>
      <c r="AR1064" s="2"/>
      <c r="AS1064" s="2"/>
      <c r="AT1064" s="2"/>
      <c r="AU1064" s="2"/>
      <c r="AV1064" s="2"/>
      <c r="AW1064" s="2"/>
      <c r="AX1064" s="2"/>
      <c r="AY1064" s="2"/>
    </row>
    <row r="1065" spans="1:51" x14ac:dyDescent="0.25">
      <c r="A1065" s="24">
        <v>44218</v>
      </c>
      <c r="B1065" s="1">
        <v>44218</v>
      </c>
      <c r="C1065">
        <v>0.16</v>
      </c>
      <c r="D1065">
        <v>0.2</v>
      </c>
      <c r="E1065">
        <v>0.28000000000000003</v>
      </c>
      <c r="F1065">
        <v>0.46</v>
      </c>
      <c r="G1065">
        <v>0.87</v>
      </c>
      <c r="H1065">
        <v>1.26</v>
      </c>
      <c r="I1065">
        <v>2.6</v>
      </c>
      <c r="J1065">
        <v>3.15</v>
      </c>
      <c r="K1065">
        <v>3.65</v>
      </c>
      <c r="M1065" s="3"/>
      <c r="N1065" s="17"/>
      <c r="O1065" s="17"/>
      <c r="P1065" s="17"/>
      <c r="Q1065" s="17"/>
      <c r="R1065" s="17"/>
      <c r="S1065" s="17"/>
      <c r="T1065" s="17"/>
      <c r="U1065" s="17"/>
      <c r="V1065" s="17"/>
      <c r="AE1065" s="2"/>
      <c r="AQ1065" s="2"/>
      <c r="AR1065" s="2"/>
      <c r="AS1065" s="2"/>
      <c r="AT1065" s="2"/>
      <c r="AU1065" s="2"/>
      <c r="AV1065" s="2"/>
      <c r="AW1065" s="2"/>
      <c r="AX1065" s="2"/>
      <c r="AY1065" s="2"/>
    </row>
    <row r="1066" spans="1:51" x14ac:dyDescent="0.25">
      <c r="A1066" s="24">
        <v>44217</v>
      </c>
      <c r="B1066" s="1">
        <v>44217</v>
      </c>
      <c r="C1066">
        <v>0.17</v>
      </c>
      <c r="D1066">
        <v>0.2</v>
      </c>
      <c r="E1066">
        <v>0.28000000000000003</v>
      </c>
      <c r="F1066">
        <v>0.46</v>
      </c>
      <c r="G1066">
        <v>0.88</v>
      </c>
      <c r="H1066">
        <v>1.23</v>
      </c>
      <c r="I1066">
        <v>2.58</v>
      </c>
      <c r="J1066">
        <v>3.08</v>
      </c>
      <c r="K1066">
        <v>3.58</v>
      </c>
      <c r="M1066" s="3"/>
      <c r="N1066" s="17"/>
      <c r="O1066" s="17"/>
      <c r="P1066" s="17"/>
      <c r="Q1066" s="17"/>
      <c r="R1066" s="17"/>
      <c r="S1066" s="17"/>
      <c r="T1066" s="17"/>
      <c r="U1066" s="17"/>
      <c r="V1066" s="17"/>
      <c r="AE1066" s="2"/>
      <c r="AQ1066" s="2"/>
      <c r="AR1066" s="2"/>
      <c r="AS1066" s="2"/>
      <c r="AT1066" s="2"/>
      <c r="AU1066" s="2"/>
      <c r="AV1066" s="2"/>
      <c r="AW1066" s="2"/>
      <c r="AX1066" s="2"/>
      <c r="AY1066" s="2"/>
    </row>
    <row r="1067" spans="1:51" x14ac:dyDescent="0.25">
      <c r="A1067" s="24">
        <v>44216</v>
      </c>
      <c r="B1067" s="1">
        <v>44216</v>
      </c>
      <c r="C1067">
        <v>0.16</v>
      </c>
      <c r="D1067">
        <v>0.2</v>
      </c>
      <c r="E1067">
        <v>0.28000000000000003</v>
      </c>
      <c r="F1067">
        <v>0.43</v>
      </c>
      <c r="G1067">
        <v>0.86</v>
      </c>
      <c r="H1067">
        <v>1.22</v>
      </c>
      <c r="I1067">
        <v>2.56</v>
      </c>
      <c r="J1067">
        <v>3.08</v>
      </c>
      <c r="K1067">
        <v>3.6</v>
      </c>
      <c r="M1067" s="3"/>
      <c r="N1067" s="17"/>
      <c r="O1067" s="17"/>
      <c r="P1067" s="17"/>
      <c r="Q1067" s="17"/>
      <c r="R1067" s="17"/>
      <c r="S1067" s="17"/>
      <c r="T1067" s="17"/>
      <c r="U1067" s="17"/>
      <c r="V1067" s="17"/>
      <c r="AE1067" s="2"/>
      <c r="AQ1067" s="2"/>
      <c r="AR1067" s="2"/>
      <c r="AS1067" s="2"/>
      <c r="AT1067" s="2"/>
      <c r="AU1067" s="2"/>
      <c r="AV1067" s="2"/>
      <c r="AW1067" s="2"/>
      <c r="AX1067" s="2"/>
      <c r="AY1067" s="2"/>
    </row>
    <row r="1068" spans="1:51" x14ac:dyDescent="0.25">
      <c r="A1068" s="24">
        <v>44215</v>
      </c>
      <c r="B1068" s="1">
        <v>44215</v>
      </c>
      <c r="C1068">
        <v>0.16</v>
      </c>
      <c r="D1068">
        <v>0.21</v>
      </c>
      <c r="E1068">
        <v>0.28999999999999998</v>
      </c>
      <c r="F1068">
        <v>0.44</v>
      </c>
      <c r="G1068">
        <v>0.88</v>
      </c>
      <c r="H1068">
        <v>1.23</v>
      </c>
      <c r="I1068">
        <v>2.57</v>
      </c>
      <c r="J1068">
        <v>3.1</v>
      </c>
      <c r="K1068">
        <v>3.56</v>
      </c>
      <c r="M1068" s="3"/>
      <c r="N1068" s="17"/>
      <c r="O1068" s="17"/>
      <c r="P1068" s="17"/>
      <c r="Q1068" s="17"/>
      <c r="R1068" s="17"/>
      <c r="S1068" s="17"/>
      <c r="T1068" s="17"/>
      <c r="U1068" s="17"/>
      <c r="V1068" s="17"/>
      <c r="AE1068" s="2"/>
      <c r="AQ1068" s="2"/>
      <c r="AR1068" s="2"/>
      <c r="AS1068" s="2"/>
      <c r="AT1068" s="2"/>
      <c r="AU1068" s="2"/>
      <c r="AV1068" s="2"/>
      <c r="AW1068" s="2"/>
      <c r="AX1068" s="2"/>
      <c r="AY1068" s="2"/>
    </row>
    <row r="1069" spans="1:51" x14ac:dyDescent="0.25">
      <c r="A1069" s="24">
        <v>44214</v>
      </c>
      <c r="B1069" s="1">
        <v>44214</v>
      </c>
      <c r="C1069">
        <v>0.15</v>
      </c>
      <c r="D1069">
        <v>0.21</v>
      </c>
      <c r="E1069">
        <v>0.28999999999999998</v>
      </c>
      <c r="F1069">
        <v>0.46</v>
      </c>
      <c r="G1069">
        <v>0.87</v>
      </c>
      <c r="H1069">
        <v>1.2</v>
      </c>
      <c r="I1069">
        <v>2.5299999999999998</v>
      </c>
      <c r="J1069">
        <v>3.02</v>
      </c>
      <c r="K1069">
        <v>3.48</v>
      </c>
      <c r="M1069" s="3"/>
      <c r="N1069" s="17"/>
      <c r="O1069" s="17"/>
      <c r="P1069" s="17"/>
      <c r="Q1069" s="17"/>
      <c r="R1069" s="17"/>
      <c r="S1069" s="17"/>
      <c r="T1069" s="17"/>
      <c r="U1069" s="17"/>
      <c r="V1069" s="17"/>
      <c r="AE1069" s="2"/>
      <c r="AQ1069" s="2"/>
      <c r="AR1069" s="2"/>
      <c r="AS1069" s="2"/>
      <c r="AT1069" s="2"/>
      <c r="AU1069" s="2"/>
      <c r="AV1069" s="2"/>
      <c r="AW1069" s="2"/>
      <c r="AX1069" s="2"/>
      <c r="AY1069" s="2"/>
    </row>
    <row r="1070" spans="1:51" x14ac:dyDescent="0.25">
      <c r="A1070" s="24">
        <v>44211</v>
      </c>
      <c r="B1070" s="1">
        <v>44211</v>
      </c>
      <c r="C1070">
        <v>0.15</v>
      </c>
      <c r="D1070">
        <v>0.22</v>
      </c>
      <c r="E1070">
        <v>0.28999999999999998</v>
      </c>
      <c r="F1070">
        <v>0.43</v>
      </c>
      <c r="G1070">
        <v>0.88</v>
      </c>
      <c r="H1070">
        <v>1.28</v>
      </c>
      <c r="I1070">
        <v>2.62</v>
      </c>
      <c r="J1070">
        <v>3.25</v>
      </c>
      <c r="K1070">
        <v>3.73</v>
      </c>
      <c r="M1070" s="3"/>
      <c r="N1070" s="17"/>
      <c r="O1070" s="17"/>
      <c r="P1070" s="17"/>
      <c r="Q1070" s="17"/>
      <c r="R1070" s="17"/>
      <c r="S1070" s="17"/>
      <c r="T1070" s="17"/>
      <c r="U1070" s="17"/>
      <c r="V1070" s="17"/>
      <c r="AE1070" s="2"/>
      <c r="AQ1070" s="2"/>
      <c r="AR1070" s="2"/>
      <c r="AS1070" s="2"/>
      <c r="AT1070" s="2"/>
      <c r="AU1070" s="2"/>
      <c r="AV1070" s="2"/>
      <c r="AW1070" s="2"/>
      <c r="AX1070" s="2"/>
      <c r="AY1070" s="2"/>
    </row>
    <row r="1071" spans="1:51" x14ac:dyDescent="0.25">
      <c r="A1071" s="24">
        <v>44210</v>
      </c>
      <c r="B1071" s="1">
        <v>44210</v>
      </c>
      <c r="C1071">
        <v>0.15</v>
      </c>
      <c r="D1071">
        <v>0.2</v>
      </c>
      <c r="E1071">
        <v>0.28000000000000003</v>
      </c>
      <c r="F1071">
        <v>0.41</v>
      </c>
      <c r="G1071">
        <v>0.86</v>
      </c>
      <c r="H1071">
        <v>1.22</v>
      </c>
      <c r="I1071">
        <v>2.56</v>
      </c>
      <c r="J1071">
        <v>3.08</v>
      </c>
      <c r="K1071">
        <v>3.6</v>
      </c>
      <c r="M1071" s="3"/>
      <c r="N1071" s="17"/>
      <c r="O1071" s="17"/>
      <c r="P1071" s="17"/>
      <c r="Q1071" s="17"/>
      <c r="R1071" s="17"/>
      <c r="S1071" s="17"/>
      <c r="T1071" s="17"/>
      <c r="U1071" s="17"/>
      <c r="V1071" s="17"/>
      <c r="AE1071" s="2"/>
      <c r="AQ1071" s="2"/>
      <c r="AR1071" s="2"/>
      <c r="AS1071" s="2"/>
      <c r="AT1071" s="2"/>
      <c r="AU1071" s="2"/>
      <c r="AV1071" s="2"/>
      <c r="AW1071" s="2"/>
      <c r="AX1071" s="2"/>
      <c r="AY1071" s="2"/>
    </row>
    <row r="1072" spans="1:51" x14ac:dyDescent="0.25">
      <c r="A1072" s="24">
        <v>44209</v>
      </c>
      <c r="B1072" s="1">
        <v>44209</v>
      </c>
      <c r="C1072">
        <v>0.16</v>
      </c>
      <c r="D1072">
        <v>0.22</v>
      </c>
      <c r="E1072">
        <v>0.28999999999999998</v>
      </c>
      <c r="F1072">
        <v>0.43</v>
      </c>
      <c r="G1072">
        <v>0.88</v>
      </c>
      <c r="H1072">
        <v>1.26</v>
      </c>
      <c r="I1072">
        <v>2.6</v>
      </c>
      <c r="J1072">
        <v>3.17</v>
      </c>
      <c r="K1072">
        <v>3.68</v>
      </c>
      <c r="M1072" s="3"/>
      <c r="N1072" s="17"/>
      <c r="O1072" s="17"/>
      <c r="P1072" s="17"/>
      <c r="Q1072" s="17"/>
      <c r="R1072" s="17"/>
      <c r="S1072" s="17"/>
      <c r="T1072" s="17"/>
      <c r="U1072" s="17"/>
      <c r="V1072" s="17"/>
      <c r="AE1072" s="2"/>
      <c r="AQ1072" s="2"/>
      <c r="AR1072" s="2"/>
      <c r="AS1072" s="2"/>
      <c r="AT1072" s="2"/>
      <c r="AU1072" s="2"/>
      <c r="AV1072" s="2"/>
      <c r="AW1072" s="2"/>
      <c r="AX1072" s="2"/>
      <c r="AY1072" s="2"/>
    </row>
    <row r="1073" spans="1:51" x14ac:dyDescent="0.25">
      <c r="A1073" s="24">
        <v>44208</v>
      </c>
      <c r="B1073" s="1">
        <v>44208</v>
      </c>
      <c r="C1073">
        <v>0.16</v>
      </c>
      <c r="D1073">
        <v>0.23</v>
      </c>
      <c r="E1073">
        <v>0.28999999999999998</v>
      </c>
      <c r="F1073">
        <v>0.43</v>
      </c>
      <c r="G1073">
        <v>0.88</v>
      </c>
      <c r="H1073">
        <v>1.23</v>
      </c>
      <c r="I1073">
        <v>2.5499999999999998</v>
      </c>
      <c r="J1073">
        <v>3.02</v>
      </c>
      <c r="K1073">
        <v>3.48</v>
      </c>
      <c r="M1073" s="3"/>
      <c r="N1073" s="17"/>
      <c r="O1073" s="17"/>
      <c r="P1073" s="17"/>
      <c r="Q1073" s="17"/>
      <c r="R1073" s="17"/>
      <c r="S1073" s="17"/>
      <c r="T1073" s="17"/>
      <c r="U1073" s="17"/>
      <c r="V1073" s="17"/>
      <c r="AE1073" s="2"/>
      <c r="AQ1073" s="2"/>
      <c r="AR1073" s="2"/>
      <c r="AS1073" s="2"/>
      <c r="AT1073" s="2"/>
      <c r="AU1073" s="2"/>
      <c r="AV1073" s="2"/>
      <c r="AW1073" s="2"/>
      <c r="AX1073" s="2"/>
      <c r="AY1073" s="2"/>
    </row>
    <row r="1074" spans="1:51" x14ac:dyDescent="0.25">
      <c r="A1074" s="24">
        <v>44207</v>
      </c>
      <c r="B1074" s="1">
        <v>44207</v>
      </c>
      <c r="C1074">
        <v>0.16</v>
      </c>
      <c r="D1074">
        <v>0.23</v>
      </c>
      <c r="E1074">
        <v>0.3</v>
      </c>
      <c r="F1074">
        <v>0.43</v>
      </c>
      <c r="G1074">
        <v>0.88</v>
      </c>
      <c r="H1074">
        <v>1.25</v>
      </c>
      <c r="I1074">
        <v>2.57</v>
      </c>
      <c r="J1074">
        <v>3.11</v>
      </c>
      <c r="K1074">
        <v>3.59</v>
      </c>
      <c r="M1074" s="3"/>
      <c r="N1074" s="17"/>
      <c r="O1074" s="17"/>
      <c r="P1074" s="17"/>
      <c r="Q1074" s="17"/>
      <c r="R1074" s="17"/>
      <c r="S1074" s="17"/>
      <c r="T1074" s="17"/>
      <c r="U1074" s="17"/>
      <c r="V1074" s="17"/>
      <c r="AE1074" s="2"/>
      <c r="AQ1074" s="2"/>
      <c r="AR1074" s="2"/>
      <c r="AS1074" s="2"/>
      <c r="AT1074" s="2"/>
      <c r="AU1074" s="2"/>
      <c r="AV1074" s="2"/>
      <c r="AW1074" s="2"/>
      <c r="AX1074" s="2"/>
      <c r="AY1074" s="2"/>
    </row>
    <row r="1075" spans="1:51" x14ac:dyDescent="0.25">
      <c r="A1075" s="24">
        <v>44204</v>
      </c>
      <c r="B1075" s="1">
        <v>44204</v>
      </c>
      <c r="C1075">
        <v>0.15</v>
      </c>
      <c r="D1075">
        <v>0.2</v>
      </c>
      <c r="E1075">
        <v>0.28000000000000003</v>
      </c>
      <c r="F1075">
        <v>0.41</v>
      </c>
      <c r="G1075">
        <v>0.88</v>
      </c>
      <c r="H1075">
        <v>1.25</v>
      </c>
      <c r="I1075">
        <v>2.58</v>
      </c>
      <c r="J1075">
        <v>3.16</v>
      </c>
      <c r="K1075">
        <v>3.68</v>
      </c>
      <c r="M1075" s="3"/>
      <c r="N1075" s="17"/>
      <c r="O1075" s="17"/>
      <c r="P1075" s="17"/>
      <c r="Q1075" s="17"/>
      <c r="R1075" s="17"/>
      <c r="S1075" s="17"/>
      <c r="T1075" s="17"/>
      <c r="U1075" s="17"/>
      <c r="V1075" s="17"/>
      <c r="AE1075" s="2"/>
      <c r="AQ1075" s="2"/>
      <c r="AR1075" s="2"/>
      <c r="AS1075" s="2"/>
      <c r="AT1075" s="2"/>
      <c r="AU1075" s="2"/>
      <c r="AV1075" s="2"/>
      <c r="AW1075" s="2"/>
      <c r="AX1075" s="2"/>
      <c r="AY1075" s="2"/>
    </row>
    <row r="1076" spans="1:51" x14ac:dyDescent="0.25">
      <c r="A1076" s="24">
        <v>44203</v>
      </c>
      <c r="B1076" s="1">
        <v>44203</v>
      </c>
      <c r="C1076">
        <v>0.16</v>
      </c>
      <c r="D1076">
        <v>0.23</v>
      </c>
      <c r="E1076">
        <v>0.3</v>
      </c>
      <c r="F1076">
        <v>0.44</v>
      </c>
      <c r="G1076">
        <v>0.9</v>
      </c>
      <c r="H1076">
        <v>1.27</v>
      </c>
      <c r="I1076">
        <v>2.6</v>
      </c>
      <c r="J1076">
        <v>3.16</v>
      </c>
      <c r="K1076">
        <v>3.58</v>
      </c>
      <c r="M1076" s="3"/>
      <c r="N1076" s="17"/>
      <c r="O1076" s="17"/>
      <c r="P1076" s="17"/>
      <c r="Q1076" s="17"/>
      <c r="R1076" s="17"/>
      <c r="S1076" s="17"/>
      <c r="T1076" s="17"/>
      <c r="U1076" s="17"/>
      <c r="V1076" s="17"/>
      <c r="AE1076" s="2"/>
      <c r="AQ1076" s="2"/>
      <c r="AR1076" s="2"/>
      <c r="AS1076" s="2"/>
      <c r="AT1076" s="2"/>
      <c r="AU1076" s="2"/>
      <c r="AV1076" s="2"/>
      <c r="AW1076" s="2"/>
      <c r="AX1076" s="2"/>
      <c r="AY1076" s="2"/>
    </row>
    <row r="1077" spans="1:51" x14ac:dyDescent="0.25">
      <c r="A1077" s="24">
        <v>44202</v>
      </c>
      <c r="B1077" s="1">
        <v>44202</v>
      </c>
      <c r="C1077">
        <v>0.17</v>
      </c>
      <c r="D1077">
        <v>0.22</v>
      </c>
      <c r="E1077">
        <v>0.28000000000000003</v>
      </c>
      <c r="F1077">
        <v>0.43</v>
      </c>
      <c r="G1077">
        <v>0.88</v>
      </c>
      <c r="H1077">
        <v>1.25</v>
      </c>
      <c r="I1077">
        <v>2.5499999999999998</v>
      </c>
      <c r="J1077">
        <v>3.08</v>
      </c>
      <c r="K1077">
        <v>3.61</v>
      </c>
      <c r="M1077" s="3"/>
      <c r="N1077" s="17"/>
      <c r="O1077" s="17"/>
      <c r="P1077" s="17"/>
      <c r="Q1077" s="17"/>
      <c r="R1077" s="17"/>
      <c r="S1077" s="17"/>
      <c r="T1077" s="17"/>
      <c r="U1077" s="17"/>
      <c r="V1077" s="17"/>
      <c r="AE1077" s="2"/>
      <c r="AQ1077" s="2"/>
      <c r="AR1077" s="2"/>
      <c r="AS1077" s="2"/>
      <c r="AT1077" s="2"/>
      <c r="AU1077" s="2"/>
      <c r="AV1077" s="2"/>
      <c r="AW1077" s="2"/>
      <c r="AX1077" s="2"/>
      <c r="AY1077" s="2"/>
    </row>
    <row r="1078" spans="1:51" x14ac:dyDescent="0.25">
      <c r="A1078" s="24">
        <v>44201</v>
      </c>
      <c r="B1078" s="1">
        <v>44201</v>
      </c>
      <c r="C1078">
        <v>0.16</v>
      </c>
      <c r="D1078">
        <v>0.22</v>
      </c>
      <c r="E1078">
        <v>0.28000000000000003</v>
      </c>
      <c r="F1078">
        <v>0.41</v>
      </c>
      <c r="G1078">
        <v>0.88</v>
      </c>
      <c r="H1078">
        <v>1.24</v>
      </c>
      <c r="I1078">
        <v>2.58</v>
      </c>
      <c r="J1078">
        <v>3.08</v>
      </c>
      <c r="K1078">
        <v>3.6</v>
      </c>
      <c r="M1078" s="3"/>
      <c r="N1078" s="17"/>
      <c r="O1078" s="17"/>
      <c r="P1078" s="17"/>
      <c r="Q1078" s="17"/>
      <c r="R1078" s="17"/>
      <c r="S1078" s="17"/>
      <c r="T1078" s="17"/>
      <c r="U1078" s="17"/>
      <c r="V1078" s="17"/>
      <c r="AE1078" s="2"/>
      <c r="AQ1078" s="2"/>
      <c r="AR1078" s="2"/>
      <c r="AS1078" s="2"/>
      <c r="AT1078" s="2"/>
      <c r="AU1078" s="2"/>
      <c r="AV1078" s="2"/>
      <c r="AW1078" s="2"/>
      <c r="AX1078" s="2"/>
      <c r="AY1078" s="2"/>
    </row>
    <row r="1079" spans="1:51" x14ac:dyDescent="0.25">
      <c r="A1079" s="24">
        <v>44200</v>
      </c>
      <c r="B1079" s="1">
        <v>44200</v>
      </c>
      <c r="C1079">
        <v>0.15</v>
      </c>
      <c r="D1079">
        <v>0.22</v>
      </c>
      <c r="E1079">
        <v>0.28000000000000003</v>
      </c>
      <c r="F1079">
        <v>0.41</v>
      </c>
      <c r="G1079">
        <v>0.88</v>
      </c>
      <c r="H1079">
        <v>1.28</v>
      </c>
      <c r="I1079">
        <v>2.58</v>
      </c>
      <c r="J1079">
        <v>3.22</v>
      </c>
      <c r="K1079">
        <v>3.71</v>
      </c>
      <c r="M1079" s="3"/>
      <c r="N1079" s="17"/>
      <c r="O1079" s="17"/>
      <c r="P1079" s="17"/>
      <c r="Q1079" s="17"/>
      <c r="R1079" s="17"/>
      <c r="S1079" s="17"/>
      <c r="T1079" s="17"/>
      <c r="U1079" s="17"/>
      <c r="V1079" s="17"/>
      <c r="AE1079" s="2"/>
      <c r="AQ1079" s="2"/>
      <c r="AR1079" s="2"/>
      <c r="AS1079" s="2"/>
      <c r="AT1079" s="2"/>
      <c r="AU1079" s="2"/>
      <c r="AV1079" s="2"/>
      <c r="AW1079" s="2"/>
      <c r="AX1079" s="2"/>
      <c r="AY1079" s="2"/>
    </row>
    <row r="1080" spans="1:51" x14ac:dyDescent="0.25">
      <c r="A1080" s="24">
        <v>44196</v>
      </c>
      <c r="B1080" s="1">
        <v>44196</v>
      </c>
      <c r="C1080">
        <v>0.18</v>
      </c>
      <c r="D1080">
        <v>0.26</v>
      </c>
      <c r="E1080">
        <v>0.31</v>
      </c>
      <c r="F1080">
        <v>0.44</v>
      </c>
      <c r="G1080">
        <v>0.88</v>
      </c>
      <c r="H1080">
        <v>1.25</v>
      </c>
      <c r="I1080">
        <v>2.57</v>
      </c>
      <c r="J1080">
        <v>3.08</v>
      </c>
      <c r="K1080">
        <v>3.61</v>
      </c>
      <c r="M1080" s="3"/>
      <c r="N1080" s="17"/>
      <c r="O1080" s="17"/>
      <c r="P1080" s="17"/>
      <c r="Q1080" s="17"/>
      <c r="R1080" s="17"/>
      <c r="S1080" s="17"/>
      <c r="T1080" s="17"/>
      <c r="U1080" s="17"/>
      <c r="V1080" s="17"/>
      <c r="AE1080" s="2"/>
      <c r="AQ1080" s="2"/>
      <c r="AR1080" s="2"/>
      <c r="AS1080" s="2"/>
      <c r="AT1080" s="2"/>
      <c r="AU1080" s="2"/>
      <c r="AV1080" s="2"/>
      <c r="AW1080" s="2"/>
      <c r="AX1080" s="2"/>
      <c r="AY1080" s="2"/>
    </row>
    <row r="1081" spans="1:51" x14ac:dyDescent="0.25">
      <c r="A1081" s="24">
        <v>44195</v>
      </c>
      <c r="B1081" s="1">
        <v>44195</v>
      </c>
      <c r="C1081">
        <v>0.16</v>
      </c>
      <c r="D1081">
        <v>0.23</v>
      </c>
      <c r="E1081">
        <v>0.3</v>
      </c>
      <c r="F1081">
        <v>0.45</v>
      </c>
      <c r="G1081">
        <v>0.88</v>
      </c>
      <c r="H1081">
        <v>1.24</v>
      </c>
      <c r="I1081">
        <v>2.58</v>
      </c>
      <c r="J1081">
        <v>3.08</v>
      </c>
      <c r="K1081">
        <v>3.6</v>
      </c>
      <c r="M1081" s="3"/>
      <c r="N1081" s="17"/>
      <c r="O1081" s="17"/>
      <c r="P1081" s="17"/>
      <c r="Q1081" s="17"/>
      <c r="R1081" s="17"/>
      <c r="S1081" s="17"/>
      <c r="T1081" s="17"/>
      <c r="U1081" s="17"/>
      <c r="V1081" s="17"/>
      <c r="AE1081" s="2"/>
      <c r="AQ1081" s="2"/>
      <c r="AR1081" s="2"/>
      <c r="AS1081" s="2"/>
      <c r="AT1081" s="2"/>
      <c r="AU1081" s="2"/>
      <c r="AV1081" s="2"/>
      <c r="AW1081" s="2"/>
      <c r="AX1081" s="2"/>
      <c r="AY1081" s="2"/>
    </row>
    <row r="1082" spans="1:51" x14ac:dyDescent="0.25">
      <c r="A1082" s="24">
        <v>44194</v>
      </c>
      <c r="B1082" s="1">
        <v>44194</v>
      </c>
      <c r="C1082">
        <v>0.16</v>
      </c>
      <c r="D1082">
        <v>0.22</v>
      </c>
      <c r="E1082">
        <v>0.28999999999999998</v>
      </c>
      <c r="F1082">
        <v>0.45</v>
      </c>
      <c r="G1082">
        <v>0.89</v>
      </c>
      <c r="H1082">
        <v>1.24</v>
      </c>
      <c r="I1082">
        <v>2.57</v>
      </c>
      <c r="J1082">
        <v>3.1</v>
      </c>
      <c r="K1082">
        <v>3.57</v>
      </c>
      <c r="M1082" s="3"/>
      <c r="N1082" s="17"/>
      <c r="O1082" s="17"/>
      <c r="P1082" s="17"/>
      <c r="Q1082" s="17"/>
      <c r="R1082" s="17"/>
      <c r="S1082" s="17"/>
      <c r="T1082" s="17"/>
      <c r="U1082" s="17"/>
      <c r="V1082" s="17"/>
      <c r="AE1082" s="2"/>
      <c r="AQ1082" s="2"/>
      <c r="AR1082" s="2"/>
      <c r="AS1082" s="2"/>
      <c r="AT1082" s="2"/>
      <c r="AU1082" s="2"/>
      <c r="AV1082" s="2"/>
      <c r="AW1082" s="2"/>
      <c r="AX1082" s="2"/>
      <c r="AY1082" s="2"/>
    </row>
    <row r="1083" spans="1:51" x14ac:dyDescent="0.25">
      <c r="A1083" s="24">
        <v>44193</v>
      </c>
      <c r="B1083" s="1">
        <v>44193</v>
      </c>
      <c r="C1083">
        <v>0.15</v>
      </c>
      <c r="D1083">
        <v>0.21</v>
      </c>
      <c r="E1083">
        <v>0.28000000000000003</v>
      </c>
      <c r="F1083">
        <v>0.42</v>
      </c>
      <c r="G1083">
        <v>0.89</v>
      </c>
      <c r="H1083">
        <v>1.27</v>
      </c>
      <c r="I1083">
        <v>2.61</v>
      </c>
      <c r="J1083">
        <v>3.18</v>
      </c>
      <c r="K1083">
        <v>3.7</v>
      </c>
      <c r="M1083" s="3"/>
      <c r="N1083" s="17"/>
      <c r="O1083" s="17"/>
      <c r="P1083" s="17"/>
      <c r="Q1083" s="17"/>
      <c r="R1083" s="17"/>
      <c r="S1083" s="17"/>
      <c r="T1083" s="17"/>
      <c r="U1083" s="17"/>
      <c r="V1083" s="17"/>
      <c r="AE1083" s="2"/>
      <c r="AQ1083" s="2"/>
      <c r="AR1083" s="2"/>
      <c r="AS1083" s="2"/>
      <c r="AT1083" s="2"/>
      <c r="AU1083" s="2"/>
      <c r="AV1083" s="2"/>
      <c r="AW1083" s="2"/>
      <c r="AX1083" s="2"/>
      <c r="AY1083" s="2"/>
    </row>
    <row r="1084" spans="1:51" x14ac:dyDescent="0.25">
      <c r="A1084" s="24">
        <v>44190</v>
      </c>
      <c r="B1084" s="1">
        <v>44190</v>
      </c>
      <c r="C1084">
        <v>0.15</v>
      </c>
      <c r="D1084">
        <v>0.21</v>
      </c>
      <c r="E1084">
        <v>0.28999999999999998</v>
      </c>
      <c r="F1084">
        <v>0.41</v>
      </c>
      <c r="G1084">
        <v>0.88</v>
      </c>
      <c r="H1084">
        <v>1.28</v>
      </c>
      <c r="I1084">
        <v>2.62</v>
      </c>
      <c r="J1084">
        <v>3.25</v>
      </c>
      <c r="K1084">
        <v>3.73</v>
      </c>
      <c r="M1084" s="3"/>
      <c r="N1084" s="17"/>
      <c r="O1084" s="17"/>
      <c r="P1084" s="17"/>
      <c r="Q1084" s="17"/>
      <c r="R1084" s="17"/>
      <c r="S1084" s="17"/>
      <c r="T1084" s="17"/>
      <c r="U1084" s="17"/>
      <c r="V1084" s="17"/>
      <c r="AE1084" s="2"/>
      <c r="AQ1084" s="2"/>
      <c r="AR1084" s="2"/>
      <c r="AS1084" s="2"/>
      <c r="AT1084" s="2"/>
      <c r="AU1084" s="2"/>
      <c r="AV1084" s="2"/>
      <c r="AW1084" s="2"/>
      <c r="AX1084" s="2"/>
      <c r="AY1084" s="2"/>
    </row>
    <row r="1085" spans="1:51" x14ac:dyDescent="0.25">
      <c r="A1085" s="24">
        <v>44189</v>
      </c>
      <c r="B1085" s="1">
        <v>44189</v>
      </c>
      <c r="C1085">
        <v>0.15</v>
      </c>
      <c r="D1085">
        <v>0.21</v>
      </c>
      <c r="E1085">
        <v>0.28999999999999998</v>
      </c>
      <c r="F1085">
        <v>0.41</v>
      </c>
      <c r="G1085">
        <v>0.9</v>
      </c>
      <c r="H1085">
        <v>1.28</v>
      </c>
      <c r="I1085">
        <v>2.62</v>
      </c>
      <c r="J1085">
        <v>3.2</v>
      </c>
      <c r="K1085">
        <v>3.73</v>
      </c>
      <c r="M1085" s="3"/>
      <c r="N1085" s="17"/>
      <c r="O1085" s="17"/>
      <c r="P1085" s="17"/>
      <c r="Q1085" s="17"/>
      <c r="R1085" s="17"/>
      <c r="S1085" s="17"/>
      <c r="T1085" s="17"/>
      <c r="U1085" s="17"/>
      <c r="V1085" s="17"/>
      <c r="AE1085" s="2"/>
      <c r="AQ1085" s="2"/>
      <c r="AR1085" s="2"/>
      <c r="AS1085" s="2"/>
      <c r="AT1085" s="2"/>
      <c r="AU1085" s="2"/>
      <c r="AV1085" s="2"/>
      <c r="AW1085" s="2"/>
      <c r="AX1085" s="2"/>
      <c r="AY1085" s="2"/>
    </row>
    <row r="1086" spans="1:51" x14ac:dyDescent="0.25">
      <c r="A1086" s="24">
        <v>44188</v>
      </c>
      <c r="B1086" s="1">
        <v>44188</v>
      </c>
      <c r="C1086">
        <v>0.15</v>
      </c>
      <c r="D1086">
        <v>0.2</v>
      </c>
      <c r="E1086">
        <v>0.28000000000000003</v>
      </c>
      <c r="F1086">
        <v>0.39</v>
      </c>
      <c r="G1086">
        <v>0.84</v>
      </c>
      <c r="H1086">
        <v>1.24</v>
      </c>
      <c r="I1086">
        <v>2.6</v>
      </c>
      <c r="J1086">
        <v>3.05</v>
      </c>
      <c r="K1086">
        <v>3.5</v>
      </c>
      <c r="M1086" s="3"/>
      <c r="N1086" s="17"/>
      <c r="O1086" s="17"/>
      <c r="P1086" s="17"/>
      <c r="Q1086" s="17"/>
      <c r="R1086" s="17"/>
      <c r="S1086" s="17"/>
      <c r="T1086" s="17"/>
      <c r="U1086" s="17"/>
      <c r="V1086" s="17"/>
      <c r="AE1086" s="2"/>
      <c r="AQ1086" s="2"/>
      <c r="AR1086" s="2"/>
      <c r="AS1086" s="2"/>
      <c r="AT1086" s="2"/>
      <c r="AU1086" s="2"/>
      <c r="AV1086" s="2"/>
      <c r="AW1086" s="2"/>
      <c r="AX1086" s="2"/>
      <c r="AY1086" s="2"/>
    </row>
    <row r="1087" spans="1:51" x14ac:dyDescent="0.25">
      <c r="A1087" s="24">
        <v>44187</v>
      </c>
      <c r="B1087" s="1">
        <v>44187</v>
      </c>
      <c r="C1087">
        <v>0.15</v>
      </c>
      <c r="D1087">
        <v>0.2</v>
      </c>
      <c r="E1087">
        <v>0.26</v>
      </c>
      <c r="F1087">
        <v>0.39</v>
      </c>
      <c r="G1087">
        <v>0.84</v>
      </c>
      <c r="H1087">
        <v>1.22</v>
      </c>
      <c r="I1087">
        <v>2.56</v>
      </c>
      <c r="J1087">
        <v>3.08</v>
      </c>
      <c r="K1087">
        <v>3.6</v>
      </c>
      <c r="M1087" s="3"/>
      <c r="N1087" s="17"/>
      <c r="O1087" s="17"/>
      <c r="P1087" s="17"/>
      <c r="Q1087" s="17"/>
      <c r="R1087" s="17"/>
      <c r="S1087" s="17"/>
      <c r="T1087" s="17"/>
      <c r="U1087" s="17"/>
      <c r="V1087" s="17"/>
      <c r="AE1087" s="2"/>
      <c r="AQ1087" s="2"/>
      <c r="AR1087" s="2"/>
      <c r="AS1087" s="2"/>
      <c r="AT1087" s="2"/>
      <c r="AU1087" s="2"/>
      <c r="AV1087" s="2"/>
      <c r="AW1087" s="2"/>
      <c r="AX1087" s="2"/>
      <c r="AY1087" s="2"/>
    </row>
    <row r="1088" spans="1:51" x14ac:dyDescent="0.25">
      <c r="A1088" s="24">
        <v>44186</v>
      </c>
      <c r="B1088" s="1">
        <v>44186</v>
      </c>
      <c r="C1088">
        <v>0.15</v>
      </c>
      <c r="D1088">
        <v>0.21</v>
      </c>
      <c r="E1088">
        <v>0.28999999999999998</v>
      </c>
      <c r="F1088">
        <v>0.41</v>
      </c>
      <c r="G1088">
        <v>0.9</v>
      </c>
      <c r="H1088">
        <v>1.28</v>
      </c>
      <c r="I1088">
        <v>2.63</v>
      </c>
      <c r="J1088">
        <v>3.14</v>
      </c>
      <c r="K1088">
        <v>3.48</v>
      </c>
      <c r="M1088" s="3"/>
      <c r="N1088" s="17"/>
      <c r="O1088" s="17"/>
      <c r="P1088" s="17"/>
      <c r="Q1088" s="17"/>
      <c r="R1088" s="17"/>
      <c r="S1088" s="17"/>
      <c r="T1088" s="17"/>
      <c r="U1088" s="17"/>
      <c r="V1088" s="17"/>
      <c r="AE1088" s="2"/>
      <c r="AQ1088" s="2"/>
      <c r="AR1088" s="2"/>
      <c r="AS1088" s="2"/>
      <c r="AT1088" s="2"/>
      <c r="AU1088" s="2"/>
      <c r="AV1088" s="2"/>
      <c r="AW1088" s="2"/>
      <c r="AX1088" s="2"/>
      <c r="AY1088" s="2"/>
    </row>
    <row r="1089" spans="1:51" x14ac:dyDescent="0.25">
      <c r="A1089" s="24">
        <v>44183</v>
      </c>
      <c r="B1089" s="1">
        <v>44183</v>
      </c>
      <c r="C1089">
        <v>0.15</v>
      </c>
      <c r="D1089">
        <v>0.2</v>
      </c>
      <c r="E1089">
        <v>0.26</v>
      </c>
      <c r="F1089">
        <v>0.4</v>
      </c>
      <c r="G1089">
        <v>0.88</v>
      </c>
      <c r="H1089">
        <v>1.23</v>
      </c>
      <c r="I1089">
        <v>2.6</v>
      </c>
      <c r="J1089">
        <v>3.06</v>
      </c>
      <c r="K1089">
        <v>3.48</v>
      </c>
      <c r="M1089" s="3"/>
      <c r="N1089" s="17"/>
      <c r="O1089" s="17"/>
      <c r="P1089" s="17"/>
      <c r="Q1089" s="17"/>
      <c r="R1089" s="17"/>
      <c r="S1089" s="17"/>
      <c r="T1089" s="17"/>
      <c r="U1089" s="17"/>
      <c r="V1089" s="17"/>
      <c r="AE1089" s="2"/>
      <c r="AQ1089" s="2"/>
      <c r="AR1089" s="2"/>
      <c r="AS1089" s="2"/>
      <c r="AT1089" s="2"/>
      <c r="AU1089" s="2"/>
      <c r="AV1089" s="2"/>
      <c r="AW1089" s="2"/>
      <c r="AX1089" s="2"/>
      <c r="AY1089" s="2"/>
    </row>
    <row r="1090" spans="1:51" x14ac:dyDescent="0.25">
      <c r="A1090" s="24">
        <v>44182</v>
      </c>
      <c r="B1090" s="1">
        <v>44182</v>
      </c>
      <c r="C1090">
        <v>0.14000000000000001</v>
      </c>
      <c r="D1090">
        <v>0.2</v>
      </c>
      <c r="E1090">
        <v>0.24</v>
      </c>
      <c r="F1090">
        <v>0.39</v>
      </c>
      <c r="G1090">
        <v>0.84</v>
      </c>
      <c r="H1090">
        <v>1.22</v>
      </c>
      <c r="I1090">
        <v>2.58</v>
      </c>
      <c r="J1090">
        <v>3.08</v>
      </c>
      <c r="K1090">
        <v>3.6</v>
      </c>
      <c r="M1090" s="3"/>
      <c r="N1090" s="17"/>
      <c r="O1090" s="17"/>
      <c r="P1090" s="17"/>
      <c r="Q1090" s="17"/>
      <c r="R1090" s="17"/>
      <c r="S1090" s="17"/>
      <c r="T1090" s="17"/>
      <c r="U1090" s="17"/>
      <c r="V1090" s="17"/>
      <c r="AE1090" s="2"/>
      <c r="AQ1090" s="2"/>
      <c r="AR1090" s="2"/>
      <c r="AS1090" s="2"/>
      <c r="AT1090" s="2"/>
      <c r="AU1090" s="2"/>
      <c r="AV1090" s="2"/>
      <c r="AW1090" s="2"/>
      <c r="AX1090" s="2"/>
      <c r="AY1090" s="2"/>
    </row>
    <row r="1091" spans="1:51" x14ac:dyDescent="0.25">
      <c r="A1091" s="24">
        <v>44181</v>
      </c>
      <c r="B1091" s="1">
        <v>44181</v>
      </c>
      <c r="C1091">
        <v>0.15</v>
      </c>
      <c r="D1091">
        <v>0.2</v>
      </c>
      <c r="E1091">
        <v>0.27</v>
      </c>
      <c r="F1091">
        <v>0.43</v>
      </c>
      <c r="G1091">
        <v>0.92</v>
      </c>
      <c r="H1091">
        <v>1.25</v>
      </c>
      <c r="I1091">
        <v>2.58</v>
      </c>
      <c r="J1091">
        <v>3.06</v>
      </c>
      <c r="K1091">
        <v>3.48</v>
      </c>
      <c r="M1091" s="3"/>
      <c r="N1091" s="17"/>
      <c r="O1091" s="17"/>
      <c r="P1091" s="17"/>
      <c r="Q1091" s="17"/>
      <c r="R1091" s="17"/>
      <c r="S1091" s="17"/>
      <c r="T1091" s="17"/>
      <c r="U1091" s="17"/>
      <c r="V1091" s="17"/>
      <c r="AE1091" s="2"/>
      <c r="AQ1091" s="2"/>
      <c r="AR1091" s="2"/>
      <c r="AS1091" s="2"/>
      <c r="AT1091" s="2"/>
      <c r="AU1091" s="2"/>
      <c r="AV1091" s="2"/>
      <c r="AW1091" s="2"/>
      <c r="AX1091" s="2"/>
      <c r="AY1091" s="2"/>
    </row>
    <row r="1092" spans="1:51" x14ac:dyDescent="0.25">
      <c r="A1092" s="24">
        <v>44180</v>
      </c>
      <c r="B1092" s="1">
        <v>44180</v>
      </c>
      <c r="C1092">
        <v>0.15</v>
      </c>
      <c r="D1092">
        <v>0.2</v>
      </c>
      <c r="E1092">
        <v>0.26</v>
      </c>
      <c r="F1092">
        <v>0.41</v>
      </c>
      <c r="G1092">
        <v>0.89</v>
      </c>
      <c r="H1092">
        <v>1.24</v>
      </c>
      <c r="I1092">
        <v>2.59</v>
      </c>
      <c r="J1092">
        <v>3.1</v>
      </c>
      <c r="K1092">
        <v>3.6</v>
      </c>
      <c r="M1092" s="3"/>
      <c r="N1092" s="17"/>
      <c r="O1092" s="17"/>
      <c r="P1092" s="17"/>
      <c r="Q1092" s="17"/>
      <c r="R1092" s="17"/>
      <c r="S1092" s="17"/>
      <c r="T1092" s="17"/>
      <c r="U1092" s="17"/>
      <c r="V1092" s="17"/>
      <c r="AE1092" s="2"/>
      <c r="AQ1092" s="2"/>
      <c r="AR1092" s="2"/>
      <c r="AS1092" s="2"/>
      <c r="AT1092" s="2"/>
      <c r="AU1092" s="2"/>
      <c r="AV1092" s="2"/>
      <c r="AW1092" s="2"/>
      <c r="AX1092" s="2"/>
      <c r="AY1092" s="2"/>
    </row>
    <row r="1093" spans="1:51" x14ac:dyDescent="0.25">
      <c r="A1093" s="24">
        <v>44179</v>
      </c>
      <c r="B1093" s="1">
        <v>44179</v>
      </c>
      <c r="C1093">
        <v>0.15</v>
      </c>
      <c r="D1093">
        <v>0.2</v>
      </c>
      <c r="E1093">
        <v>0.24</v>
      </c>
      <c r="F1093">
        <v>0.38</v>
      </c>
      <c r="G1093">
        <v>0.88</v>
      </c>
      <c r="H1093">
        <v>1.25</v>
      </c>
      <c r="I1093">
        <v>2.6</v>
      </c>
      <c r="J1093">
        <v>3.16</v>
      </c>
      <c r="K1093">
        <v>3.68</v>
      </c>
      <c r="M1093" s="3"/>
      <c r="N1093" s="17"/>
      <c r="O1093" s="17"/>
      <c r="P1093" s="17"/>
      <c r="Q1093" s="17"/>
      <c r="R1093" s="17"/>
      <c r="S1093" s="17"/>
      <c r="T1093" s="17"/>
      <c r="U1093" s="17"/>
      <c r="V1093" s="17"/>
      <c r="AE1093" s="2"/>
      <c r="AQ1093" s="2"/>
      <c r="AR1093" s="2"/>
      <c r="AS1093" s="2"/>
      <c r="AT1093" s="2"/>
      <c r="AU1093" s="2"/>
      <c r="AV1093" s="2"/>
      <c r="AW1093" s="2"/>
      <c r="AX1093" s="2"/>
      <c r="AY1093" s="2"/>
    </row>
    <row r="1094" spans="1:51" x14ac:dyDescent="0.25">
      <c r="A1094" s="24">
        <v>44176</v>
      </c>
      <c r="B1094" s="1">
        <v>44176</v>
      </c>
      <c r="C1094">
        <v>0.15</v>
      </c>
      <c r="D1094">
        <v>0.2</v>
      </c>
      <c r="E1094">
        <v>0.25</v>
      </c>
      <c r="F1094">
        <v>0.38</v>
      </c>
      <c r="G1094">
        <v>0.87</v>
      </c>
      <c r="H1094">
        <v>1.23</v>
      </c>
      <c r="I1094">
        <v>2.58</v>
      </c>
      <c r="J1094">
        <v>3.11</v>
      </c>
      <c r="K1094">
        <v>3.59</v>
      </c>
      <c r="M1094" s="3"/>
      <c r="N1094" s="17"/>
      <c r="O1094" s="17"/>
      <c r="P1094" s="17"/>
      <c r="Q1094" s="17"/>
      <c r="R1094" s="17"/>
      <c r="S1094" s="17"/>
      <c r="T1094" s="17"/>
      <c r="U1094" s="17"/>
      <c r="V1094" s="17"/>
      <c r="AE1094" s="2"/>
      <c r="AQ1094" s="2"/>
      <c r="AR1094" s="2"/>
      <c r="AS1094" s="2"/>
      <c r="AT1094" s="2"/>
      <c r="AU1094" s="2"/>
      <c r="AV1094" s="2"/>
      <c r="AW1094" s="2"/>
      <c r="AX1094" s="2"/>
      <c r="AY1094" s="2"/>
    </row>
    <row r="1095" spans="1:51" x14ac:dyDescent="0.25">
      <c r="A1095" s="24">
        <v>44175</v>
      </c>
      <c r="B1095" s="1">
        <v>44175</v>
      </c>
      <c r="C1095">
        <v>0.14000000000000001</v>
      </c>
      <c r="D1095">
        <v>0.19</v>
      </c>
      <c r="E1095">
        <v>0.24</v>
      </c>
      <c r="F1095">
        <v>0.38</v>
      </c>
      <c r="G1095">
        <v>0.86</v>
      </c>
      <c r="H1095">
        <v>1.23</v>
      </c>
      <c r="I1095">
        <v>2.57</v>
      </c>
      <c r="J1095">
        <v>3.15</v>
      </c>
      <c r="K1095">
        <v>3.62</v>
      </c>
      <c r="M1095" s="3"/>
      <c r="N1095" s="17"/>
      <c r="O1095" s="17"/>
      <c r="P1095" s="17"/>
      <c r="Q1095" s="17"/>
      <c r="R1095" s="17"/>
      <c r="S1095" s="17"/>
      <c r="T1095" s="17"/>
      <c r="U1095" s="17"/>
      <c r="V1095" s="17"/>
      <c r="AE1095" s="2"/>
      <c r="AQ1095" s="2"/>
      <c r="AR1095" s="2"/>
      <c r="AS1095" s="2"/>
      <c r="AT1095" s="2"/>
      <c r="AU1095" s="2"/>
      <c r="AV1095" s="2"/>
      <c r="AW1095" s="2"/>
      <c r="AX1095" s="2"/>
      <c r="AY1095" s="2"/>
    </row>
    <row r="1096" spans="1:51" x14ac:dyDescent="0.25">
      <c r="A1096" s="24">
        <v>44174</v>
      </c>
      <c r="B1096" s="1">
        <v>44174</v>
      </c>
      <c r="C1096">
        <v>0.15</v>
      </c>
      <c r="D1096">
        <v>0.21</v>
      </c>
      <c r="E1096">
        <v>0.26</v>
      </c>
      <c r="F1096">
        <v>0.38</v>
      </c>
      <c r="G1096">
        <v>0.83</v>
      </c>
      <c r="H1096">
        <v>1.2</v>
      </c>
      <c r="I1096">
        <v>2.5499999999999998</v>
      </c>
      <c r="J1096">
        <v>3.06</v>
      </c>
      <c r="K1096">
        <v>3.52</v>
      </c>
      <c r="M1096" s="3"/>
      <c r="N1096" s="17"/>
      <c r="O1096" s="17"/>
      <c r="P1096" s="17"/>
      <c r="Q1096" s="17"/>
      <c r="R1096" s="17"/>
      <c r="S1096" s="17"/>
      <c r="T1096" s="17"/>
      <c r="U1096" s="17"/>
      <c r="V1096" s="17"/>
      <c r="AE1096" s="2"/>
      <c r="AQ1096" s="2"/>
      <c r="AR1096" s="2"/>
      <c r="AS1096" s="2"/>
      <c r="AT1096" s="2"/>
      <c r="AU1096" s="2"/>
      <c r="AV1096" s="2"/>
      <c r="AW1096" s="2"/>
      <c r="AX1096" s="2"/>
      <c r="AY1096" s="2"/>
    </row>
    <row r="1097" spans="1:51" x14ac:dyDescent="0.25">
      <c r="A1097" s="24">
        <v>44173</v>
      </c>
      <c r="B1097" s="1">
        <v>44173</v>
      </c>
      <c r="C1097">
        <v>0.15</v>
      </c>
      <c r="D1097">
        <v>0.2</v>
      </c>
      <c r="E1097">
        <v>0.28000000000000003</v>
      </c>
      <c r="F1097">
        <v>0.41</v>
      </c>
      <c r="G1097">
        <v>0.88</v>
      </c>
      <c r="H1097">
        <v>1.25</v>
      </c>
      <c r="I1097">
        <v>2.6</v>
      </c>
      <c r="J1097">
        <v>3.22</v>
      </c>
      <c r="K1097">
        <v>3.74</v>
      </c>
      <c r="M1097" s="3"/>
      <c r="N1097" s="17"/>
      <c r="O1097" s="17"/>
      <c r="P1097" s="17"/>
      <c r="Q1097" s="17"/>
      <c r="R1097" s="17"/>
      <c r="S1097" s="17"/>
      <c r="T1097" s="17"/>
      <c r="U1097" s="17"/>
      <c r="V1097" s="17"/>
      <c r="AE1097" s="2"/>
      <c r="AQ1097" s="2"/>
      <c r="AR1097" s="2"/>
      <c r="AS1097" s="2"/>
      <c r="AT1097" s="2"/>
      <c r="AU1097" s="2"/>
      <c r="AV1097" s="2"/>
      <c r="AW1097" s="2"/>
      <c r="AX1097" s="2"/>
      <c r="AY1097" s="2"/>
    </row>
    <row r="1098" spans="1:51" x14ac:dyDescent="0.25">
      <c r="A1098" s="24">
        <v>44172</v>
      </c>
      <c r="B1098" s="1">
        <v>44172</v>
      </c>
      <c r="C1098">
        <v>0.15</v>
      </c>
      <c r="D1098">
        <v>0.2</v>
      </c>
      <c r="E1098">
        <v>0.26</v>
      </c>
      <c r="F1098">
        <v>0.39</v>
      </c>
      <c r="G1098">
        <v>0.84</v>
      </c>
      <c r="H1098">
        <v>1.26</v>
      </c>
      <c r="I1098">
        <v>2.68</v>
      </c>
      <c r="J1098">
        <v>3.3</v>
      </c>
      <c r="K1098">
        <v>3.8</v>
      </c>
      <c r="M1098" s="3"/>
      <c r="N1098" s="17"/>
      <c r="O1098" s="17"/>
      <c r="P1098" s="17"/>
      <c r="Q1098" s="17"/>
      <c r="R1098" s="17"/>
      <c r="S1098" s="17"/>
      <c r="T1098" s="17"/>
      <c r="U1098" s="17"/>
      <c r="V1098" s="17"/>
      <c r="AE1098" s="2"/>
      <c r="AQ1098" s="2"/>
      <c r="AR1098" s="2"/>
      <c r="AS1098" s="2"/>
      <c r="AT1098" s="2"/>
      <c r="AU1098" s="2"/>
      <c r="AV1098" s="2"/>
      <c r="AW1098" s="2"/>
      <c r="AX1098" s="2"/>
      <c r="AY1098" s="2"/>
    </row>
    <row r="1099" spans="1:51" x14ac:dyDescent="0.25">
      <c r="A1099" s="24">
        <v>44169</v>
      </c>
      <c r="B1099" s="1">
        <v>44169</v>
      </c>
      <c r="C1099">
        <v>0.15</v>
      </c>
      <c r="D1099">
        <v>0.2</v>
      </c>
      <c r="E1099">
        <v>0.27</v>
      </c>
      <c r="F1099">
        <v>0.39</v>
      </c>
      <c r="G1099">
        <v>0.9</v>
      </c>
      <c r="H1099">
        <v>1.3</v>
      </c>
      <c r="I1099">
        <v>2.72</v>
      </c>
      <c r="J1099">
        <v>3.35</v>
      </c>
      <c r="K1099">
        <v>3.8</v>
      </c>
      <c r="M1099" s="3"/>
      <c r="N1099" s="17"/>
      <c r="O1099" s="17"/>
      <c r="P1099" s="17"/>
      <c r="Q1099" s="17"/>
      <c r="R1099" s="17"/>
      <c r="S1099" s="17"/>
      <c r="T1099" s="17"/>
      <c r="U1099" s="17"/>
      <c r="V1099" s="17"/>
      <c r="AE1099" s="2"/>
      <c r="AQ1099" s="2"/>
      <c r="AR1099" s="2"/>
      <c r="AS1099" s="2"/>
      <c r="AT1099" s="2"/>
      <c r="AU1099" s="2"/>
      <c r="AV1099" s="2"/>
      <c r="AW1099" s="2"/>
      <c r="AX1099" s="2"/>
      <c r="AY1099" s="2"/>
    </row>
    <row r="1100" spans="1:51" x14ac:dyDescent="0.25">
      <c r="A1100" s="24">
        <v>44168</v>
      </c>
      <c r="B1100" s="1">
        <v>44168</v>
      </c>
      <c r="C1100">
        <v>0.14000000000000001</v>
      </c>
      <c r="D1100">
        <v>0.19</v>
      </c>
      <c r="E1100">
        <v>0.25</v>
      </c>
      <c r="F1100">
        <v>0.38</v>
      </c>
      <c r="G1100">
        <v>0.86</v>
      </c>
      <c r="H1100">
        <v>1.22</v>
      </c>
      <c r="I1100">
        <v>2.62</v>
      </c>
      <c r="J1100">
        <v>3.2</v>
      </c>
      <c r="K1100">
        <v>3.73</v>
      </c>
      <c r="M1100" s="3"/>
      <c r="N1100" s="17"/>
      <c r="O1100" s="17"/>
      <c r="P1100" s="17"/>
      <c r="Q1100" s="17"/>
      <c r="R1100" s="17"/>
      <c r="S1100" s="17"/>
      <c r="T1100" s="17"/>
      <c r="U1100" s="17"/>
      <c r="V1100" s="17"/>
      <c r="AE1100" s="2"/>
      <c r="AQ1100" s="2"/>
      <c r="AR1100" s="2"/>
      <c r="AS1100" s="2"/>
      <c r="AT1100" s="2"/>
      <c r="AU1100" s="2"/>
      <c r="AV1100" s="2"/>
      <c r="AW1100" s="2"/>
      <c r="AX1100" s="2"/>
      <c r="AY1100" s="2"/>
    </row>
    <row r="1101" spans="1:51" x14ac:dyDescent="0.25">
      <c r="A1101" s="24">
        <v>44167</v>
      </c>
      <c r="B1101" s="1">
        <v>44167</v>
      </c>
      <c r="C1101">
        <v>0.14000000000000001</v>
      </c>
      <c r="D1101">
        <v>0.19</v>
      </c>
      <c r="E1101">
        <v>0.24</v>
      </c>
      <c r="F1101">
        <v>0.37</v>
      </c>
      <c r="G1101">
        <v>0.83</v>
      </c>
      <c r="H1101">
        <v>1.21</v>
      </c>
      <c r="I1101">
        <v>2.61</v>
      </c>
      <c r="J1101">
        <v>3.13</v>
      </c>
      <c r="K1101">
        <v>3.58</v>
      </c>
      <c r="M1101" s="3"/>
      <c r="N1101" s="17"/>
      <c r="O1101" s="17"/>
      <c r="P1101" s="17"/>
      <c r="Q1101" s="17"/>
      <c r="R1101" s="17"/>
      <c r="S1101" s="17"/>
      <c r="T1101" s="17"/>
      <c r="U1101" s="17"/>
      <c r="V1101" s="17"/>
      <c r="AE1101" s="2"/>
      <c r="AQ1101" s="2"/>
      <c r="AR1101" s="2"/>
      <c r="AS1101" s="2"/>
      <c r="AT1101" s="2"/>
      <c r="AU1101" s="2"/>
      <c r="AV1101" s="2"/>
      <c r="AW1101" s="2"/>
      <c r="AX1101" s="2"/>
      <c r="AY1101" s="2"/>
    </row>
    <row r="1102" spans="1:51" x14ac:dyDescent="0.25">
      <c r="A1102" s="24">
        <v>44166</v>
      </c>
      <c r="B1102" s="1">
        <v>44166</v>
      </c>
      <c r="C1102">
        <v>0.14000000000000001</v>
      </c>
      <c r="D1102">
        <v>0.19</v>
      </c>
      <c r="E1102">
        <v>0.23</v>
      </c>
      <c r="F1102">
        <v>0.37</v>
      </c>
      <c r="G1102">
        <v>0.82</v>
      </c>
      <c r="H1102">
        <v>1.2</v>
      </c>
      <c r="I1102">
        <v>2.6</v>
      </c>
      <c r="J1102">
        <v>3.12</v>
      </c>
      <c r="K1102">
        <v>3.58</v>
      </c>
      <c r="M1102" s="3"/>
      <c r="N1102" s="17"/>
      <c r="O1102" s="17"/>
      <c r="P1102" s="17"/>
      <c r="Q1102" s="17"/>
      <c r="R1102" s="17"/>
      <c r="S1102" s="17"/>
      <c r="T1102" s="17"/>
      <c r="U1102" s="17"/>
      <c r="V1102" s="17"/>
      <c r="AE1102" s="2"/>
      <c r="AQ1102" s="2"/>
      <c r="AR1102" s="2"/>
      <c r="AS1102" s="2"/>
      <c r="AT1102" s="2"/>
      <c r="AU1102" s="2"/>
      <c r="AV1102" s="2"/>
      <c r="AW1102" s="2"/>
      <c r="AX1102" s="2"/>
      <c r="AY1102" s="2"/>
    </row>
    <row r="1103" spans="1:51" x14ac:dyDescent="0.25">
      <c r="A1103" s="24">
        <v>44165</v>
      </c>
      <c r="B1103" s="1">
        <v>44165</v>
      </c>
      <c r="C1103">
        <v>0.14000000000000001</v>
      </c>
      <c r="D1103">
        <v>0.19</v>
      </c>
      <c r="E1103">
        <v>0.23</v>
      </c>
      <c r="F1103">
        <v>0.36</v>
      </c>
      <c r="G1103">
        <v>0.84</v>
      </c>
      <c r="H1103">
        <v>1.24</v>
      </c>
      <c r="I1103">
        <v>2.66</v>
      </c>
      <c r="J1103">
        <v>3.33</v>
      </c>
      <c r="K1103">
        <v>3.83</v>
      </c>
      <c r="M1103" s="3"/>
      <c r="N1103" s="17"/>
      <c r="O1103" s="17"/>
      <c r="P1103" s="17"/>
      <c r="Q1103" s="17"/>
      <c r="R1103" s="17"/>
      <c r="S1103" s="17"/>
      <c r="T1103" s="17"/>
      <c r="U1103" s="17"/>
      <c r="V1103" s="17"/>
      <c r="AE1103" s="2"/>
      <c r="AQ1103" s="2"/>
      <c r="AR1103" s="2"/>
      <c r="AS1103" s="2"/>
      <c r="AT1103" s="2"/>
      <c r="AU1103" s="2"/>
      <c r="AV1103" s="2"/>
      <c r="AW1103" s="2"/>
      <c r="AX1103" s="2"/>
      <c r="AY1103" s="2"/>
    </row>
    <row r="1104" spans="1:51" x14ac:dyDescent="0.25">
      <c r="A1104" s="24">
        <v>44162</v>
      </c>
      <c r="B1104" s="1">
        <v>44162</v>
      </c>
      <c r="C1104">
        <v>0.15</v>
      </c>
      <c r="D1104">
        <v>0.19</v>
      </c>
      <c r="E1104">
        <v>0.25</v>
      </c>
      <c r="F1104">
        <v>0.38</v>
      </c>
      <c r="G1104">
        <v>0.87</v>
      </c>
      <c r="H1104">
        <v>1.25</v>
      </c>
      <c r="I1104">
        <v>2.65</v>
      </c>
      <c r="J1104">
        <v>3.26</v>
      </c>
      <c r="K1104">
        <v>3.78</v>
      </c>
      <c r="M1104" s="3"/>
      <c r="N1104" s="17"/>
      <c r="O1104" s="17"/>
      <c r="P1104" s="17"/>
      <c r="Q1104" s="17"/>
      <c r="R1104" s="17"/>
      <c r="S1104" s="17"/>
      <c r="T1104" s="17"/>
      <c r="U1104" s="17"/>
      <c r="V1104" s="17"/>
      <c r="AE1104" s="2"/>
      <c r="AQ1104" s="2"/>
      <c r="AR1104" s="2"/>
      <c r="AS1104" s="2"/>
      <c r="AT1104" s="2"/>
      <c r="AU1104" s="2"/>
      <c r="AV1104" s="2"/>
      <c r="AW1104" s="2"/>
      <c r="AX1104" s="2"/>
      <c r="AY1104" s="2"/>
    </row>
    <row r="1105" spans="1:51" x14ac:dyDescent="0.25">
      <c r="A1105" s="24">
        <v>44161</v>
      </c>
      <c r="B1105" s="1">
        <v>44161</v>
      </c>
      <c r="C1105">
        <v>0.15</v>
      </c>
      <c r="D1105">
        <v>0.2</v>
      </c>
      <c r="E1105">
        <v>0.25</v>
      </c>
      <c r="F1105">
        <v>0.38</v>
      </c>
      <c r="G1105">
        <v>0.85</v>
      </c>
      <c r="H1105">
        <v>1.22</v>
      </c>
      <c r="I1105">
        <v>2.63</v>
      </c>
      <c r="J1105">
        <v>3.19</v>
      </c>
      <c r="K1105">
        <v>3.64</v>
      </c>
      <c r="M1105" s="3"/>
      <c r="N1105" s="17"/>
      <c r="O1105" s="17"/>
      <c r="P1105" s="17"/>
      <c r="Q1105" s="17"/>
      <c r="R1105" s="17"/>
      <c r="S1105" s="17"/>
      <c r="T1105" s="17"/>
      <c r="U1105" s="17"/>
      <c r="V1105" s="17"/>
      <c r="AE1105" s="2"/>
      <c r="AQ1105" s="2"/>
      <c r="AR1105" s="2"/>
      <c r="AS1105" s="2"/>
      <c r="AT1105" s="2"/>
      <c r="AU1105" s="2"/>
      <c r="AV1105" s="2"/>
      <c r="AW1105" s="2"/>
      <c r="AX1105" s="2"/>
      <c r="AY1105" s="2"/>
    </row>
    <row r="1106" spans="1:51" x14ac:dyDescent="0.25">
      <c r="A1106" s="24">
        <v>44160</v>
      </c>
      <c r="B1106" s="1">
        <v>44160</v>
      </c>
      <c r="C1106">
        <v>0.15</v>
      </c>
      <c r="D1106">
        <v>0.2</v>
      </c>
      <c r="E1106">
        <v>0.25</v>
      </c>
      <c r="F1106">
        <v>0.38</v>
      </c>
      <c r="G1106">
        <v>0.8</v>
      </c>
      <c r="H1106">
        <v>1.18</v>
      </c>
      <c r="I1106">
        <v>2.62</v>
      </c>
      <c r="J1106">
        <v>3.12</v>
      </c>
      <c r="K1106">
        <v>3.58</v>
      </c>
      <c r="M1106" s="3"/>
      <c r="N1106" s="17"/>
      <c r="O1106" s="17"/>
      <c r="P1106" s="17"/>
      <c r="Q1106" s="17"/>
      <c r="R1106" s="17"/>
      <c r="S1106" s="17"/>
      <c r="T1106" s="17"/>
      <c r="U1106" s="17"/>
      <c r="V1106" s="17"/>
      <c r="AE1106" s="2"/>
      <c r="AQ1106" s="2"/>
      <c r="AR1106" s="2"/>
      <c r="AS1106" s="2"/>
      <c r="AT1106" s="2"/>
      <c r="AU1106" s="2"/>
      <c r="AV1106" s="2"/>
      <c r="AW1106" s="2"/>
      <c r="AX1106" s="2"/>
      <c r="AY1106" s="2"/>
    </row>
    <row r="1107" spans="1:51" x14ac:dyDescent="0.25">
      <c r="A1107" s="24">
        <v>44159</v>
      </c>
      <c r="B1107" s="1">
        <v>44159</v>
      </c>
      <c r="C1107">
        <v>0.15</v>
      </c>
      <c r="D1107">
        <v>0.2</v>
      </c>
      <c r="E1107">
        <v>0.25</v>
      </c>
      <c r="F1107">
        <v>0.38</v>
      </c>
      <c r="G1107">
        <v>0.82</v>
      </c>
      <c r="H1107">
        <v>1.23</v>
      </c>
      <c r="I1107">
        <v>2.63</v>
      </c>
      <c r="J1107">
        <v>3.19</v>
      </c>
      <c r="K1107">
        <v>3.66</v>
      </c>
      <c r="M1107" s="3"/>
      <c r="N1107" s="17"/>
      <c r="O1107" s="17"/>
      <c r="P1107" s="17"/>
      <c r="Q1107" s="17"/>
      <c r="R1107" s="17"/>
      <c r="S1107" s="17"/>
      <c r="T1107" s="17"/>
      <c r="U1107" s="17"/>
      <c r="V1107" s="17"/>
      <c r="AE1107" s="2"/>
      <c r="AQ1107" s="2"/>
      <c r="AR1107" s="2"/>
      <c r="AS1107" s="2"/>
      <c r="AT1107" s="2"/>
      <c r="AU1107" s="2"/>
      <c r="AV1107" s="2"/>
      <c r="AW1107" s="2"/>
      <c r="AX1107" s="2"/>
      <c r="AY1107" s="2"/>
    </row>
    <row r="1108" spans="1:51" x14ac:dyDescent="0.25">
      <c r="A1108" s="24">
        <v>44158</v>
      </c>
      <c r="B1108" s="1">
        <v>44158</v>
      </c>
      <c r="C1108">
        <v>0.14000000000000001</v>
      </c>
      <c r="D1108">
        <v>0.18</v>
      </c>
      <c r="E1108">
        <v>0.21</v>
      </c>
      <c r="F1108">
        <v>0.34</v>
      </c>
      <c r="G1108">
        <v>0.78</v>
      </c>
      <c r="H1108">
        <v>1.2</v>
      </c>
      <c r="I1108">
        <v>2.6</v>
      </c>
      <c r="J1108">
        <v>3.18</v>
      </c>
      <c r="K1108">
        <v>3.68</v>
      </c>
      <c r="M1108" s="3"/>
      <c r="N1108" s="17"/>
      <c r="O1108" s="17"/>
      <c r="P1108" s="17"/>
      <c r="Q1108" s="17"/>
      <c r="R1108" s="17"/>
      <c r="S1108" s="17"/>
      <c r="T1108" s="17"/>
      <c r="U1108" s="17"/>
      <c r="V1108" s="17"/>
      <c r="AE1108" s="2"/>
      <c r="AQ1108" s="2"/>
      <c r="AR1108" s="2"/>
      <c r="AS1108" s="2"/>
      <c r="AT1108" s="2"/>
      <c r="AU1108" s="2"/>
      <c r="AV1108" s="2"/>
      <c r="AW1108" s="2"/>
      <c r="AX1108" s="2"/>
      <c r="AY1108" s="2"/>
    </row>
    <row r="1109" spans="1:51" x14ac:dyDescent="0.25">
      <c r="A1109" s="24">
        <v>44155</v>
      </c>
      <c r="B1109" s="1">
        <v>44155</v>
      </c>
      <c r="C1109">
        <v>0.15</v>
      </c>
      <c r="D1109">
        <v>0.19</v>
      </c>
      <c r="E1109">
        <v>0.23</v>
      </c>
      <c r="F1109">
        <v>0.37</v>
      </c>
      <c r="G1109">
        <v>0.83</v>
      </c>
      <c r="H1109">
        <v>1.23</v>
      </c>
      <c r="I1109">
        <v>2.65</v>
      </c>
      <c r="J1109">
        <v>3.26</v>
      </c>
      <c r="K1109">
        <v>3.78</v>
      </c>
      <c r="M1109" s="3"/>
      <c r="N1109" s="17"/>
      <c r="O1109" s="17"/>
      <c r="P1109" s="17"/>
      <c r="Q1109" s="17"/>
      <c r="R1109" s="17"/>
      <c r="S1109" s="17"/>
      <c r="T1109" s="17"/>
      <c r="U1109" s="17"/>
      <c r="V1109" s="17"/>
      <c r="AE1109" s="2"/>
      <c r="AQ1109" s="2"/>
      <c r="AR1109" s="2"/>
      <c r="AS1109" s="2"/>
      <c r="AT1109" s="2"/>
      <c r="AU1109" s="2"/>
      <c r="AV1109" s="2"/>
      <c r="AW1109" s="2"/>
      <c r="AX1109" s="2"/>
      <c r="AY1109" s="2"/>
    </row>
    <row r="1110" spans="1:51" x14ac:dyDescent="0.25">
      <c r="A1110" s="24">
        <v>44154</v>
      </c>
      <c r="B1110" s="1">
        <v>44154</v>
      </c>
      <c r="C1110">
        <v>0.15</v>
      </c>
      <c r="D1110">
        <v>0.19</v>
      </c>
      <c r="E1110">
        <v>0.23</v>
      </c>
      <c r="F1110">
        <v>0.37</v>
      </c>
      <c r="G1110">
        <v>0.82</v>
      </c>
      <c r="H1110">
        <v>1.23</v>
      </c>
      <c r="I1110">
        <v>2.6</v>
      </c>
      <c r="J1110">
        <v>3.12</v>
      </c>
      <c r="K1110">
        <v>3.58</v>
      </c>
      <c r="M1110" s="3"/>
      <c r="N1110" s="17"/>
      <c r="O1110" s="17"/>
      <c r="P1110" s="17"/>
      <c r="Q1110" s="17"/>
      <c r="R1110" s="17"/>
      <c r="S1110" s="17"/>
      <c r="T1110" s="17"/>
      <c r="U1110" s="17"/>
      <c r="V1110" s="17"/>
      <c r="AE1110" s="2"/>
      <c r="AQ1110" s="2"/>
      <c r="AR1110" s="2"/>
      <c r="AS1110" s="2"/>
      <c r="AT1110" s="2"/>
      <c r="AU1110" s="2"/>
      <c r="AV1110" s="2"/>
      <c r="AW1110" s="2"/>
      <c r="AX1110" s="2"/>
      <c r="AY1110" s="2"/>
    </row>
    <row r="1111" spans="1:51" x14ac:dyDescent="0.25">
      <c r="A1111" s="24">
        <v>44153</v>
      </c>
      <c r="B1111" s="1">
        <v>44153</v>
      </c>
      <c r="C1111">
        <v>0.15</v>
      </c>
      <c r="D1111">
        <v>0.2</v>
      </c>
      <c r="E1111">
        <v>0.24</v>
      </c>
      <c r="F1111">
        <v>0.37</v>
      </c>
      <c r="G1111">
        <v>0.86</v>
      </c>
      <c r="H1111">
        <v>1.27</v>
      </c>
      <c r="I1111">
        <v>2.66</v>
      </c>
      <c r="J1111">
        <v>3.27</v>
      </c>
      <c r="K1111">
        <v>3.78</v>
      </c>
      <c r="M1111" s="3"/>
      <c r="N1111" s="17"/>
      <c r="O1111" s="17"/>
      <c r="P1111" s="17"/>
      <c r="Q1111" s="17"/>
      <c r="R1111" s="17"/>
      <c r="S1111" s="17"/>
      <c r="T1111" s="17"/>
      <c r="U1111" s="17"/>
      <c r="V1111" s="17"/>
      <c r="AE1111" s="2"/>
      <c r="AQ1111" s="2"/>
      <c r="AR1111" s="2"/>
      <c r="AS1111" s="2"/>
      <c r="AT1111" s="2"/>
      <c r="AU1111" s="2"/>
      <c r="AV1111" s="2"/>
      <c r="AW1111" s="2"/>
      <c r="AX1111" s="2"/>
      <c r="AY1111" s="2"/>
    </row>
    <row r="1112" spans="1:51" x14ac:dyDescent="0.25">
      <c r="A1112" s="24">
        <v>44152</v>
      </c>
      <c r="B1112" s="1">
        <v>44152</v>
      </c>
      <c r="C1112">
        <v>0.14000000000000001</v>
      </c>
      <c r="D1112">
        <v>0.19</v>
      </c>
      <c r="E1112">
        <v>0.22</v>
      </c>
      <c r="F1112">
        <v>0.36</v>
      </c>
      <c r="G1112">
        <v>0.82</v>
      </c>
      <c r="H1112">
        <v>1.24</v>
      </c>
      <c r="I1112">
        <v>2.62</v>
      </c>
      <c r="J1112">
        <v>3.2</v>
      </c>
      <c r="K1112">
        <v>3.73</v>
      </c>
      <c r="M1112" s="3"/>
      <c r="N1112" s="17"/>
      <c r="O1112" s="17"/>
      <c r="P1112" s="17"/>
      <c r="Q1112" s="17"/>
      <c r="R1112" s="17"/>
      <c r="S1112" s="17"/>
      <c r="T1112" s="17"/>
      <c r="U1112" s="17"/>
      <c r="V1112" s="17"/>
      <c r="AE1112" s="2"/>
      <c r="AQ1112" s="2"/>
      <c r="AR1112" s="2"/>
      <c r="AS1112" s="2"/>
      <c r="AT1112" s="2"/>
      <c r="AU1112" s="2"/>
      <c r="AV1112" s="2"/>
      <c r="AW1112" s="2"/>
      <c r="AX1112" s="2"/>
      <c r="AY1112" s="2"/>
    </row>
    <row r="1113" spans="1:51" x14ac:dyDescent="0.25">
      <c r="A1113" s="24">
        <v>44151</v>
      </c>
      <c r="B1113" s="1">
        <v>44151</v>
      </c>
      <c r="C1113">
        <v>0.15</v>
      </c>
      <c r="D1113">
        <v>0.21</v>
      </c>
      <c r="E1113">
        <v>0.25</v>
      </c>
      <c r="F1113">
        <v>0.37</v>
      </c>
      <c r="G1113">
        <v>0.82</v>
      </c>
      <c r="H1113">
        <v>1.2</v>
      </c>
      <c r="I1113">
        <v>2.62</v>
      </c>
      <c r="J1113">
        <v>3.13</v>
      </c>
      <c r="K1113">
        <v>3.65</v>
      </c>
      <c r="M1113" s="3"/>
      <c r="N1113" s="17"/>
      <c r="O1113" s="17"/>
      <c r="P1113" s="17"/>
      <c r="Q1113" s="17"/>
      <c r="R1113" s="17"/>
      <c r="S1113" s="17"/>
      <c r="T1113" s="17"/>
      <c r="U1113" s="17"/>
      <c r="V1113" s="17"/>
      <c r="AE1113" s="2"/>
      <c r="AQ1113" s="2"/>
      <c r="AR1113" s="2"/>
      <c r="AS1113" s="2"/>
      <c r="AT1113" s="2"/>
      <c r="AU1113" s="2"/>
      <c r="AV1113" s="2"/>
      <c r="AW1113" s="2"/>
      <c r="AX1113" s="2"/>
      <c r="AY1113" s="2"/>
    </row>
    <row r="1114" spans="1:51" x14ac:dyDescent="0.25">
      <c r="A1114" s="24">
        <v>44148</v>
      </c>
      <c r="B1114" s="1">
        <v>44148</v>
      </c>
      <c r="C1114">
        <v>0.15</v>
      </c>
      <c r="D1114">
        <v>0.2</v>
      </c>
      <c r="E1114">
        <v>0.25</v>
      </c>
      <c r="F1114">
        <v>0.38</v>
      </c>
      <c r="G1114">
        <v>0.84</v>
      </c>
      <c r="H1114">
        <v>1.21</v>
      </c>
      <c r="I1114">
        <v>2.63</v>
      </c>
      <c r="J1114">
        <v>3.18</v>
      </c>
      <c r="K1114">
        <v>3.65</v>
      </c>
      <c r="M1114" s="3"/>
      <c r="N1114" s="17"/>
      <c r="O1114" s="17"/>
      <c r="P1114" s="17"/>
      <c r="Q1114" s="17"/>
      <c r="R1114" s="17"/>
      <c r="S1114" s="17"/>
      <c r="T1114" s="17"/>
      <c r="U1114" s="17"/>
      <c r="V1114" s="17"/>
      <c r="AE1114" s="2"/>
      <c r="AQ1114" s="2"/>
      <c r="AR1114" s="2"/>
      <c r="AS1114" s="2"/>
      <c r="AT1114" s="2"/>
      <c r="AU1114" s="2"/>
      <c r="AV1114" s="2"/>
      <c r="AW1114" s="2"/>
      <c r="AX1114" s="2"/>
      <c r="AY1114" s="2"/>
    </row>
    <row r="1115" spans="1:51" x14ac:dyDescent="0.25">
      <c r="A1115" s="24">
        <v>44147</v>
      </c>
      <c r="B1115" s="1">
        <v>44147</v>
      </c>
      <c r="C1115">
        <v>0.14000000000000001</v>
      </c>
      <c r="D1115">
        <v>0.19</v>
      </c>
      <c r="E1115">
        <v>0.24</v>
      </c>
      <c r="F1115">
        <v>0.38</v>
      </c>
      <c r="G1115">
        <v>0.86</v>
      </c>
      <c r="H1115">
        <v>1.28</v>
      </c>
      <c r="I1115">
        <v>2.78</v>
      </c>
      <c r="J1115">
        <v>3.45</v>
      </c>
      <c r="K1115">
        <v>3.98</v>
      </c>
      <c r="M1115" s="3"/>
      <c r="N1115" s="17"/>
      <c r="O1115" s="17"/>
      <c r="P1115" s="17"/>
      <c r="Q1115" s="17"/>
      <c r="R1115" s="17"/>
      <c r="S1115" s="17"/>
      <c r="T1115" s="17"/>
      <c r="U1115" s="17"/>
      <c r="V1115" s="17"/>
      <c r="AE1115" s="2"/>
      <c r="AQ1115" s="2"/>
      <c r="AR1115" s="2"/>
      <c r="AS1115" s="2"/>
      <c r="AT1115" s="2"/>
      <c r="AU1115" s="2"/>
      <c r="AV1115" s="2"/>
      <c r="AW1115" s="2"/>
      <c r="AX1115" s="2"/>
      <c r="AY1115" s="2"/>
    </row>
    <row r="1116" spans="1:51" x14ac:dyDescent="0.25">
      <c r="A1116" s="24">
        <v>44146</v>
      </c>
      <c r="B1116" s="1">
        <v>44146</v>
      </c>
      <c r="C1116">
        <v>0.15</v>
      </c>
      <c r="D1116">
        <v>0.21</v>
      </c>
      <c r="E1116">
        <v>0.26</v>
      </c>
      <c r="F1116">
        <v>0.39</v>
      </c>
      <c r="G1116">
        <v>0.84</v>
      </c>
      <c r="H1116">
        <v>1.26</v>
      </c>
      <c r="I1116">
        <v>2.66</v>
      </c>
      <c r="J1116">
        <v>3.28</v>
      </c>
      <c r="K1116">
        <v>3.8</v>
      </c>
      <c r="M1116" s="3"/>
      <c r="N1116" s="17"/>
      <c r="O1116" s="17"/>
      <c r="P1116" s="17"/>
      <c r="Q1116" s="17"/>
      <c r="R1116" s="17"/>
      <c r="S1116" s="17"/>
      <c r="T1116" s="17"/>
      <c r="U1116" s="17"/>
      <c r="V1116" s="17"/>
      <c r="AE1116" s="2"/>
      <c r="AQ1116" s="2"/>
      <c r="AR1116" s="2"/>
      <c r="AS1116" s="2"/>
      <c r="AT1116" s="2"/>
      <c r="AU1116" s="2"/>
      <c r="AV1116" s="2"/>
      <c r="AW1116" s="2"/>
      <c r="AX1116" s="2"/>
      <c r="AY1116" s="2"/>
    </row>
    <row r="1117" spans="1:51" x14ac:dyDescent="0.25">
      <c r="A1117" s="24">
        <v>44145</v>
      </c>
      <c r="B1117" s="1">
        <v>44145</v>
      </c>
      <c r="C1117">
        <v>0.15</v>
      </c>
      <c r="D1117">
        <v>0.2</v>
      </c>
      <c r="E1117">
        <v>0.25</v>
      </c>
      <c r="F1117">
        <v>0.38</v>
      </c>
      <c r="G1117">
        <v>0.81</v>
      </c>
      <c r="H1117">
        <v>1.25</v>
      </c>
      <c r="I1117">
        <v>2.68</v>
      </c>
      <c r="J1117">
        <v>3.3</v>
      </c>
      <c r="K1117">
        <v>3.84</v>
      </c>
      <c r="M1117" s="3"/>
      <c r="N1117" s="17"/>
      <c r="O1117" s="17"/>
      <c r="P1117" s="17"/>
      <c r="Q1117" s="17"/>
      <c r="R1117" s="17"/>
      <c r="S1117" s="17"/>
      <c r="T1117" s="17"/>
      <c r="U1117" s="17"/>
      <c r="V1117" s="17"/>
      <c r="AE1117" s="2"/>
      <c r="AQ1117" s="2"/>
      <c r="AR1117" s="2"/>
      <c r="AS1117" s="2"/>
      <c r="AT1117" s="2"/>
      <c r="AU1117" s="2"/>
      <c r="AV1117" s="2"/>
      <c r="AW1117" s="2"/>
      <c r="AX1117" s="2"/>
      <c r="AY1117" s="2"/>
    </row>
    <row r="1118" spans="1:51" x14ac:dyDescent="0.25">
      <c r="A1118" s="24">
        <v>44144</v>
      </c>
      <c r="B1118" s="1">
        <v>44144</v>
      </c>
      <c r="C1118">
        <v>0.15</v>
      </c>
      <c r="D1118">
        <v>0.2</v>
      </c>
      <c r="E1118">
        <v>0.28000000000000003</v>
      </c>
      <c r="F1118">
        <v>0.41</v>
      </c>
      <c r="G1118">
        <v>0.83</v>
      </c>
      <c r="H1118">
        <v>1.25</v>
      </c>
      <c r="I1118">
        <v>2.83</v>
      </c>
      <c r="J1118">
        <v>3.32</v>
      </c>
      <c r="K1118">
        <v>3.78</v>
      </c>
      <c r="M1118" s="3"/>
      <c r="N1118" s="17"/>
      <c r="O1118" s="17"/>
      <c r="P1118" s="17"/>
      <c r="Q1118" s="17"/>
      <c r="R1118" s="17"/>
      <c r="S1118" s="17"/>
      <c r="T1118" s="17"/>
      <c r="U1118" s="17"/>
      <c r="V1118" s="17"/>
      <c r="AE1118" s="2"/>
      <c r="AQ1118" s="2"/>
      <c r="AR1118" s="2"/>
      <c r="AS1118" s="2"/>
      <c r="AT1118" s="2"/>
      <c r="AU1118" s="2"/>
      <c r="AV1118" s="2"/>
      <c r="AW1118" s="2"/>
      <c r="AX1118" s="2"/>
      <c r="AY1118" s="2"/>
    </row>
    <row r="1119" spans="1:51" x14ac:dyDescent="0.25">
      <c r="A1119" s="24">
        <v>44141</v>
      </c>
      <c r="B1119" s="1">
        <v>44141</v>
      </c>
      <c r="C1119">
        <v>0.15</v>
      </c>
      <c r="D1119">
        <v>0.21</v>
      </c>
      <c r="E1119">
        <v>0.26</v>
      </c>
      <c r="F1119">
        <v>0.39</v>
      </c>
      <c r="G1119">
        <v>0.86</v>
      </c>
      <c r="H1119">
        <v>1.27</v>
      </c>
      <c r="I1119">
        <v>2.76</v>
      </c>
      <c r="J1119">
        <v>3.41</v>
      </c>
      <c r="K1119">
        <v>3.88</v>
      </c>
      <c r="M1119" s="3"/>
      <c r="N1119" s="17"/>
      <c r="O1119" s="17"/>
      <c r="P1119" s="17"/>
      <c r="Q1119" s="17"/>
      <c r="R1119" s="17"/>
      <c r="S1119" s="17"/>
      <c r="T1119" s="17"/>
      <c r="U1119" s="17"/>
      <c r="V1119" s="17"/>
      <c r="AE1119" s="2"/>
      <c r="AQ1119" s="2"/>
      <c r="AR1119" s="2"/>
      <c r="AS1119" s="2"/>
      <c r="AT1119" s="2"/>
      <c r="AU1119" s="2"/>
      <c r="AV1119" s="2"/>
      <c r="AW1119" s="2"/>
      <c r="AX1119" s="2"/>
      <c r="AY1119" s="2"/>
    </row>
    <row r="1120" spans="1:51" x14ac:dyDescent="0.25">
      <c r="A1120" s="24">
        <v>44140</v>
      </c>
      <c r="B1120" s="1">
        <v>44140</v>
      </c>
      <c r="C1120">
        <v>0.14000000000000001</v>
      </c>
      <c r="D1120">
        <v>0.19</v>
      </c>
      <c r="E1120">
        <v>0.23</v>
      </c>
      <c r="F1120">
        <v>0.37</v>
      </c>
      <c r="G1120">
        <v>0.79</v>
      </c>
      <c r="H1120">
        <v>1.22</v>
      </c>
      <c r="I1120">
        <v>2.72</v>
      </c>
      <c r="J1120">
        <v>3.32</v>
      </c>
      <c r="K1120">
        <v>3.88</v>
      </c>
      <c r="M1120" s="3"/>
      <c r="N1120" s="17"/>
      <c r="O1120" s="17"/>
      <c r="P1120" s="17"/>
      <c r="Q1120" s="17"/>
      <c r="R1120" s="17"/>
      <c r="S1120" s="17"/>
      <c r="T1120" s="17"/>
      <c r="U1120" s="17"/>
      <c r="V1120" s="17"/>
      <c r="AE1120" s="2"/>
      <c r="AQ1120" s="2"/>
      <c r="AR1120" s="2"/>
      <c r="AS1120" s="2"/>
      <c r="AT1120" s="2"/>
      <c r="AU1120" s="2"/>
      <c r="AV1120" s="2"/>
      <c r="AW1120" s="2"/>
      <c r="AX1120" s="2"/>
      <c r="AY1120" s="2"/>
    </row>
    <row r="1121" spans="1:51" x14ac:dyDescent="0.25">
      <c r="A1121" s="24">
        <v>44139</v>
      </c>
      <c r="B1121" s="1">
        <v>44139</v>
      </c>
      <c r="C1121">
        <v>0.13</v>
      </c>
      <c r="D1121">
        <v>0.19</v>
      </c>
      <c r="E1121">
        <v>0.21</v>
      </c>
      <c r="F1121">
        <v>0.36</v>
      </c>
      <c r="G1121">
        <v>0.77</v>
      </c>
      <c r="H1121">
        <v>1.18</v>
      </c>
      <c r="I1121">
        <v>2.66</v>
      </c>
      <c r="J1121">
        <v>3.28</v>
      </c>
      <c r="K1121">
        <v>3.85</v>
      </c>
      <c r="M1121" s="3"/>
      <c r="N1121" s="17"/>
      <c r="O1121" s="17"/>
      <c r="P1121" s="17"/>
      <c r="Q1121" s="17"/>
      <c r="R1121" s="17"/>
      <c r="S1121" s="17"/>
      <c r="T1121" s="17"/>
      <c r="U1121" s="17"/>
      <c r="V1121" s="17"/>
      <c r="AE1121" s="2"/>
      <c r="AQ1121" s="2"/>
      <c r="AR1121" s="2"/>
      <c r="AS1121" s="2"/>
      <c r="AT1121" s="2"/>
      <c r="AU1121" s="2"/>
      <c r="AV1121" s="2"/>
      <c r="AW1121" s="2"/>
      <c r="AX1121" s="2"/>
      <c r="AY1121" s="2"/>
    </row>
    <row r="1122" spans="1:51" x14ac:dyDescent="0.25">
      <c r="A1122" s="24">
        <v>44138</v>
      </c>
      <c r="B1122" s="1">
        <v>44138</v>
      </c>
      <c r="C1122">
        <v>0.15</v>
      </c>
      <c r="D1122">
        <v>0.19</v>
      </c>
      <c r="E1122">
        <v>0.25</v>
      </c>
      <c r="F1122">
        <v>0.39</v>
      </c>
      <c r="G1122">
        <v>0.86</v>
      </c>
      <c r="H1122">
        <v>1.3</v>
      </c>
      <c r="I1122">
        <v>2.72</v>
      </c>
      <c r="J1122">
        <v>3.38</v>
      </c>
      <c r="K1122">
        <v>3.87</v>
      </c>
      <c r="M1122" s="3"/>
      <c r="N1122" s="17"/>
      <c r="O1122" s="17"/>
      <c r="P1122" s="17"/>
      <c r="Q1122" s="17"/>
      <c r="R1122" s="17"/>
      <c r="S1122" s="17"/>
      <c r="T1122" s="17"/>
      <c r="U1122" s="17"/>
      <c r="V1122" s="17"/>
      <c r="AE1122" s="2"/>
      <c r="AQ1122" s="2"/>
      <c r="AR1122" s="2"/>
      <c r="AS1122" s="2"/>
      <c r="AT1122" s="2"/>
      <c r="AU1122" s="2"/>
      <c r="AV1122" s="2"/>
      <c r="AW1122" s="2"/>
      <c r="AX1122" s="2"/>
      <c r="AY1122" s="2"/>
    </row>
    <row r="1123" spans="1:51" x14ac:dyDescent="0.25">
      <c r="A1123" s="24">
        <v>44137</v>
      </c>
      <c r="B1123" s="1">
        <v>44137</v>
      </c>
      <c r="C1123">
        <v>0.15</v>
      </c>
      <c r="D1123">
        <v>0.2</v>
      </c>
      <c r="E1123">
        <v>0.25</v>
      </c>
      <c r="F1123">
        <v>0.4</v>
      </c>
      <c r="G1123">
        <v>0.88</v>
      </c>
      <c r="H1123">
        <v>1.28</v>
      </c>
      <c r="I1123">
        <v>2.72</v>
      </c>
      <c r="J1123">
        <v>3.37</v>
      </c>
      <c r="K1123">
        <v>3.84</v>
      </c>
      <c r="M1123" s="3"/>
      <c r="N1123" s="17"/>
      <c r="O1123" s="17"/>
      <c r="P1123" s="17"/>
      <c r="Q1123" s="17"/>
      <c r="R1123" s="17"/>
      <c r="S1123" s="17"/>
      <c r="T1123" s="17"/>
      <c r="U1123" s="17"/>
      <c r="V1123" s="17"/>
      <c r="AE1123" s="2"/>
      <c r="AQ1123" s="2"/>
      <c r="AR1123" s="2"/>
      <c r="AS1123" s="2"/>
      <c r="AT1123" s="2"/>
      <c r="AU1123" s="2"/>
      <c r="AV1123" s="2"/>
      <c r="AW1123" s="2"/>
      <c r="AX1123" s="2"/>
      <c r="AY1123" s="2"/>
    </row>
    <row r="1124" spans="1:51" x14ac:dyDescent="0.25">
      <c r="A1124" s="24">
        <v>44134</v>
      </c>
      <c r="B1124" s="1">
        <v>44134</v>
      </c>
      <c r="C1124">
        <v>0.14000000000000001</v>
      </c>
      <c r="D1124">
        <v>0.19</v>
      </c>
      <c r="E1124">
        <v>0.25</v>
      </c>
      <c r="F1124">
        <v>0.39</v>
      </c>
      <c r="G1124">
        <v>0.88</v>
      </c>
      <c r="H1124">
        <v>1.3</v>
      </c>
      <c r="I1124">
        <v>2.74</v>
      </c>
      <c r="J1124">
        <v>3.4</v>
      </c>
      <c r="K1124">
        <v>3.93</v>
      </c>
      <c r="M1124" s="3"/>
      <c r="N1124" s="17"/>
      <c r="O1124" s="17"/>
      <c r="P1124" s="17"/>
      <c r="Q1124" s="17"/>
      <c r="R1124" s="17"/>
      <c r="S1124" s="17"/>
      <c r="T1124" s="17"/>
      <c r="U1124" s="17"/>
      <c r="V1124" s="17"/>
      <c r="AE1124" s="2"/>
      <c r="AQ1124" s="2"/>
      <c r="AR1124" s="2"/>
      <c r="AS1124" s="2"/>
      <c r="AT1124" s="2"/>
      <c r="AU1124" s="2"/>
      <c r="AV1124" s="2"/>
      <c r="AW1124" s="2"/>
      <c r="AX1124" s="2"/>
      <c r="AY1124" s="2"/>
    </row>
    <row r="1125" spans="1:51" x14ac:dyDescent="0.25">
      <c r="A1125" s="24">
        <v>44133</v>
      </c>
      <c r="B1125" s="1">
        <v>44133</v>
      </c>
      <c r="C1125">
        <v>0.14000000000000001</v>
      </c>
      <c r="D1125">
        <v>0.18</v>
      </c>
      <c r="E1125">
        <v>0.23</v>
      </c>
      <c r="F1125">
        <v>0.37</v>
      </c>
      <c r="G1125">
        <v>0.83</v>
      </c>
      <c r="H1125">
        <v>1.25</v>
      </c>
      <c r="I1125">
        <v>2.67</v>
      </c>
      <c r="J1125">
        <v>3.34</v>
      </c>
      <c r="K1125">
        <v>3.84</v>
      </c>
      <c r="M1125" s="3"/>
      <c r="N1125" s="17"/>
      <c r="O1125" s="17"/>
      <c r="P1125" s="17"/>
      <c r="Q1125" s="17"/>
      <c r="R1125" s="17"/>
      <c r="S1125" s="17"/>
      <c r="T1125" s="17"/>
      <c r="U1125" s="17"/>
      <c r="V1125" s="17"/>
      <c r="AE1125" s="2"/>
      <c r="AQ1125" s="2"/>
      <c r="AR1125" s="2"/>
      <c r="AS1125" s="2"/>
      <c r="AT1125" s="2"/>
      <c r="AU1125" s="2"/>
      <c r="AV1125" s="2"/>
      <c r="AW1125" s="2"/>
      <c r="AX1125" s="2"/>
      <c r="AY1125" s="2"/>
    </row>
    <row r="1126" spans="1:51" x14ac:dyDescent="0.25">
      <c r="A1126" s="24">
        <v>44132</v>
      </c>
      <c r="B1126" s="1">
        <v>44132</v>
      </c>
      <c r="C1126">
        <v>0.15</v>
      </c>
      <c r="D1126">
        <v>0.2</v>
      </c>
      <c r="E1126">
        <v>0.26</v>
      </c>
      <c r="F1126">
        <v>0.42</v>
      </c>
      <c r="G1126">
        <v>0.93</v>
      </c>
      <c r="H1126">
        <v>1.38</v>
      </c>
      <c r="I1126">
        <v>2.71</v>
      </c>
      <c r="J1126">
        <v>3.39</v>
      </c>
      <c r="K1126">
        <v>3.92</v>
      </c>
      <c r="M1126" s="3"/>
      <c r="N1126" s="17"/>
      <c r="O1126" s="17"/>
      <c r="P1126" s="17"/>
      <c r="Q1126" s="17"/>
      <c r="R1126" s="17"/>
      <c r="S1126" s="17"/>
      <c r="T1126" s="17"/>
      <c r="U1126" s="17"/>
      <c r="V1126" s="17"/>
      <c r="AE1126" s="2"/>
      <c r="AQ1126" s="2"/>
      <c r="AR1126" s="2"/>
      <c r="AS1126" s="2"/>
      <c r="AT1126" s="2"/>
      <c r="AU1126" s="2"/>
      <c r="AV1126" s="2"/>
      <c r="AW1126" s="2"/>
      <c r="AX1126" s="2"/>
      <c r="AY1126" s="2"/>
    </row>
    <row r="1127" spans="1:51" x14ac:dyDescent="0.25">
      <c r="A1127" s="24">
        <v>44131</v>
      </c>
      <c r="B1127" s="1">
        <v>44131</v>
      </c>
      <c r="C1127">
        <v>0.14000000000000001</v>
      </c>
      <c r="D1127">
        <v>0.19</v>
      </c>
      <c r="E1127">
        <v>0.25</v>
      </c>
      <c r="F1127">
        <v>0.39</v>
      </c>
      <c r="G1127">
        <v>0.88</v>
      </c>
      <c r="H1127">
        <v>1.31</v>
      </c>
      <c r="I1127">
        <v>2.71</v>
      </c>
      <c r="J1127">
        <v>3.37</v>
      </c>
      <c r="K1127">
        <v>3.87</v>
      </c>
      <c r="M1127" s="3"/>
      <c r="N1127" s="17"/>
      <c r="O1127" s="17"/>
      <c r="P1127" s="17"/>
      <c r="Q1127" s="17"/>
      <c r="R1127" s="17"/>
      <c r="S1127" s="17"/>
      <c r="T1127" s="17"/>
      <c r="U1127" s="17"/>
      <c r="V1127" s="17"/>
      <c r="AE1127" s="2"/>
      <c r="AQ1127" s="2"/>
      <c r="AR1127" s="2"/>
      <c r="AS1127" s="2"/>
      <c r="AT1127" s="2"/>
      <c r="AU1127" s="2"/>
      <c r="AV1127" s="2"/>
      <c r="AW1127" s="2"/>
      <c r="AX1127" s="2"/>
      <c r="AY1127" s="2"/>
    </row>
    <row r="1128" spans="1:51" x14ac:dyDescent="0.25">
      <c r="A1128" s="24">
        <v>44130</v>
      </c>
      <c r="B1128" s="1">
        <v>44130</v>
      </c>
      <c r="C1128">
        <v>0.14000000000000001</v>
      </c>
      <c r="D1128">
        <v>0.19</v>
      </c>
      <c r="E1128">
        <v>0.25</v>
      </c>
      <c r="F1128">
        <v>0.38</v>
      </c>
      <c r="G1128">
        <v>0.9</v>
      </c>
      <c r="H1128">
        <v>1.35</v>
      </c>
      <c r="I1128">
        <v>2.75</v>
      </c>
      <c r="J1128">
        <v>3.41</v>
      </c>
      <c r="K1128">
        <v>3.93</v>
      </c>
      <c r="M1128" s="3"/>
      <c r="N1128" s="17"/>
      <c r="O1128" s="17"/>
      <c r="P1128" s="17"/>
      <c r="Q1128" s="17"/>
      <c r="R1128" s="17"/>
      <c r="S1128" s="17"/>
      <c r="T1128" s="17"/>
      <c r="U1128" s="17"/>
      <c r="V1128" s="17"/>
      <c r="AE1128" s="2"/>
      <c r="AQ1128" s="2"/>
      <c r="AR1128" s="2"/>
      <c r="AS1128" s="2"/>
      <c r="AT1128" s="2"/>
      <c r="AU1128" s="2"/>
      <c r="AV1128" s="2"/>
      <c r="AW1128" s="2"/>
      <c r="AX1128" s="2"/>
      <c r="AY1128" s="2"/>
    </row>
    <row r="1129" spans="1:51" x14ac:dyDescent="0.25">
      <c r="A1129" s="24">
        <v>44127</v>
      </c>
      <c r="B1129" s="1">
        <v>44127</v>
      </c>
      <c r="C1129">
        <v>0.14000000000000001</v>
      </c>
      <c r="D1129">
        <v>0.2</v>
      </c>
      <c r="E1129">
        <v>0.25</v>
      </c>
      <c r="F1129">
        <v>0.38</v>
      </c>
      <c r="G1129">
        <v>0.87</v>
      </c>
      <c r="H1129">
        <v>1.3</v>
      </c>
      <c r="I1129">
        <v>2.7</v>
      </c>
      <c r="J1129">
        <v>3.37</v>
      </c>
      <c r="K1129">
        <v>3.87</v>
      </c>
      <c r="M1129" s="3"/>
      <c r="N1129" s="17"/>
      <c r="O1129" s="17"/>
      <c r="P1129" s="17"/>
      <c r="Q1129" s="17"/>
      <c r="R1129" s="17"/>
      <c r="S1129" s="17"/>
      <c r="T1129" s="17"/>
      <c r="U1129" s="17"/>
      <c r="V1129" s="17"/>
      <c r="AE1129" s="2"/>
      <c r="AQ1129" s="2"/>
      <c r="AR1129" s="2"/>
      <c r="AS1129" s="2"/>
      <c r="AT1129" s="2"/>
      <c r="AU1129" s="2"/>
      <c r="AV1129" s="2"/>
      <c r="AW1129" s="2"/>
      <c r="AX1129" s="2"/>
      <c r="AY1129" s="2"/>
    </row>
    <row r="1130" spans="1:51" x14ac:dyDescent="0.25">
      <c r="A1130" s="24">
        <v>44126</v>
      </c>
      <c r="B1130" s="1">
        <v>44126</v>
      </c>
      <c r="C1130">
        <v>0.14000000000000001</v>
      </c>
      <c r="D1130">
        <v>0.19</v>
      </c>
      <c r="E1130">
        <v>0.26</v>
      </c>
      <c r="F1130">
        <v>0.41</v>
      </c>
      <c r="G1130">
        <v>1</v>
      </c>
      <c r="H1130">
        <v>1.38</v>
      </c>
      <c r="I1130">
        <v>2.84</v>
      </c>
      <c r="J1130">
        <v>3.45</v>
      </c>
      <c r="K1130">
        <v>3.93</v>
      </c>
      <c r="M1130" s="3"/>
      <c r="N1130" s="17"/>
      <c r="O1130" s="17"/>
      <c r="P1130" s="17"/>
      <c r="Q1130" s="17"/>
      <c r="R1130" s="17"/>
      <c r="S1130" s="17"/>
      <c r="T1130" s="17"/>
      <c r="U1130" s="17"/>
      <c r="V1130" s="17"/>
      <c r="AE1130" s="2"/>
      <c r="AQ1130" s="2"/>
      <c r="AR1130" s="2"/>
      <c r="AS1130" s="2"/>
      <c r="AT1130" s="2"/>
      <c r="AU1130" s="2"/>
      <c r="AV1130" s="2"/>
      <c r="AW1130" s="2"/>
      <c r="AX1130" s="2"/>
      <c r="AY1130" s="2"/>
    </row>
    <row r="1131" spans="1:51" x14ac:dyDescent="0.25">
      <c r="A1131" s="24">
        <v>44125</v>
      </c>
      <c r="B1131" s="1">
        <v>44125</v>
      </c>
      <c r="C1131">
        <v>0.15</v>
      </c>
      <c r="D1131">
        <v>0.2</v>
      </c>
      <c r="E1131">
        <v>0.27</v>
      </c>
      <c r="F1131">
        <v>0.41</v>
      </c>
      <c r="G1131">
        <v>0.92</v>
      </c>
      <c r="H1131">
        <v>1.33</v>
      </c>
      <c r="I1131">
        <v>2.72</v>
      </c>
      <c r="J1131">
        <v>3.38</v>
      </c>
      <c r="K1131">
        <v>3.94</v>
      </c>
      <c r="M1131" s="3"/>
      <c r="N1131" s="17"/>
      <c r="O1131" s="17"/>
      <c r="P1131" s="17"/>
      <c r="Q1131" s="17"/>
      <c r="R1131" s="17"/>
      <c r="S1131" s="17"/>
      <c r="T1131" s="17"/>
      <c r="U1131" s="17"/>
      <c r="V1131" s="17"/>
      <c r="AE1131" s="2"/>
      <c r="AQ1131" s="2"/>
      <c r="AR1131" s="2"/>
      <c r="AS1131" s="2"/>
      <c r="AT1131" s="2"/>
      <c r="AU1131" s="2"/>
      <c r="AV1131" s="2"/>
      <c r="AW1131" s="2"/>
      <c r="AX1131" s="2"/>
      <c r="AY1131" s="2"/>
    </row>
    <row r="1132" spans="1:51" x14ac:dyDescent="0.25">
      <c r="A1132" s="24">
        <v>44124</v>
      </c>
      <c r="B1132" s="1">
        <v>44124</v>
      </c>
      <c r="C1132">
        <v>0.14000000000000001</v>
      </c>
      <c r="D1132">
        <v>0.2</v>
      </c>
      <c r="E1132">
        <v>0.27</v>
      </c>
      <c r="F1132">
        <v>0.42</v>
      </c>
      <c r="G1132">
        <v>0.97</v>
      </c>
      <c r="H1132">
        <v>1.33</v>
      </c>
      <c r="I1132">
        <v>2.73</v>
      </c>
      <c r="J1132">
        <v>3.4</v>
      </c>
      <c r="K1132">
        <v>3.94</v>
      </c>
      <c r="M1132" s="3"/>
      <c r="N1132" s="17"/>
      <c r="O1132" s="17"/>
      <c r="P1132" s="17"/>
      <c r="Q1132" s="17"/>
      <c r="R1132" s="17"/>
      <c r="S1132" s="17"/>
      <c r="T1132" s="17"/>
      <c r="U1132" s="17"/>
      <c r="V1132" s="17"/>
      <c r="AE1132" s="2"/>
      <c r="AQ1132" s="2"/>
      <c r="AR1132" s="2"/>
      <c r="AS1132" s="2"/>
      <c r="AT1132" s="2"/>
      <c r="AU1132" s="2"/>
      <c r="AV1132" s="2"/>
      <c r="AW1132" s="2"/>
      <c r="AX1132" s="2"/>
      <c r="AY1132" s="2"/>
    </row>
    <row r="1133" spans="1:51" x14ac:dyDescent="0.25">
      <c r="A1133" s="24">
        <v>44123</v>
      </c>
      <c r="B1133" s="1">
        <v>44123</v>
      </c>
      <c r="C1133">
        <v>0.15</v>
      </c>
      <c r="D1133">
        <v>0.19</v>
      </c>
      <c r="E1133">
        <v>0.25</v>
      </c>
      <c r="F1133">
        <v>0.38</v>
      </c>
      <c r="G1133">
        <v>0.94</v>
      </c>
      <c r="H1133">
        <v>1.38</v>
      </c>
      <c r="I1133">
        <v>2.8</v>
      </c>
      <c r="J1133">
        <v>3.45</v>
      </c>
      <c r="K1133">
        <v>3.98</v>
      </c>
      <c r="M1133" s="3"/>
      <c r="N1133" s="17"/>
      <c r="O1133" s="17"/>
      <c r="P1133" s="17"/>
      <c r="Q1133" s="17"/>
      <c r="R1133" s="17"/>
      <c r="S1133" s="17"/>
      <c r="T1133" s="17"/>
      <c r="U1133" s="17"/>
      <c r="V1133" s="17"/>
      <c r="AE1133" s="2"/>
      <c r="AQ1133" s="2"/>
      <c r="AR1133" s="2"/>
      <c r="AS1133" s="2"/>
      <c r="AT1133" s="2"/>
      <c r="AU1133" s="2"/>
      <c r="AV1133" s="2"/>
      <c r="AW1133" s="2"/>
      <c r="AX1133" s="2"/>
      <c r="AY1133" s="2"/>
    </row>
    <row r="1134" spans="1:51" x14ac:dyDescent="0.25">
      <c r="A1134" s="24">
        <v>44120</v>
      </c>
      <c r="B1134" s="1">
        <v>44120</v>
      </c>
      <c r="C1134">
        <v>0.14000000000000001</v>
      </c>
      <c r="D1134">
        <v>0.18</v>
      </c>
      <c r="E1134">
        <v>0.24</v>
      </c>
      <c r="F1134">
        <v>0.37</v>
      </c>
      <c r="G1134">
        <v>0.84</v>
      </c>
      <c r="H1134">
        <v>1.26</v>
      </c>
      <c r="I1134">
        <v>2.64</v>
      </c>
      <c r="J1134">
        <v>3.3</v>
      </c>
      <c r="K1134">
        <v>3.83</v>
      </c>
      <c r="M1134" s="3"/>
      <c r="N1134" s="17"/>
      <c r="O1134" s="17"/>
      <c r="P1134" s="17"/>
      <c r="Q1134" s="17"/>
      <c r="R1134" s="17"/>
      <c r="S1134" s="17"/>
      <c r="T1134" s="17"/>
      <c r="U1134" s="17"/>
      <c r="V1134" s="17"/>
      <c r="AE1134" s="2"/>
      <c r="AQ1134" s="2"/>
      <c r="AR1134" s="2"/>
      <c r="AS1134" s="2"/>
      <c r="AT1134" s="2"/>
      <c r="AU1134" s="2"/>
      <c r="AV1134" s="2"/>
      <c r="AW1134" s="2"/>
      <c r="AX1134" s="2"/>
      <c r="AY1134" s="2"/>
    </row>
    <row r="1135" spans="1:51" x14ac:dyDescent="0.25">
      <c r="A1135" s="24">
        <v>44119</v>
      </c>
      <c r="B1135" s="1">
        <v>44119</v>
      </c>
      <c r="C1135">
        <v>0.15</v>
      </c>
      <c r="D1135">
        <v>0.2</v>
      </c>
      <c r="E1135">
        <v>0.26</v>
      </c>
      <c r="F1135">
        <v>0.43</v>
      </c>
      <c r="G1135">
        <v>0.91</v>
      </c>
      <c r="H1135">
        <v>1.36</v>
      </c>
      <c r="I1135">
        <v>2.75</v>
      </c>
      <c r="J1135">
        <v>3.41</v>
      </c>
      <c r="K1135">
        <v>3.95</v>
      </c>
      <c r="M1135" s="3"/>
      <c r="N1135" s="17"/>
      <c r="O1135" s="17"/>
      <c r="P1135" s="17"/>
      <c r="Q1135" s="17"/>
      <c r="R1135" s="17"/>
      <c r="S1135" s="17"/>
      <c r="T1135" s="17"/>
      <c r="U1135" s="17"/>
      <c r="V1135" s="17"/>
      <c r="AE1135" s="2"/>
      <c r="AQ1135" s="2"/>
      <c r="AR1135" s="2"/>
      <c r="AS1135" s="2"/>
      <c r="AT1135" s="2"/>
      <c r="AU1135" s="2"/>
      <c r="AV1135" s="2"/>
      <c r="AW1135" s="2"/>
      <c r="AX1135" s="2"/>
      <c r="AY1135" s="2"/>
    </row>
    <row r="1136" spans="1:51" x14ac:dyDescent="0.25">
      <c r="A1136" s="24">
        <v>44118</v>
      </c>
      <c r="B1136" s="1">
        <v>44118</v>
      </c>
      <c r="C1136">
        <v>0.15</v>
      </c>
      <c r="D1136">
        <v>0.2</v>
      </c>
      <c r="E1136">
        <v>0.26</v>
      </c>
      <c r="F1136">
        <v>0.4</v>
      </c>
      <c r="G1136">
        <v>0.88</v>
      </c>
      <c r="H1136">
        <v>1.32</v>
      </c>
      <c r="I1136">
        <v>2.65</v>
      </c>
      <c r="J1136">
        <v>3.36</v>
      </c>
      <c r="K1136">
        <v>3.93</v>
      </c>
      <c r="M1136" s="3"/>
      <c r="N1136" s="17"/>
      <c r="O1136" s="17"/>
      <c r="P1136" s="17"/>
      <c r="Q1136" s="17"/>
      <c r="R1136" s="17"/>
      <c r="S1136" s="17"/>
      <c r="T1136" s="17"/>
      <c r="U1136" s="17"/>
      <c r="V1136" s="17"/>
      <c r="AE1136" s="2"/>
      <c r="AQ1136" s="2"/>
      <c r="AR1136" s="2"/>
      <c r="AS1136" s="2"/>
      <c r="AT1136" s="2"/>
      <c r="AU1136" s="2"/>
      <c r="AV1136" s="2"/>
      <c r="AW1136" s="2"/>
      <c r="AX1136" s="2"/>
      <c r="AY1136" s="2"/>
    </row>
    <row r="1137" spans="1:51" x14ac:dyDescent="0.25">
      <c r="A1137" s="24">
        <v>44117</v>
      </c>
      <c r="B1137" s="1">
        <v>44117</v>
      </c>
      <c r="C1137">
        <v>0.15</v>
      </c>
      <c r="D1137">
        <v>0.2</v>
      </c>
      <c r="E1137">
        <v>0.26</v>
      </c>
      <c r="F1137">
        <v>0.43</v>
      </c>
      <c r="G1137">
        <v>0.94</v>
      </c>
      <c r="H1137">
        <v>1.36</v>
      </c>
      <c r="I1137">
        <v>2.75</v>
      </c>
      <c r="J1137">
        <v>3.4</v>
      </c>
      <c r="K1137">
        <v>3.93</v>
      </c>
      <c r="M1137" s="3"/>
      <c r="N1137" s="17"/>
      <c r="O1137" s="17"/>
      <c r="P1137" s="17"/>
      <c r="Q1137" s="17"/>
      <c r="R1137" s="17"/>
      <c r="S1137" s="17"/>
      <c r="T1137" s="17"/>
      <c r="U1137" s="17"/>
      <c r="V1137" s="17"/>
      <c r="AE1137" s="2"/>
      <c r="AQ1137" s="2"/>
      <c r="AR1137" s="2"/>
      <c r="AS1137" s="2"/>
      <c r="AT1137" s="2"/>
      <c r="AU1137" s="2"/>
      <c r="AV1137" s="2"/>
      <c r="AW1137" s="2"/>
      <c r="AX1137" s="2"/>
      <c r="AY1137" s="2"/>
    </row>
    <row r="1138" spans="1:51" x14ac:dyDescent="0.25">
      <c r="A1138" s="24">
        <v>44116</v>
      </c>
      <c r="B1138" s="1">
        <v>44116</v>
      </c>
      <c r="C1138">
        <v>0.15</v>
      </c>
      <c r="D1138">
        <v>0.21</v>
      </c>
      <c r="E1138">
        <v>0.28000000000000003</v>
      </c>
      <c r="F1138">
        <v>0.43</v>
      </c>
      <c r="G1138">
        <v>0.97</v>
      </c>
      <c r="H1138">
        <v>1.33</v>
      </c>
      <c r="I1138">
        <v>2.71</v>
      </c>
      <c r="J1138">
        <v>3.36</v>
      </c>
      <c r="K1138">
        <v>3.82</v>
      </c>
      <c r="M1138" s="3"/>
      <c r="N1138" s="17"/>
      <c r="O1138" s="17"/>
      <c r="P1138" s="17"/>
      <c r="Q1138" s="17"/>
      <c r="R1138" s="17"/>
      <c r="S1138" s="17"/>
      <c r="T1138" s="17"/>
      <c r="U1138" s="17"/>
      <c r="V1138" s="17"/>
      <c r="AE1138" s="2"/>
      <c r="AQ1138" s="2"/>
      <c r="AR1138" s="2"/>
      <c r="AS1138" s="2"/>
      <c r="AT1138" s="2"/>
      <c r="AU1138" s="2"/>
      <c r="AV1138" s="2"/>
      <c r="AW1138" s="2"/>
      <c r="AX1138" s="2"/>
      <c r="AY1138" s="2"/>
    </row>
    <row r="1139" spans="1:51" x14ac:dyDescent="0.25">
      <c r="A1139" s="24">
        <v>44113</v>
      </c>
      <c r="B1139" s="1">
        <v>44113</v>
      </c>
      <c r="C1139">
        <v>0.14000000000000001</v>
      </c>
      <c r="D1139">
        <v>0.19</v>
      </c>
      <c r="E1139">
        <v>0.26</v>
      </c>
      <c r="F1139">
        <v>0.41</v>
      </c>
      <c r="G1139">
        <v>0.91</v>
      </c>
      <c r="H1139">
        <v>1.33</v>
      </c>
      <c r="I1139">
        <v>2.71</v>
      </c>
      <c r="J1139">
        <v>3.37</v>
      </c>
      <c r="K1139">
        <v>3.87</v>
      </c>
      <c r="M1139" s="3"/>
      <c r="N1139" s="17"/>
      <c r="O1139" s="17"/>
      <c r="P1139" s="17"/>
      <c r="Q1139" s="17"/>
      <c r="R1139" s="17"/>
      <c r="S1139" s="17"/>
      <c r="T1139" s="17"/>
      <c r="U1139" s="17"/>
      <c r="V1139" s="17"/>
      <c r="AE1139" s="2"/>
      <c r="AQ1139" s="2"/>
      <c r="AR1139" s="2"/>
      <c r="AS1139" s="2"/>
      <c r="AT1139" s="2"/>
      <c r="AU1139" s="2"/>
      <c r="AV1139" s="2"/>
      <c r="AW1139" s="2"/>
      <c r="AX1139" s="2"/>
      <c r="AY1139" s="2"/>
    </row>
    <row r="1140" spans="1:51" x14ac:dyDescent="0.25">
      <c r="A1140" s="24">
        <v>44112</v>
      </c>
      <c r="B1140" s="1">
        <v>44112</v>
      </c>
      <c r="C1140">
        <v>0.14000000000000001</v>
      </c>
      <c r="D1140">
        <v>0.19</v>
      </c>
      <c r="E1140">
        <v>0.26</v>
      </c>
      <c r="F1140">
        <v>0.42</v>
      </c>
      <c r="G1140">
        <v>0.96</v>
      </c>
      <c r="H1140">
        <v>1.32</v>
      </c>
      <c r="I1140">
        <v>2.7</v>
      </c>
      <c r="J1140">
        <v>3.38</v>
      </c>
      <c r="K1140">
        <v>3.93</v>
      </c>
      <c r="M1140" s="3"/>
      <c r="N1140" s="17"/>
      <c r="O1140" s="17"/>
      <c r="P1140" s="17"/>
      <c r="Q1140" s="17"/>
      <c r="R1140" s="17"/>
      <c r="S1140" s="17"/>
      <c r="T1140" s="17"/>
      <c r="U1140" s="17"/>
      <c r="V1140" s="17"/>
      <c r="AE1140" s="2"/>
      <c r="AQ1140" s="2"/>
      <c r="AR1140" s="2"/>
      <c r="AS1140" s="2"/>
      <c r="AT1140" s="2"/>
      <c r="AU1140" s="2"/>
      <c r="AV1140" s="2"/>
      <c r="AW1140" s="2"/>
      <c r="AX1140" s="2"/>
      <c r="AY1140" s="2"/>
    </row>
    <row r="1141" spans="1:51" x14ac:dyDescent="0.25">
      <c r="A1141" s="24">
        <v>44111</v>
      </c>
      <c r="B1141" s="1">
        <v>44111</v>
      </c>
      <c r="C1141">
        <v>0.15</v>
      </c>
      <c r="D1141">
        <v>0.21</v>
      </c>
      <c r="E1141">
        <v>0.27</v>
      </c>
      <c r="F1141">
        <v>0.43</v>
      </c>
      <c r="G1141">
        <v>0.88</v>
      </c>
      <c r="H1141">
        <v>1.32</v>
      </c>
      <c r="I1141">
        <v>2.71</v>
      </c>
      <c r="J1141">
        <v>3.39</v>
      </c>
      <c r="K1141">
        <v>3.87</v>
      </c>
      <c r="M1141" s="3"/>
      <c r="N1141" s="17"/>
      <c r="O1141" s="17"/>
      <c r="P1141" s="17"/>
      <c r="Q1141" s="17"/>
      <c r="R1141" s="17"/>
      <c r="S1141" s="17"/>
      <c r="T1141" s="17"/>
      <c r="U1141" s="17"/>
      <c r="V1141" s="17"/>
      <c r="AE1141" s="2"/>
      <c r="AQ1141" s="2"/>
      <c r="AR1141" s="2"/>
      <c r="AS1141" s="2"/>
      <c r="AT1141" s="2"/>
      <c r="AU1141" s="2"/>
      <c r="AV1141" s="2"/>
      <c r="AW1141" s="2"/>
      <c r="AX1141" s="2"/>
      <c r="AY1141" s="2"/>
    </row>
    <row r="1142" spans="1:51" x14ac:dyDescent="0.25">
      <c r="A1142" s="24">
        <v>44110</v>
      </c>
      <c r="B1142" s="1">
        <v>44110</v>
      </c>
      <c r="C1142">
        <v>0.14000000000000001</v>
      </c>
      <c r="D1142">
        <v>0.21</v>
      </c>
      <c r="E1142">
        <v>0.26</v>
      </c>
      <c r="F1142">
        <v>0.42</v>
      </c>
      <c r="G1142">
        <v>0.85</v>
      </c>
      <c r="H1142">
        <v>1.3</v>
      </c>
      <c r="I1142">
        <v>2.67</v>
      </c>
      <c r="J1142">
        <v>3.34</v>
      </c>
      <c r="K1142">
        <v>3.84</v>
      </c>
      <c r="M1142" s="3"/>
      <c r="N1142" s="17"/>
      <c r="O1142" s="17"/>
      <c r="P1142" s="17"/>
      <c r="Q1142" s="17"/>
      <c r="R1142" s="17"/>
      <c r="S1142" s="17"/>
      <c r="T1142" s="17"/>
      <c r="U1142" s="17"/>
      <c r="V1142" s="17"/>
      <c r="AE1142" s="2"/>
      <c r="AQ1142" s="2"/>
      <c r="AR1142" s="2"/>
      <c r="AS1142" s="2"/>
      <c r="AT1142" s="2"/>
      <c r="AU1142" s="2"/>
      <c r="AV1142" s="2"/>
      <c r="AW1142" s="2"/>
      <c r="AX1142" s="2"/>
      <c r="AY1142" s="2"/>
    </row>
    <row r="1143" spans="1:51" x14ac:dyDescent="0.25">
      <c r="A1143" s="24">
        <v>44109</v>
      </c>
      <c r="B1143" s="1">
        <v>44109</v>
      </c>
      <c r="C1143">
        <v>0.16</v>
      </c>
      <c r="D1143">
        <v>0.22</v>
      </c>
      <c r="E1143">
        <v>0.27</v>
      </c>
      <c r="F1143">
        <v>0.43</v>
      </c>
      <c r="G1143">
        <v>0.86</v>
      </c>
      <c r="H1143">
        <v>1.32</v>
      </c>
      <c r="I1143">
        <v>2.71</v>
      </c>
      <c r="J1143">
        <v>3.4</v>
      </c>
      <c r="K1143">
        <v>3.94</v>
      </c>
      <c r="M1143" s="3"/>
      <c r="N1143" s="17"/>
      <c r="O1143" s="17"/>
      <c r="P1143" s="17"/>
      <c r="Q1143" s="17"/>
      <c r="R1143" s="17"/>
      <c r="S1143" s="17"/>
      <c r="T1143" s="17"/>
      <c r="U1143" s="17"/>
      <c r="V1143" s="17"/>
      <c r="AE1143" s="2"/>
      <c r="AQ1143" s="2"/>
      <c r="AR1143" s="2"/>
      <c r="AS1143" s="2"/>
      <c r="AT1143" s="2"/>
      <c r="AU1143" s="2"/>
      <c r="AV1143" s="2"/>
      <c r="AW1143" s="2"/>
      <c r="AX1143" s="2"/>
      <c r="AY1143" s="2"/>
    </row>
    <row r="1144" spans="1:51" x14ac:dyDescent="0.25">
      <c r="A1144" s="24">
        <v>44106</v>
      </c>
      <c r="B1144" s="1">
        <v>44106</v>
      </c>
      <c r="C1144">
        <v>0.15</v>
      </c>
      <c r="D1144">
        <v>0.21</v>
      </c>
      <c r="E1144">
        <v>0.26</v>
      </c>
      <c r="F1144">
        <v>0.41</v>
      </c>
      <c r="G1144">
        <v>0.83</v>
      </c>
      <c r="H1144">
        <v>1.3</v>
      </c>
      <c r="I1144">
        <v>2.66</v>
      </c>
      <c r="J1144">
        <v>3.37</v>
      </c>
      <c r="K1144">
        <v>3.87</v>
      </c>
      <c r="M1144" s="3"/>
      <c r="N1144" s="17"/>
      <c r="O1144" s="17"/>
      <c r="P1144" s="17"/>
      <c r="Q1144" s="17"/>
      <c r="R1144" s="17"/>
      <c r="S1144" s="17"/>
      <c r="T1144" s="17"/>
      <c r="U1144" s="17"/>
      <c r="V1144" s="17"/>
      <c r="AE1144" s="2"/>
      <c r="AQ1144" s="2"/>
      <c r="AR1144" s="2"/>
      <c r="AS1144" s="2"/>
      <c r="AT1144" s="2"/>
      <c r="AU1144" s="2"/>
      <c r="AV1144" s="2"/>
      <c r="AW1144" s="2"/>
      <c r="AX1144" s="2"/>
      <c r="AY1144" s="2"/>
    </row>
    <row r="1145" spans="1:51" x14ac:dyDescent="0.25">
      <c r="A1145" s="24">
        <v>44105</v>
      </c>
      <c r="B1145" s="1">
        <v>44105</v>
      </c>
      <c r="C1145">
        <v>0.15</v>
      </c>
      <c r="D1145">
        <v>0.2</v>
      </c>
      <c r="E1145">
        <v>0.25</v>
      </c>
      <c r="F1145">
        <v>0.4</v>
      </c>
      <c r="G1145">
        <v>0.82</v>
      </c>
      <c r="H1145">
        <v>1.26</v>
      </c>
      <c r="I1145">
        <v>2.76</v>
      </c>
      <c r="J1145">
        <v>3.45</v>
      </c>
      <c r="K1145">
        <v>3.98</v>
      </c>
      <c r="M1145" s="3"/>
      <c r="N1145" s="17"/>
      <c r="O1145" s="17"/>
      <c r="P1145" s="17"/>
      <c r="Q1145" s="17"/>
      <c r="R1145" s="17"/>
      <c r="S1145" s="17"/>
      <c r="T1145" s="17"/>
      <c r="U1145" s="17"/>
      <c r="V1145" s="17"/>
      <c r="AE1145" s="2"/>
      <c r="AQ1145" s="2"/>
      <c r="AR1145" s="2"/>
      <c r="AS1145" s="2"/>
      <c r="AT1145" s="2"/>
      <c r="AU1145" s="2"/>
      <c r="AV1145" s="2"/>
      <c r="AW1145" s="2"/>
      <c r="AX1145" s="2"/>
      <c r="AY1145" s="2"/>
    </row>
    <row r="1146" spans="1:51" x14ac:dyDescent="0.25">
      <c r="A1146" s="24">
        <v>44104</v>
      </c>
      <c r="B1146" s="1">
        <v>44104</v>
      </c>
      <c r="C1146">
        <v>0.16</v>
      </c>
      <c r="D1146">
        <v>0.21</v>
      </c>
      <c r="E1146">
        <v>0.27</v>
      </c>
      <c r="F1146">
        <v>0.43</v>
      </c>
      <c r="G1146">
        <v>0.78</v>
      </c>
      <c r="H1146">
        <v>1.22</v>
      </c>
      <c r="I1146">
        <v>2.66</v>
      </c>
      <c r="J1146">
        <v>3.32</v>
      </c>
      <c r="K1146">
        <v>3.84</v>
      </c>
      <c r="M1146" s="3"/>
      <c r="N1146" s="17"/>
      <c r="O1146" s="17"/>
      <c r="P1146" s="17"/>
      <c r="Q1146" s="17"/>
      <c r="R1146" s="17"/>
      <c r="S1146" s="17"/>
      <c r="T1146" s="17"/>
      <c r="U1146" s="17"/>
      <c r="V1146" s="17"/>
      <c r="AE1146" s="2"/>
      <c r="AQ1146" s="2"/>
      <c r="AR1146" s="2"/>
      <c r="AS1146" s="2"/>
      <c r="AT1146" s="2"/>
      <c r="AU1146" s="2"/>
      <c r="AV1146" s="2"/>
      <c r="AW1146" s="2"/>
      <c r="AX1146" s="2"/>
      <c r="AY1146" s="2"/>
    </row>
    <row r="1147" spans="1:51" x14ac:dyDescent="0.25">
      <c r="A1147" s="24">
        <v>44103</v>
      </c>
      <c r="B1147" s="1">
        <v>44103</v>
      </c>
      <c r="C1147">
        <v>0.16</v>
      </c>
      <c r="D1147">
        <v>0.21</v>
      </c>
      <c r="E1147">
        <v>0.27</v>
      </c>
      <c r="F1147">
        <v>0.44</v>
      </c>
      <c r="G1147">
        <v>0.81</v>
      </c>
      <c r="H1147">
        <v>1.27</v>
      </c>
      <c r="I1147">
        <v>2.75</v>
      </c>
      <c r="J1147">
        <v>3.4</v>
      </c>
      <c r="K1147">
        <v>3.95</v>
      </c>
      <c r="M1147" s="3"/>
      <c r="N1147" s="17"/>
      <c r="O1147" s="17"/>
      <c r="P1147" s="17"/>
      <c r="Q1147" s="17"/>
      <c r="R1147" s="17"/>
      <c r="S1147" s="17"/>
      <c r="T1147" s="17"/>
      <c r="U1147" s="17"/>
      <c r="V1147" s="17"/>
      <c r="AE1147" s="2"/>
      <c r="AQ1147" s="2"/>
      <c r="AR1147" s="2"/>
      <c r="AS1147" s="2"/>
      <c r="AT1147" s="2"/>
      <c r="AU1147" s="2"/>
      <c r="AV1147" s="2"/>
      <c r="AW1147" s="2"/>
      <c r="AX1147" s="2"/>
      <c r="AY1147" s="2"/>
    </row>
    <row r="1148" spans="1:51" x14ac:dyDescent="0.25">
      <c r="A1148" s="24">
        <v>44102</v>
      </c>
      <c r="B1148" s="1">
        <v>44102</v>
      </c>
      <c r="C1148">
        <v>0.14000000000000001</v>
      </c>
      <c r="D1148">
        <v>0.19</v>
      </c>
      <c r="E1148">
        <v>0.25</v>
      </c>
      <c r="F1148">
        <v>0.42</v>
      </c>
      <c r="G1148">
        <v>0.8</v>
      </c>
      <c r="H1148">
        <v>1.3</v>
      </c>
      <c r="I1148">
        <v>2.7</v>
      </c>
      <c r="J1148">
        <v>3.38</v>
      </c>
      <c r="K1148">
        <v>3.93</v>
      </c>
      <c r="M1148" s="3"/>
      <c r="N1148" s="17"/>
      <c r="O1148" s="17"/>
      <c r="P1148" s="17"/>
      <c r="Q1148" s="17"/>
      <c r="R1148" s="17"/>
      <c r="S1148" s="17"/>
      <c r="T1148" s="17"/>
      <c r="U1148" s="17"/>
      <c r="V1148" s="17"/>
      <c r="AE1148" s="2"/>
      <c r="AQ1148" s="2"/>
      <c r="AR1148" s="2"/>
      <c r="AS1148" s="2"/>
      <c r="AT1148" s="2"/>
      <c r="AU1148" s="2"/>
      <c r="AV1148" s="2"/>
      <c r="AW1148" s="2"/>
      <c r="AX1148" s="2"/>
      <c r="AY1148" s="2"/>
    </row>
    <row r="1149" spans="1:51" x14ac:dyDescent="0.25">
      <c r="A1149" s="24">
        <v>44099</v>
      </c>
      <c r="B1149" s="1">
        <v>44099</v>
      </c>
      <c r="C1149">
        <v>0.15</v>
      </c>
      <c r="D1149">
        <v>0.18</v>
      </c>
      <c r="E1149">
        <v>0.25</v>
      </c>
      <c r="F1149">
        <v>0.42</v>
      </c>
      <c r="G1149">
        <v>0.84</v>
      </c>
      <c r="H1149">
        <v>1.32</v>
      </c>
      <c r="I1149">
        <v>2.7</v>
      </c>
      <c r="J1149">
        <v>3.38</v>
      </c>
      <c r="K1149">
        <v>3.93</v>
      </c>
      <c r="M1149" s="3"/>
      <c r="N1149" s="17"/>
      <c r="O1149" s="17"/>
      <c r="P1149" s="17"/>
      <c r="Q1149" s="17"/>
      <c r="R1149" s="17"/>
      <c r="S1149" s="17"/>
      <c r="T1149" s="17"/>
      <c r="U1149" s="17"/>
      <c r="V1149" s="17"/>
      <c r="AE1149" s="2"/>
      <c r="AQ1149" s="2"/>
      <c r="AR1149" s="2"/>
      <c r="AS1149" s="2"/>
      <c r="AT1149" s="2"/>
      <c r="AU1149" s="2"/>
      <c r="AV1149" s="2"/>
      <c r="AW1149" s="2"/>
      <c r="AX1149" s="2"/>
      <c r="AY1149" s="2"/>
    </row>
    <row r="1150" spans="1:51" x14ac:dyDescent="0.25">
      <c r="A1150" s="24">
        <v>44098</v>
      </c>
      <c r="B1150" s="1">
        <v>44098</v>
      </c>
      <c r="C1150">
        <v>0.15</v>
      </c>
      <c r="D1150">
        <v>0.18</v>
      </c>
      <c r="E1150">
        <v>0.26</v>
      </c>
      <c r="F1150">
        <v>0.43</v>
      </c>
      <c r="G1150">
        <v>0.88</v>
      </c>
      <c r="H1150">
        <v>1.34</v>
      </c>
      <c r="I1150">
        <v>2.73</v>
      </c>
      <c r="J1150">
        <v>3.39</v>
      </c>
      <c r="K1150">
        <v>3.89</v>
      </c>
      <c r="M1150" s="3"/>
      <c r="N1150" s="17"/>
      <c r="O1150" s="17"/>
      <c r="P1150" s="17"/>
      <c r="Q1150" s="17"/>
      <c r="R1150" s="17"/>
      <c r="S1150" s="17"/>
      <c r="T1150" s="17"/>
      <c r="U1150" s="17"/>
      <c r="V1150" s="17"/>
      <c r="AE1150" s="2"/>
      <c r="AQ1150" s="2"/>
      <c r="AR1150" s="2"/>
      <c r="AS1150" s="2"/>
      <c r="AT1150" s="2"/>
      <c r="AU1150" s="2"/>
      <c r="AV1150" s="2"/>
      <c r="AW1150" s="2"/>
      <c r="AX1150" s="2"/>
      <c r="AY1150" s="2"/>
    </row>
    <row r="1151" spans="1:51" x14ac:dyDescent="0.25">
      <c r="A1151" s="24">
        <v>44097</v>
      </c>
      <c r="B1151" s="1">
        <v>44097</v>
      </c>
      <c r="C1151">
        <v>0.15</v>
      </c>
      <c r="D1151">
        <v>0.18</v>
      </c>
      <c r="E1151">
        <v>0.25</v>
      </c>
      <c r="F1151">
        <v>0.42</v>
      </c>
      <c r="G1151">
        <v>0.84</v>
      </c>
      <c r="H1151">
        <v>1.32</v>
      </c>
      <c r="I1151">
        <v>2.8</v>
      </c>
      <c r="J1151">
        <v>3.43</v>
      </c>
      <c r="K1151">
        <v>3.93</v>
      </c>
      <c r="M1151" s="3"/>
      <c r="N1151" s="17"/>
      <c r="O1151" s="17"/>
      <c r="P1151" s="17"/>
      <c r="Q1151" s="17"/>
      <c r="R1151" s="17"/>
      <c r="S1151" s="17"/>
      <c r="T1151" s="17"/>
      <c r="U1151" s="17"/>
      <c r="V1151" s="17"/>
      <c r="AE1151" s="2"/>
      <c r="AQ1151" s="2"/>
      <c r="AR1151" s="2"/>
      <c r="AS1151" s="2"/>
      <c r="AT1151" s="2"/>
      <c r="AU1151" s="2"/>
      <c r="AV1151" s="2"/>
      <c r="AW1151" s="2"/>
      <c r="AX1151" s="2"/>
      <c r="AY1151" s="2"/>
    </row>
    <row r="1152" spans="1:51" x14ac:dyDescent="0.25">
      <c r="A1152" s="24">
        <v>44096</v>
      </c>
      <c r="B1152" s="1">
        <v>44096</v>
      </c>
      <c r="C1152">
        <v>0.16</v>
      </c>
      <c r="D1152">
        <v>0.2</v>
      </c>
      <c r="E1152">
        <v>0.28000000000000003</v>
      </c>
      <c r="F1152">
        <v>0.47</v>
      </c>
      <c r="G1152">
        <v>1</v>
      </c>
      <c r="H1152">
        <v>1.39</v>
      </c>
      <c r="I1152">
        <v>2.83</v>
      </c>
      <c r="J1152">
        <v>3.51</v>
      </c>
      <c r="K1152">
        <v>3.98</v>
      </c>
      <c r="M1152" s="3"/>
      <c r="N1152" s="17"/>
      <c r="O1152" s="17"/>
      <c r="P1152" s="17"/>
      <c r="Q1152" s="17"/>
      <c r="R1152" s="17"/>
      <c r="S1152" s="17"/>
      <c r="T1152" s="17"/>
      <c r="U1152" s="17"/>
      <c r="V1152" s="17"/>
      <c r="AE1152" s="2"/>
      <c r="AQ1152" s="2"/>
      <c r="AR1152" s="2"/>
      <c r="AS1152" s="2"/>
      <c r="AT1152" s="2"/>
      <c r="AU1152" s="2"/>
      <c r="AV1152" s="2"/>
      <c r="AW1152" s="2"/>
      <c r="AX1152" s="2"/>
      <c r="AY1152" s="2"/>
    </row>
    <row r="1153" spans="1:51" x14ac:dyDescent="0.25">
      <c r="A1153" s="24">
        <v>44095</v>
      </c>
      <c r="B1153" s="1">
        <v>44095</v>
      </c>
      <c r="C1153">
        <v>0.15</v>
      </c>
      <c r="D1153">
        <v>0.19</v>
      </c>
      <c r="E1153">
        <v>0.27</v>
      </c>
      <c r="F1153">
        <v>0.46</v>
      </c>
      <c r="G1153">
        <v>0.97</v>
      </c>
      <c r="H1153">
        <v>1.42</v>
      </c>
      <c r="I1153">
        <v>2.82</v>
      </c>
      <c r="J1153">
        <v>3.48</v>
      </c>
      <c r="K1153">
        <v>4</v>
      </c>
      <c r="M1153" s="3"/>
      <c r="N1153" s="17"/>
      <c r="O1153" s="17"/>
      <c r="P1153" s="17"/>
      <c r="Q1153" s="17"/>
      <c r="R1153" s="17"/>
      <c r="S1153" s="17"/>
      <c r="T1153" s="17"/>
      <c r="U1153" s="17"/>
      <c r="V1153" s="17"/>
      <c r="AE1153" s="2"/>
      <c r="AQ1153" s="2"/>
      <c r="AR1153" s="2"/>
      <c r="AS1153" s="2"/>
      <c r="AT1153" s="2"/>
      <c r="AU1153" s="2"/>
      <c r="AV1153" s="2"/>
      <c r="AW1153" s="2"/>
      <c r="AX1153" s="2"/>
      <c r="AY1153" s="2"/>
    </row>
    <row r="1154" spans="1:51" x14ac:dyDescent="0.25">
      <c r="A1154" s="24">
        <v>44092</v>
      </c>
      <c r="B1154" s="1">
        <v>44092</v>
      </c>
      <c r="C1154">
        <v>0.16</v>
      </c>
      <c r="D1154">
        <v>0.2</v>
      </c>
      <c r="E1154">
        <v>0.28000000000000003</v>
      </c>
      <c r="F1154">
        <v>0.47</v>
      </c>
      <c r="G1154">
        <v>1.03</v>
      </c>
      <c r="H1154">
        <v>1.48</v>
      </c>
      <c r="I1154">
        <v>2.85</v>
      </c>
      <c r="J1154">
        <v>3.49</v>
      </c>
      <c r="K1154">
        <v>4</v>
      </c>
      <c r="M1154" s="3"/>
      <c r="N1154" s="17"/>
      <c r="O1154" s="17"/>
      <c r="P1154" s="17"/>
      <c r="Q1154" s="17"/>
      <c r="R1154" s="17"/>
      <c r="S1154" s="17"/>
      <c r="T1154" s="17"/>
      <c r="U1154" s="17"/>
      <c r="V1154" s="17"/>
      <c r="AE1154" s="2"/>
      <c r="AQ1154" s="2"/>
      <c r="AR1154" s="2"/>
      <c r="AS1154" s="2"/>
      <c r="AT1154" s="2"/>
      <c r="AU1154" s="2"/>
      <c r="AV1154" s="2"/>
      <c r="AW1154" s="2"/>
      <c r="AX1154" s="2"/>
      <c r="AY1154" s="2"/>
    </row>
    <row r="1155" spans="1:51" x14ac:dyDescent="0.25">
      <c r="A1155" s="24">
        <v>44091</v>
      </c>
      <c r="B1155" s="1">
        <v>44091</v>
      </c>
      <c r="C1155">
        <v>0.16</v>
      </c>
      <c r="D1155">
        <v>0.21</v>
      </c>
      <c r="E1155">
        <v>0.27</v>
      </c>
      <c r="F1155">
        <v>0.45</v>
      </c>
      <c r="G1155">
        <v>1.03</v>
      </c>
      <c r="H1155">
        <v>1.49</v>
      </c>
      <c r="I1155">
        <v>2.84</v>
      </c>
      <c r="J1155">
        <v>3.47</v>
      </c>
      <c r="K1155">
        <v>3.98</v>
      </c>
      <c r="M1155" s="3"/>
      <c r="N1155" s="17"/>
      <c r="O1155" s="17"/>
      <c r="P1155" s="17"/>
      <c r="Q1155" s="17"/>
      <c r="R1155" s="17"/>
      <c r="S1155" s="17"/>
      <c r="T1155" s="17"/>
      <c r="U1155" s="17"/>
      <c r="V1155" s="17"/>
      <c r="AE1155" s="2"/>
      <c r="AQ1155" s="2"/>
      <c r="AR1155" s="2"/>
      <c r="AS1155" s="2"/>
      <c r="AT1155" s="2"/>
      <c r="AU1155" s="2"/>
      <c r="AV1155" s="2"/>
      <c r="AW1155" s="2"/>
      <c r="AX1155" s="2"/>
      <c r="AY1155" s="2"/>
    </row>
    <row r="1156" spans="1:51" x14ac:dyDescent="0.25">
      <c r="A1156" s="24">
        <v>44090</v>
      </c>
      <c r="B1156" s="1">
        <v>44090</v>
      </c>
      <c r="C1156">
        <v>0.17</v>
      </c>
      <c r="D1156">
        <v>0.24</v>
      </c>
      <c r="E1156">
        <v>0.28999999999999998</v>
      </c>
      <c r="F1156">
        <v>0.45</v>
      </c>
      <c r="G1156">
        <v>1</v>
      </c>
      <c r="H1156">
        <v>1.46</v>
      </c>
      <c r="I1156">
        <v>2.81</v>
      </c>
      <c r="J1156">
        <v>3.45</v>
      </c>
      <c r="K1156">
        <v>3.97</v>
      </c>
      <c r="M1156" s="3"/>
      <c r="N1156" s="17"/>
      <c r="O1156" s="17"/>
      <c r="P1156" s="17"/>
      <c r="Q1156" s="17"/>
      <c r="R1156" s="17"/>
      <c r="S1156" s="17"/>
      <c r="T1156" s="17"/>
      <c r="U1156" s="17"/>
      <c r="V1156" s="17"/>
      <c r="AE1156" s="2"/>
      <c r="AQ1156" s="2"/>
      <c r="AR1156" s="2"/>
      <c r="AS1156" s="2"/>
      <c r="AT1156" s="2"/>
      <c r="AU1156" s="2"/>
      <c r="AV1156" s="2"/>
      <c r="AW1156" s="2"/>
      <c r="AX1156" s="2"/>
      <c r="AY1156" s="2"/>
    </row>
    <row r="1157" spans="1:51" x14ac:dyDescent="0.25">
      <c r="A1157" s="24">
        <v>44089</v>
      </c>
      <c r="B1157" s="1">
        <v>44089</v>
      </c>
      <c r="C1157">
        <v>0.17</v>
      </c>
      <c r="D1157">
        <v>0.22</v>
      </c>
      <c r="E1157">
        <v>0.28999999999999998</v>
      </c>
      <c r="F1157">
        <v>0.47</v>
      </c>
      <c r="G1157">
        <v>1.07</v>
      </c>
      <c r="H1157">
        <v>1.48</v>
      </c>
      <c r="I1157">
        <v>2.87</v>
      </c>
      <c r="J1157">
        <v>3.5</v>
      </c>
      <c r="K1157">
        <v>4.0199999999999996</v>
      </c>
      <c r="M1157" s="3"/>
      <c r="N1157" s="17"/>
      <c r="O1157" s="17"/>
      <c r="P1157" s="17"/>
      <c r="Q1157" s="17"/>
      <c r="R1157" s="17"/>
      <c r="S1157" s="17"/>
      <c r="T1157" s="17"/>
      <c r="U1157" s="17"/>
      <c r="V1157" s="17"/>
      <c r="AE1157" s="2"/>
      <c r="AQ1157" s="2"/>
      <c r="AR1157" s="2"/>
      <c r="AS1157" s="2"/>
      <c r="AT1157" s="2"/>
      <c r="AU1157" s="2"/>
      <c r="AV1157" s="2"/>
      <c r="AW1157" s="2"/>
      <c r="AX1157" s="2"/>
      <c r="AY1157" s="2"/>
    </row>
    <row r="1158" spans="1:51" x14ac:dyDescent="0.25">
      <c r="A1158" s="24">
        <v>44088</v>
      </c>
      <c r="B1158" s="1">
        <v>44088</v>
      </c>
      <c r="C1158">
        <v>0.15</v>
      </c>
      <c r="D1158">
        <v>0.21</v>
      </c>
      <c r="E1158">
        <v>0.28999999999999998</v>
      </c>
      <c r="F1158">
        <v>0.47</v>
      </c>
      <c r="G1158">
        <v>1.04</v>
      </c>
      <c r="H1158">
        <v>1.48</v>
      </c>
      <c r="I1158">
        <v>2.84</v>
      </c>
      <c r="J1158">
        <v>3.45</v>
      </c>
      <c r="K1158">
        <v>3.98</v>
      </c>
      <c r="M1158" s="3"/>
      <c r="N1158" s="17"/>
      <c r="O1158" s="17"/>
      <c r="P1158" s="17"/>
      <c r="Q1158" s="17"/>
      <c r="R1158" s="17"/>
      <c r="S1158" s="17"/>
      <c r="T1158" s="17"/>
      <c r="U1158" s="17"/>
      <c r="V1158" s="17"/>
      <c r="AE1158" s="2"/>
      <c r="AQ1158" s="2"/>
      <c r="AR1158" s="2"/>
      <c r="AS1158" s="2"/>
      <c r="AT1158" s="2"/>
      <c r="AU1158" s="2"/>
      <c r="AV1158" s="2"/>
      <c r="AW1158" s="2"/>
      <c r="AX1158" s="2"/>
      <c r="AY1158" s="2"/>
    </row>
    <row r="1159" spans="1:51" x14ac:dyDescent="0.25">
      <c r="A1159" s="24">
        <v>44085</v>
      </c>
      <c r="B1159" s="1">
        <v>44085</v>
      </c>
      <c r="C1159">
        <v>0.16</v>
      </c>
      <c r="D1159">
        <v>0.22</v>
      </c>
      <c r="E1159">
        <v>0.28999999999999998</v>
      </c>
      <c r="F1159">
        <v>0.48</v>
      </c>
      <c r="G1159">
        <v>1.1000000000000001</v>
      </c>
      <c r="H1159">
        <v>1.53</v>
      </c>
      <c r="I1159">
        <v>2.87</v>
      </c>
      <c r="J1159">
        <v>3.48</v>
      </c>
      <c r="K1159">
        <v>4.0199999999999996</v>
      </c>
      <c r="M1159" s="3"/>
      <c r="N1159" s="17"/>
      <c r="O1159" s="17"/>
      <c r="P1159" s="17"/>
      <c r="Q1159" s="17"/>
      <c r="R1159" s="17"/>
      <c r="S1159" s="17"/>
      <c r="T1159" s="17"/>
      <c r="U1159" s="17"/>
      <c r="V1159" s="17"/>
      <c r="AE1159" s="2"/>
      <c r="AQ1159" s="2"/>
      <c r="AR1159" s="2"/>
      <c r="AS1159" s="2"/>
      <c r="AT1159" s="2"/>
      <c r="AU1159" s="2"/>
      <c r="AV1159" s="2"/>
      <c r="AW1159" s="2"/>
      <c r="AX1159" s="2"/>
      <c r="AY1159" s="2"/>
    </row>
    <row r="1160" spans="1:51" x14ac:dyDescent="0.25">
      <c r="A1160" s="24">
        <v>44084</v>
      </c>
      <c r="B1160" s="1">
        <v>44084</v>
      </c>
      <c r="C1160">
        <v>0.16</v>
      </c>
      <c r="D1160">
        <v>0.23</v>
      </c>
      <c r="E1160">
        <v>0.3</v>
      </c>
      <c r="F1160">
        <v>0.5</v>
      </c>
      <c r="G1160">
        <v>1.1200000000000001</v>
      </c>
      <c r="H1160">
        <v>1.54</v>
      </c>
      <c r="I1160">
        <v>2.92</v>
      </c>
      <c r="J1160">
        <v>3.55</v>
      </c>
      <c r="K1160">
        <v>4.05</v>
      </c>
      <c r="M1160" s="3"/>
      <c r="N1160" s="17"/>
      <c r="O1160" s="17"/>
      <c r="P1160" s="17"/>
      <c r="Q1160" s="17"/>
      <c r="R1160" s="17"/>
      <c r="S1160" s="17"/>
      <c r="T1160" s="17"/>
      <c r="U1160" s="17"/>
      <c r="V1160" s="17"/>
      <c r="AE1160" s="2"/>
      <c r="AQ1160" s="2"/>
      <c r="AR1160" s="2"/>
      <c r="AS1160" s="2"/>
      <c r="AT1160" s="2"/>
      <c r="AU1160" s="2"/>
      <c r="AV1160" s="2"/>
      <c r="AW1160" s="2"/>
      <c r="AX1160" s="2"/>
      <c r="AY1160" s="2"/>
    </row>
    <row r="1161" spans="1:51" x14ac:dyDescent="0.25">
      <c r="A1161" s="24">
        <v>44083</v>
      </c>
      <c r="B1161" s="1">
        <v>44083</v>
      </c>
      <c r="C1161">
        <v>0.18</v>
      </c>
      <c r="D1161">
        <v>0.25</v>
      </c>
      <c r="E1161">
        <v>0.33</v>
      </c>
      <c r="F1161">
        <v>0.5</v>
      </c>
      <c r="G1161">
        <v>1.1000000000000001</v>
      </c>
      <c r="H1161">
        <v>1.51</v>
      </c>
      <c r="I1161">
        <v>2.87</v>
      </c>
      <c r="J1161">
        <v>3.48</v>
      </c>
      <c r="K1161">
        <v>4.0199999999999996</v>
      </c>
      <c r="M1161" s="3"/>
      <c r="N1161" s="17"/>
      <c r="O1161" s="17"/>
      <c r="P1161" s="17"/>
      <c r="Q1161" s="17"/>
      <c r="R1161" s="17"/>
      <c r="S1161" s="17"/>
      <c r="T1161" s="17"/>
      <c r="U1161" s="17"/>
      <c r="V1161" s="17"/>
      <c r="AE1161" s="2"/>
      <c r="AQ1161" s="2"/>
      <c r="AR1161" s="2"/>
      <c r="AS1161" s="2"/>
      <c r="AT1161" s="2"/>
      <c r="AU1161" s="2"/>
      <c r="AV1161" s="2"/>
      <c r="AW1161" s="2"/>
      <c r="AX1161" s="2"/>
      <c r="AY1161" s="2"/>
    </row>
    <row r="1162" spans="1:51" x14ac:dyDescent="0.25">
      <c r="A1162" s="24">
        <v>44082</v>
      </c>
      <c r="B1162" s="1">
        <v>44082</v>
      </c>
      <c r="C1162">
        <v>0.18</v>
      </c>
      <c r="D1162">
        <v>0.25</v>
      </c>
      <c r="E1162">
        <v>0.32</v>
      </c>
      <c r="F1162">
        <v>0.51</v>
      </c>
      <c r="G1162">
        <v>1.07</v>
      </c>
      <c r="H1162">
        <v>1.53</v>
      </c>
      <c r="I1162">
        <v>2.86</v>
      </c>
      <c r="J1162">
        <v>3.47</v>
      </c>
      <c r="K1162">
        <v>3.98</v>
      </c>
      <c r="M1162" s="3"/>
      <c r="N1162" s="17"/>
      <c r="O1162" s="17"/>
      <c r="P1162" s="17"/>
      <c r="Q1162" s="17"/>
      <c r="R1162" s="17"/>
      <c r="S1162" s="17"/>
      <c r="T1162" s="17"/>
      <c r="U1162" s="17"/>
      <c r="V1162" s="17"/>
      <c r="AE1162" s="2"/>
      <c r="AQ1162" s="2"/>
      <c r="AR1162" s="2"/>
      <c r="AS1162" s="2"/>
      <c r="AT1162" s="2"/>
      <c r="AU1162" s="2"/>
      <c r="AV1162" s="2"/>
      <c r="AW1162" s="2"/>
      <c r="AX1162" s="2"/>
      <c r="AY1162" s="2"/>
    </row>
    <row r="1163" spans="1:51" x14ac:dyDescent="0.25">
      <c r="A1163" s="24">
        <v>44081</v>
      </c>
      <c r="B1163" s="1">
        <v>44081</v>
      </c>
      <c r="C1163">
        <v>0.19</v>
      </c>
      <c r="D1163">
        <v>0.27</v>
      </c>
      <c r="E1163">
        <v>0.33</v>
      </c>
      <c r="F1163">
        <v>0.54</v>
      </c>
      <c r="G1163">
        <v>1.1100000000000001</v>
      </c>
      <c r="H1163">
        <v>1.56</v>
      </c>
      <c r="I1163">
        <v>2.81</v>
      </c>
      <c r="J1163">
        <v>3.42</v>
      </c>
      <c r="K1163">
        <v>3.95</v>
      </c>
      <c r="M1163" s="3"/>
      <c r="N1163" s="17"/>
      <c r="O1163" s="17"/>
      <c r="P1163" s="17"/>
      <c r="Q1163" s="17"/>
      <c r="R1163" s="17"/>
      <c r="S1163" s="17"/>
      <c r="T1163" s="17"/>
      <c r="U1163" s="17"/>
      <c r="V1163" s="17"/>
      <c r="AE1163" s="2"/>
      <c r="AQ1163" s="2"/>
      <c r="AR1163" s="2"/>
      <c r="AS1163" s="2"/>
      <c r="AT1163" s="2"/>
      <c r="AU1163" s="2"/>
      <c r="AV1163" s="2"/>
      <c r="AW1163" s="2"/>
      <c r="AX1163" s="2"/>
      <c r="AY1163" s="2"/>
    </row>
    <row r="1164" spans="1:51" x14ac:dyDescent="0.25">
      <c r="A1164" s="24">
        <v>44078</v>
      </c>
      <c r="B1164" s="1">
        <v>44078</v>
      </c>
      <c r="C1164">
        <v>0.19</v>
      </c>
      <c r="D1164">
        <v>0.28000000000000003</v>
      </c>
      <c r="E1164">
        <v>0.34</v>
      </c>
      <c r="F1164">
        <v>0.53</v>
      </c>
      <c r="G1164">
        <v>1.1499999999999999</v>
      </c>
      <c r="H1164">
        <v>1.6</v>
      </c>
      <c r="I1164">
        <v>2.82</v>
      </c>
      <c r="J1164">
        <v>3.42</v>
      </c>
      <c r="K1164">
        <v>3.98</v>
      </c>
      <c r="M1164" s="3"/>
      <c r="N1164" s="17"/>
      <c r="O1164" s="17"/>
      <c r="P1164" s="17"/>
      <c r="Q1164" s="17"/>
      <c r="R1164" s="17"/>
      <c r="S1164" s="17"/>
      <c r="T1164" s="17"/>
      <c r="U1164" s="17"/>
      <c r="V1164" s="17"/>
      <c r="AE1164" s="2"/>
      <c r="AQ1164" s="2"/>
      <c r="AR1164" s="2"/>
      <c r="AS1164" s="2"/>
      <c r="AT1164" s="2"/>
      <c r="AU1164" s="2"/>
      <c r="AV1164" s="2"/>
      <c r="AW1164" s="2"/>
      <c r="AX1164" s="2"/>
      <c r="AY1164" s="2"/>
    </row>
    <row r="1165" spans="1:51" x14ac:dyDescent="0.25">
      <c r="A1165" s="24">
        <v>44077</v>
      </c>
      <c r="B1165" s="1">
        <v>44077</v>
      </c>
      <c r="C1165">
        <v>0.19</v>
      </c>
      <c r="D1165">
        <v>0.27</v>
      </c>
      <c r="E1165">
        <v>0.34</v>
      </c>
      <c r="F1165">
        <v>0.52</v>
      </c>
      <c r="G1165">
        <v>1.08</v>
      </c>
      <c r="H1165">
        <v>1.58</v>
      </c>
      <c r="I1165">
        <v>2.84</v>
      </c>
      <c r="J1165">
        <v>3.4</v>
      </c>
      <c r="K1165">
        <v>3.98</v>
      </c>
      <c r="M1165" s="3"/>
      <c r="N1165" s="17"/>
      <c r="O1165" s="17"/>
      <c r="P1165" s="17"/>
      <c r="Q1165" s="17"/>
      <c r="R1165" s="17"/>
      <c r="S1165" s="17"/>
      <c r="T1165" s="17"/>
      <c r="U1165" s="17"/>
      <c r="V1165" s="17"/>
      <c r="AE1165" s="2"/>
      <c r="AQ1165" s="2"/>
      <c r="AR1165" s="2"/>
      <c r="AS1165" s="2"/>
      <c r="AT1165" s="2"/>
      <c r="AU1165" s="2"/>
      <c r="AV1165" s="2"/>
      <c r="AW1165" s="2"/>
      <c r="AX1165" s="2"/>
      <c r="AY1165" s="2"/>
    </row>
    <row r="1166" spans="1:51" x14ac:dyDescent="0.25">
      <c r="A1166" s="24">
        <v>44075</v>
      </c>
      <c r="B1166" s="1">
        <v>44075</v>
      </c>
      <c r="C1166">
        <v>0.19</v>
      </c>
      <c r="D1166">
        <v>0.26</v>
      </c>
      <c r="E1166">
        <v>0.34</v>
      </c>
      <c r="F1166">
        <v>0.53</v>
      </c>
      <c r="G1166">
        <v>1.05</v>
      </c>
      <c r="H1166">
        <v>1.5</v>
      </c>
      <c r="I1166">
        <v>2.73</v>
      </c>
      <c r="J1166">
        <v>3.3</v>
      </c>
      <c r="K1166">
        <v>3.94</v>
      </c>
      <c r="M1166" s="3"/>
      <c r="N1166" s="17"/>
      <c r="O1166" s="17"/>
      <c r="P1166" s="17"/>
      <c r="Q1166" s="17"/>
      <c r="R1166" s="17"/>
      <c r="S1166" s="17"/>
      <c r="T1166" s="17"/>
      <c r="U1166" s="17"/>
      <c r="V1166" s="17"/>
      <c r="AE1166" s="2"/>
      <c r="AQ1166" s="2"/>
      <c r="AR1166" s="2"/>
      <c r="AS1166" s="2"/>
      <c r="AT1166" s="2"/>
      <c r="AU1166" s="2"/>
      <c r="AV1166" s="2"/>
      <c r="AW1166" s="2"/>
      <c r="AX1166" s="2"/>
      <c r="AY1166" s="2"/>
    </row>
    <row r="1167" spans="1:51" x14ac:dyDescent="0.25">
      <c r="A1167" s="24">
        <v>44074</v>
      </c>
      <c r="B1167" s="1">
        <v>44074</v>
      </c>
      <c r="C1167">
        <v>0.18</v>
      </c>
      <c r="D1167">
        <v>0.28000000000000003</v>
      </c>
      <c r="E1167">
        <v>0.33</v>
      </c>
      <c r="F1167">
        <v>0.56000000000000005</v>
      </c>
      <c r="G1167">
        <v>1.1200000000000001</v>
      </c>
      <c r="H1167">
        <v>1.63</v>
      </c>
      <c r="I1167">
        <v>2.88</v>
      </c>
      <c r="J1167">
        <v>3.5</v>
      </c>
      <c r="K1167">
        <v>4.04</v>
      </c>
      <c r="M1167" s="3"/>
      <c r="N1167" s="17"/>
      <c r="O1167" s="17"/>
      <c r="P1167" s="17"/>
      <c r="Q1167" s="17"/>
      <c r="R1167" s="17"/>
      <c r="S1167" s="17"/>
      <c r="T1167" s="17"/>
      <c r="U1167" s="17"/>
      <c r="V1167" s="17"/>
      <c r="AE1167" s="2"/>
      <c r="AQ1167" s="2"/>
      <c r="AR1167" s="2"/>
      <c r="AS1167" s="2"/>
      <c r="AT1167" s="2"/>
      <c r="AU1167" s="2"/>
      <c r="AV1167" s="2"/>
      <c r="AW1167" s="2"/>
      <c r="AX1167" s="2"/>
      <c r="AY1167" s="2"/>
    </row>
    <row r="1168" spans="1:51" x14ac:dyDescent="0.25">
      <c r="A1168" s="24">
        <v>44071</v>
      </c>
      <c r="B1168" s="1">
        <v>44071</v>
      </c>
      <c r="C1168">
        <v>0.19</v>
      </c>
      <c r="D1168">
        <v>0.28000000000000003</v>
      </c>
      <c r="E1168">
        <v>0.34</v>
      </c>
      <c r="F1168">
        <v>0.55000000000000004</v>
      </c>
      <c r="G1168">
        <v>1.1200000000000001</v>
      </c>
      <c r="H1168">
        <v>1.58</v>
      </c>
      <c r="I1168">
        <v>2.85</v>
      </c>
      <c r="J1168">
        <v>3.42</v>
      </c>
      <c r="K1168">
        <v>3.98</v>
      </c>
      <c r="M1168" s="3"/>
      <c r="N1168" s="17"/>
      <c r="O1168" s="17"/>
      <c r="P1168" s="17"/>
      <c r="Q1168" s="17"/>
      <c r="R1168" s="17"/>
      <c r="S1168" s="17"/>
      <c r="T1168" s="17"/>
      <c r="U1168" s="17"/>
      <c r="V1168" s="17"/>
      <c r="AE1168" s="2"/>
      <c r="AQ1168" s="2"/>
      <c r="AR1168" s="2"/>
      <c r="AS1168" s="2"/>
      <c r="AT1168" s="2"/>
      <c r="AU1168" s="2"/>
      <c r="AV1168" s="2"/>
      <c r="AW1168" s="2"/>
      <c r="AX1168" s="2"/>
      <c r="AY1168" s="2"/>
    </row>
    <row r="1169" spans="1:51" x14ac:dyDescent="0.25">
      <c r="A1169" s="24">
        <v>44070</v>
      </c>
      <c r="B1169" s="1">
        <v>44070</v>
      </c>
      <c r="C1169">
        <v>0.21</v>
      </c>
      <c r="D1169">
        <v>0.3</v>
      </c>
      <c r="E1169">
        <v>0.38</v>
      </c>
      <c r="F1169">
        <v>0.57999999999999996</v>
      </c>
      <c r="G1169">
        <v>1.2</v>
      </c>
      <c r="H1169">
        <v>1.68</v>
      </c>
      <c r="I1169">
        <v>2.93</v>
      </c>
      <c r="J1169">
        <v>3.54</v>
      </c>
      <c r="K1169">
        <v>4.04</v>
      </c>
      <c r="M1169" s="3"/>
      <c r="N1169" s="17"/>
      <c r="O1169" s="17"/>
      <c r="P1169" s="17"/>
      <c r="Q1169" s="17"/>
      <c r="R1169" s="17"/>
      <c r="S1169" s="17"/>
      <c r="T1169" s="17"/>
      <c r="U1169" s="17"/>
      <c r="V1169" s="17"/>
      <c r="AE1169" s="2"/>
      <c r="AQ1169" s="2"/>
      <c r="AR1169" s="2"/>
      <c r="AS1169" s="2"/>
      <c r="AT1169" s="2"/>
      <c r="AU1169" s="2"/>
      <c r="AV1169" s="2"/>
      <c r="AW1169" s="2"/>
      <c r="AX1169" s="2"/>
      <c r="AY1169" s="2"/>
    </row>
    <row r="1170" spans="1:51" x14ac:dyDescent="0.25">
      <c r="A1170" s="24">
        <v>44069</v>
      </c>
      <c r="B1170" s="1">
        <v>44069</v>
      </c>
      <c r="C1170">
        <v>0.2</v>
      </c>
      <c r="D1170">
        <v>0.28999999999999998</v>
      </c>
      <c r="E1170">
        <v>0.38</v>
      </c>
      <c r="F1170">
        <v>0.54</v>
      </c>
      <c r="G1170">
        <v>1.18</v>
      </c>
      <c r="H1170">
        <v>1.58</v>
      </c>
      <c r="I1170">
        <v>2.93</v>
      </c>
      <c r="J1170">
        <v>3.56</v>
      </c>
      <c r="K1170">
        <v>4.08</v>
      </c>
      <c r="M1170" s="3"/>
      <c r="N1170" s="17"/>
      <c r="O1170" s="17"/>
      <c r="P1170" s="17"/>
      <c r="Q1170" s="17"/>
      <c r="R1170" s="17"/>
      <c r="S1170" s="17"/>
      <c r="T1170" s="17"/>
      <c r="U1170" s="17"/>
      <c r="V1170" s="17"/>
      <c r="AE1170" s="2"/>
      <c r="AQ1170" s="2"/>
      <c r="AR1170" s="2"/>
      <c r="AS1170" s="2"/>
      <c r="AT1170" s="2"/>
      <c r="AU1170" s="2"/>
      <c r="AV1170" s="2"/>
      <c r="AW1170" s="2"/>
      <c r="AX1170" s="2"/>
      <c r="AY1170" s="2"/>
    </row>
    <row r="1171" spans="1:51" x14ac:dyDescent="0.25">
      <c r="A1171" s="24">
        <v>44068</v>
      </c>
      <c r="B1171" s="1">
        <v>44068</v>
      </c>
      <c r="C1171">
        <v>0.2</v>
      </c>
      <c r="D1171">
        <v>0.28999999999999998</v>
      </c>
      <c r="E1171">
        <v>0.38</v>
      </c>
      <c r="F1171">
        <v>0.56000000000000005</v>
      </c>
      <c r="G1171">
        <v>1.2</v>
      </c>
      <c r="H1171">
        <v>1.6</v>
      </c>
      <c r="I1171">
        <v>2.85</v>
      </c>
      <c r="J1171">
        <v>3.48</v>
      </c>
      <c r="K1171">
        <v>4</v>
      </c>
      <c r="M1171" s="3"/>
      <c r="N1171" s="17"/>
      <c r="O1171" s="17"/>
      <c r="P1171" s="17"/>
      <c r="Q1171" s="17"/>
      <c r="R1171" s="17"/>
      <c r="S1171" s="17"/>
      <c r="T1171" s="17"/>
      <c r="U1171" s="17"/>
      <c r="V1171" s="17"/>
      <c r="AE1171" s="2"/>
      <c r="AQ1171" s="2"/>
      <c r="AR1171" s="2"/>
      <c r="AS1171" s="2"/>
      <c r="AT1171" s="2"/>
      <c r="AU1171" s="2"/>
      <c r="AV1171" s="2"/>
      <c r="AW1171" s="2"/>
      <c r="AX1171" s="2"/>
      <c r="AY1171" s="2"/>
    </row>
    <row r="1172" spans="1:51" x14ac:dyDescent="0.25">
      <c r="A1172" s="24">
        <v>44067</v>
      </c>
      <c r="B1172" s="1">
        <v>44067</v>
      </c>
      <c r="C1172">
        <v>0.2</v>
      </c>
      <c r="D1172">
        <v>0.28000000000000003</v>
      </c>
      <c r="E1172">
        <v>0.38</v>
      </c>
      <c r="F1172">
        <v>0.55000000000000004</v>
      </c>
      <c r="G1172">
        <v>1.17</v>
      </c>
      <c r="H1172">
        <v>1.6</v>
      </c>
      <c r="I1172">
        <v>2.83</v>
      </c>
      <c r="J1172">
        <v>3.5</v>
      </c>
      <c r="K1172">
        <v>4.03</v>
      </c>
      <c r="M1172" s="3"/>
      <c r="N1172" s="17"/>
      <c r="O1172" s="17"/>
      <c r="P1172" s="17"/>
      <c r="Q1172" s="17"/>
      <c r="R1172" s="17"/>
      <c r="S1172" s="17"/>
      <c r="T1172" s="17"/>
      <c r="U1172" s="17"/>
      <c r="V1172" s="17"/>
      <c r="AE1172" s="2"/>
      <c r="AQ1172" s="2"/>
      <c r="AR1172" s="2"/>
      <c r="AS1172" s="2"/>
      <c r="AT1172" s="2"/>
      <c r="AU1172" s="2"/>
      <c r="AV1172" s="2"/>
      <c r="AW1172" s="2"/>
      <c r="AX1172" s="2"/>
      <c r="AY1172" s="2"/>
    </row>
    <row r="1173" spans="1:51" x14ac:dyDescent="0.25">
      <c r="A1173" s="24">
        <v>44064</v>
      </c>
      <c r="B1173" s="1">
        <v>44064</v>
      </c>
      <c r="C1173">
        <v>0.21</v>
      </c>
      <c r="D1173">
        <v>0.31</v>
      </c>
      <c r="E1173">
        <v>0.39</v>
      </c>
      <c r="F1173">
        <v>0.54</v>
      </c>
      <c r="G1173">
        <v>1.17</v>
      </c>
      <c r="H1173">
        <v>1.61</v>
      </c>
      <c r="I1173">
        <v>2.83</v>
      </c>
      <c r="J1173">
        <v>3.45</v>
      </c>
      <c r="K1173">
        <v>4</v>
      </c>
      <c r="M1173" s="3"/>
      <c r="N1173" s="17"/>
      <c r="O1173" s="17"/>
      <c r="P1173" s="17"/>
      <c r="Q1173" s="17"/>
      <c r="R1173" s="17"/>
      <c r="S1173" s="17"/>
      <c r="T1173" s="17"/>
      <c r="U1173" s="17"/>
      <c r="V1173" s="17"/>
      <c r="AE1173" s="2"/>
      <c r="AQ1173" s="2"/>
      <c r="AR1173" s="2"/>
      <c r="AS1173" s="2"/>
      <c r="AT1173" s="2"/>
      <c r="AU1173" s="2"/>
      <c r="AV1173" s="2"/>
      <c r="AW1173" s="2"/>
      <c r="AX1173" s="2"/>
      <c r="AY1173" s="2"/>
    </row>
    <row r="1174" spans="1:51" x14ac:dyDescent="0.25">
      <c r="A1174" s="24">
        <v>44063</v>
      </c>
      <c r="B1174" s="1">
        <v>44063</v>
      </c>
      <c r="C1174">
        <v>0.2</v>
      </c>
      <c r="D1174">
        <v>0.3</v>
      </c>
      <c r="E1174">
        <v>0.38</v>
      </c>
      <c r="F1174">
        <v>0.54</v>
      </c>
      <c r="G1174">
        <v>1.1399999999999999</v>
      </c>
      <c r="H1174">
        <v>1.6</v>
      </c>
      <c r="I1174">
        <v>2.84</v>
      </c>
      <c r="J1174">
        <v>3.45</v>
      </c>
      <c r="K1174">
        <v>4</v>
      </c>
      <c r="M1174" s="3"/>
      <c r="N1174" s="17"/>
      <c r="O1174" s="17"/>
      <c r="P1174" s="17"/>
      <c r="Q1174" s="17"/>
      <c r="R1174" s="17"/>
      <c r="S1174" s="17"/>
      <c r="T1174" s="17"/>
      <c r="U1174" s="17"/>
      <c r="V1174" s="17"/>
      <c r="AE1174" s="2"/>
      <c r="AQ1174" s="2"/>
      <c r="AR1174" s="2"/>
      <c r="AS1174" s="2"/>
      <c r="AT1174" s="2"/>
      <c r="AU1174" s="2"/>
      <c r="AV1174" s="2"/>
      <c r="AW1174" s="2"/>
      <c r="AX1174" s="2"/>
      <c r="AY1174" s="2"/>
    </row>
    <row r="1175" spans="1:51" x14ac:dyDescent="0.25">
      <c r="A1175" s="24">
        <v>44062</v>
      </c>
      <c r="B1175" s="1">
        <v>44062</v>
      </c>
      <c r="C1175">
        <v>0.2</v>
      </c>
      <c r="D1175">
        <v>0.31</v>
      </c>
      <c r="E1175">
        <v>0.4</v>
      </c>
      <c r="F1175">
        <v>0.56999999999999995</v>
      </c>
      <c r="G1175">
        <v>1.2</v>
      </c>
      <c r="H1175">
        <v>1.65</v>
      </c>
      <c r="I1175">
        <v>2.9</v>
      </c>
      <c r="J1175">
        <v>3.5</v>
      </c>
      <c r="K1175">
        <v>4</v>
      </c>
      <c r="M1175" s="3"/>
      <c r="N1175" s="17"/>
      <c r="O1175" s="17"/>
      <c r="P1175" s="17"/>
      <c r="Q1175" s="17"/>
      <c r="R1175" s="17"/>
      <c r="S1175" s="17"/>
      <c r="T1175" s="17"/>
      <c r="U1175" s="17"/>
      <c r="V1175" s="17"/>
      <c r="AE1175" s="2"/>
      <c r="AQ1175" s="2"/>
      <c r="AR1175" s="2"/>
      <c r="AS1175" s="2"/>
      <c r="AT1175" s="2"/>
      <c r="AU1175" s="2"/>
      <c r="AV1175" s="2"/>
      <c r="AW1175" s="2"/>
      <c r="AX1175" s="2"/>
      <c r="AY1175" s="2"/>
    </row>
    <row r="1176" spans="1:51" x14ac:dyDescent="0.25">
      <c r="A1176" s="24">
        <v>44061</v>
      </c>
      <c r="B1176" s="1">
        <v>44061</v>
      </c>
      <c r="C1176">
        <v>0.2</v>
      </c>
      <c r="D1176">
        <v>0.3</v>
      </c>
      <c r="E1176">
        <v>0.39</v>
      </c>
      <c r="F1176">
        <v>0.56000000000000005</v>
      </c>
      <c r="G1176">
        <v>1.22</v>
      </c>
      <c r="H1176">
        <v>1.68</v>
      </c>
      <c r="I1176">
        <v>2.97</v>
      </c>
      <c r="J1176">
        <v>3.56</v>
      </c>
      <c r="K1176">
        <v>4.04</v>
      </c>
      <c r="M1176" s="3"/>
      <c r="N1176" s="17"/>
      <c r="O1176" s="17"/>
      <c r="P1176" s="17"/>
      <c r="Q1176" s="17"/>
      <c r="R1176" s="17"/>
      <c r="S1176" s="17"/>
      <c r="T1176" s="17"/>
      <c r="U1176" s="17"/>
      <c r="V1176" s="17"/>
      <c r="AE1176" s="2"/>
      <c r="AQ1176" s="2"/>
      <c r="AR1176" s="2"/>
      <c r="AS1176" s="2"/>
      <c r="AT1176" s="2"/>
      <c r="AU1176" s="2"/>
      <c r="AV1176" s="2"/>
      <c r="AW1176" s="2"/>
      <c r="AX1176" s="2"/>
      <c r="AY1176" s="2"/>
    </row>
    <row r="1177" spans="1:51" x14ac:dyDescent="0.25">
      <c r="A1177" s="24">
        <v>44060</v>
      </c>
      <c r="B1177" s="1">
        <v>44060</v>
      </c>
      <c r="C1177">
        <v>0.2</v>
      </c>
      <c r="D1177">
        <v>0.31</v>
      </c>
      <c r="E1177">
        <v>0.41</v>
      </c>
      <c r="F1177">
        <v>0.57999999999999996</v>
      </c>
      <c r="G1177">
        <v>1.22</v>
      </c>
      <c r="H1177">
        <v>1.65</v>
      </c>
      <c r="I1177">
        <v>2.9</v>
      </c>
      <c r="J1177">
        <v>3.5</v>
      </c>
      <c r="K1177">
        <v>4</v>
      </c>
      <c r="M1177" s="3"/>
      <c r="N1177" s="17"/>
      <c r="O1177" s="17"/>
      <c r="P1177" s="17"/>
      <c r="Q1177" s="17"/>
      <c r="R1177" s="17"/>
      <c r="S1177" s="17"/>
      <c r="T1177" s="17"/>
      <c r="U1177" s="17"/>
      <c r="V1177" s="17"/>
      <c r="AE1177" s="2"/>
      <c r="AQ1177" s="2"/>
      <c r="AR1177" s="2"/>
      <c r="AS1177" s="2"/>
      <c r="AT1177" s="2"/>
      <c r="AU1177" s="2"/>
      <c r="AV1177" s="2"/>
      <c r="AW1177" s="2"/>
      <c r="AX1177" s="2"/>
      <c r="AY1177" s="2"/>
    </row>
    <row r="1178" spans="1:51" x14ac:dyDescent="0.25">
      <c r="A1178" s="24">
        <v>44057</v>
      </c>
      <c r="B1178" s="1">
        <v>44057</v>
      </c>
      <c r="C1178">
        <v>0.2</v>
      </c>
      <c r="D1178">
        <v>0.3</v>
      </c>
      <c r="E1178">
        <v>0.39</v>
      </c>
      <c r="F1178">
        <v>0.56000000000000005</v>
      </c>
      <c r="G1178">
        <v>1.1299999999999999</v>
      </c>
      <c r="H1178">
        <v>1.58</v>
      </c>
      <c r="I1178">
        <v>2.8</v>
      </c>
      <c r="J1178">
        <v>3.36</v>
      </c>
      <c r="K1178">
        <v>3.98</v>
      </c>
      <c r="M1178" s="3"/>
      <c r="N1178" s="17"/>
      <c r="O1178" s="17"/>
      <c r="P1178" s="17"/>
      <c r="Q1178" s="17"/>
      <c r="R1178" s="17"/>
      <c r="S1178" s="17"/>
      <c r="T1178" s="17"/>
      <c r="U1178" s="17"/>
      <c r="V1178" s="17"/>
      <c r="AE1178" s="2"/>
      <c r="AQ1178" s="2"/>
      <c r="AR1178" s="2"/>
      <c r="AS1178" s="2"/>
      <c r="AT1178" s="2"/>
      <c r="AU1178" s="2"/>
      <c r="AV1178" s="2"/>
      <c r="AW1178" s="2"/>
      <c r="AX1178" s="2"/>
      <c r="AY1178" s="2"/>
    </row>
    <row r="1179" spans="1:51" x14ac:dyDescent="0.25">
      <c r="A1179" s="24">
        <v>44056</v>
      </c>
      <c r="B1179" s="1">
        <v>44056</v>
      </c>
      <c r="C1179">
        <v>0.22</v>
      </c>
      <c r="D1179">
        <v>0.31</v>
      </c>
      <c r="E1179">
        <v>0.39</v>
      </c>
      <c r="F1179">
        <v>0.56000000000000005</v>
      </c>
      <c r="G1179">
        <v>1.2</v>
      </c>
      <c r="H1179">
        <v>1.65</v>
      </c>
      <c r="I1179">
        <v>2.88</v>
      </c>
      <c r="J1179">
        <v>3.48</v>
      </c>
      <c r="K1179">
        <v>4</v>
      </c>
      <c r="M1179" s="3"/>
      <c r="N1179" s="17"/>
      <c r="O1179" s="17"/>
      <c r="P1179" s="17"/>
      <c r="Q1179" s="17"/>
      <c r="R1179" s="17"/>
      <c r="S1179" s="17"/>
      <c r="T1179" s="17"/>
      <c r="U1179" s="17"/>
      <c r="V1179" s="17"/>
      <c r="AE1179" s="2"/>
      <c r="AQ1179" s="2"/>
      <c r="AR1179" s="2"/>
      <c r="AS1179" s="2"/>
      <c r="AT1179" s="2"/>
      <c r="AU1179" s="2"/>
      <c r="AV1179" s="2"/>
      <c r="AW1179" s="2"/>
      <c r="AX1179" s="2"/>
      <c r="AY1179" s="2"/>
    </row>
    <row r="1180" spans="1:51" x14ac:dyDescent="0.25">
      <c r="A1180" s="24">
        <v>44055</v>
      </c>
      <c r="B1180" s="1">
        <v>44055</v>
      </c>
      <c r="C1180">
        <v>0.23</v>
      </c>
      <c r="D1180">
        <v>0.33</v>
      </c>
      <c r="E1180">
        <v>0.39</v>
      </c>
      <c r="F1180">
        <v>0.57999999999999996</v>
      </c>
      <c r="G1180">
        <v>1.22</v>
      </c>
      <c r="H1180">
        <v>1.7</v>
      </c>
      <c r="I1180">
        <v>2.93</v>
      </c>
      <c r="J1180">
        <v>3.5</v>
      </c>
      <c r="K1180">
        <v>4.04</v>
      </c>
      <c r="M1180" s="3"/>
      <c r="N1180" s="17"/>
      <c r="O1180" s="17"/>
      <c r="P1180" s="17"/>
      <c r="Q1180" s="17"/>
      <c r="R1180" s="17"/>
      <c r="S1180" s="17"/>
      <c r="T1180" s="17"/>
      <c r="U1180" s="17"/>
      <c r="V1180" s="17"/>
      <c r="AE1180" s="2"/>
      <c r="AQ1180" s="2"/>
      <c r="AR1180" s="2"/>
      <c r="AS1180" s="2"/>
      <c r="AT1180" s="2"/>
      <c r="AU1180" s="2"/>
      <c r="AV1180" s="2"/>
      <c r="AW1180" s="2"/>
      <c r="AX1180" s="2"/>
      <c r="AY1180" s="2"/>
    </row>
    <row r="1181" spans="1:51" x14ac:dyDescent="0.25">
      <c r="A1181" s="24">
        <v>44054</v>
      </c>
      <c r="B1181" s="1">
        <v>44054</v>
      </c>
      <c r="C1181">
        <v>0.23</v>
      </c>
      <c r="D1181">
        <v>0.34</v>
      </c>
      <c r="E1181">
        <v>0.41</v>
      </c>
      <c r="F1181">
        <v>0.57999999999999996</v>
      </c>
      <c r="G1181">
        <v>1.29</v>
      </c>
      <c r="H1181">
        <v>1.76</v>
      </c>
      <c r="I1181">
        <v>2.97</v>
      </c>
      <c r="J1181">
        <v>3.5</v>
      </c>
      <c r="K1181">
        <v>4.0199999999999996</v>
      </c>
      <c r="M1181" s="3"/>
      <c r="N1181" s="17"/>
      <c r="O1181" s="17"/>
      <c r="P1181" s="17"/>
      <c r="Q1181" s="17"/>
      <c r="R1181" s="17"/>
      <c r="S1181" s="17"/>
      <c r="T1181" s="17"/>
      <c r="U1181" s="17"/>
      <c r="V1181" s="17"/>
      <c r="AE1181" s="2"/>
      <c r="AQ1181" s="2"/>
      <c r="AR1181" s="2"/>
      <c r="AS1181" s="2"/>
      <c r="AT1181" s="2"/>
      <c r="AU1181" s="2"/>
      <c r="AV1181" s="2"/>
      <c r="AW1181" s="2"/>
      <c r="AX1181" s="2"/>
      <c r="AY1181" s="2"/>
    </row>
    <row r="1182" spans="1:51" x14ac:dyDescent="0.25">
      <c r="A1182" s="24">
        <v>44053</v>
      </c>
      <c r="B1182" s="1">
        <v>44053</v>
      </c>
      <c r="C1182">
        <v>0.25</v>
      </c>
      <c r="D1182">
        <v>0.36</v>
      </c>
      <c r="E1182">
        <v>0.43</v>
      </c>
      <c r="F1182">
        <v>0.62</v>
      </c>
      <c r="G1182">
        <v>1.33</v>
      </c>
      <c r="H1182">
        <v>1.79</v>
      </c>
      <c r="I1182">
        <v>2.96</v>
      </c>
      <c r="J1182">
        <v>3.47</v>
      </c>
      <c r="K1182">
        <v>3.98</v>
      </c>
      <c r="M1182" s="3"/>
      <c r="N1182" s="17"/>
      <c r="O1182" s="17"/>
      <c r="P1182" s="17"/>
      <c r="Q1182" s="17"/>
      <c r="R1182" s="17"/>
      <c r="S1182" s="17"/>
      <c r="T1182" s="17"/>
      <c r="U1182" s="17"/>
      <c r="V1182" s="17"/>
      <c r="AE1182" s="2"/>
      <c r="AQ1182" s="2"/>
      <c r="AR1182" s="2"/>
      <c r="AS1182" s="2"/>
      <c r="AT1182" s="2"/>
      <c r="AU1182" s="2"/>
      <c r="AV1182" s="2"/>
      <c r="AW1182" s="2"/>
      <c r="AX1182" s="2"/>
      <c r="AY1182" s="2"/>
    </row>
    <row r="1183" spans="1:51" x14ac:dyDescent="0.25">
      <c r="A1183" s="24">
        <v>44050</v>
      </c>
      <c r="B1183" s="1">
        <v>44050</v>
      </c>
      <c r="C1183">
        <v>0.26</v>
      </c>
      <c r="D1183">
        <v>0.35</v>
      </c>
      <c r="E1183">
        <v>0.44</v>
      </c>
      <c r="F1183">
        <v>0.61</v>
      </c>
      <c r="G1183">
        <v>1.3</v>
      </c>
      <c r="H1183">
        <v>1.76</v>
      </c>
      <c r="I1183">
        <v>2.98</v>
      </c>
      <c r="J1183">
        <v>3.5</v>
      </c>
      <c r="K1183">
        <v>3.98</v>
      </c>
      <c r="M1183" s="3"/>
      <c r="N1183" s="17"/>
      <c r="O1183" s="17"/>
      <c r="P1183" s="17"/>
      <c r="Q1183" s="17"/>
      <c r="R1183" s="17"/>
      <c r="S1183" s="17"/>
      <c r="T1183" s="17"/>
      <c r="U1183" s="17"/>
      <c r="V1183" s="17"/>
      <c r="AE1183" s="2"/>
      <c r="AQ1183" s="2"/>
      <c r="AR1183" s="2"/>
      <c r="AS1183" s="2"/>
      <c r="AT1183" s="2"/>
      <c r="AU1183" s="2"/>
      <c r="AV1183" s="2"/>
      <c r="AW1183" s="2"/>
      <c r="AX1183" s="2"/>
      <c r="AY1183" s="2"/>
    </row>
    <row r="1184" spans="1:51" x14ac:dyDescent="0.25">
      <c r="A1184" s="24">
        <v>44049</v>
      </c>
      <c r="B1184" s="1">
        <v>44049</v>
      </c>
      <c r="C1184">
        <v>0.26</v>
      </c>
      <c r="D1184">
        <v>0.36</v>
      </c>
      <c r="E1184">
        <v>0.47</v>
      </c>
      <c r="F1184">
        <v>0.64</v>
      </c>
      <c r="G1184">
        <v>1.36</v>
      </c>
      <c r="H1184">
        <v>1.84</v>
      </c>
      <c r="I1184">
        <v>2.96</v>
      </c>
      <c r="J1184">
        <v>3.47</v>
      </c>
      <c r="K1184">
        <v>3.98</v>
      </c>
      <c r="M1184" s="3"/>
      <c r="N1184" s="17"/>
      <c r="O1184" s="17"/>
      <c r="P1184" s="17"/>
      <c r="Q1184" s="17"/>
      <c r="R1184" s="17"/>
      <c r="S1184" s="17"/>
      <c r="T1184" s="17"/>
      <c r="U1184" s="17"/>
      <c r="V1184" s="17"/>
      <c r="AE1184" s="2"/>
      <c r="AQ1184" s="2"/>
      <c r="AR1184" s="2"/>
      <c r="AS1184" s="2"/>
      <c r="AT1184" s="2"/>
      <c r="AU1184" s="2"/>
      <c r="AV1184" s="2"/>
      <c r="AW1184" s="2"/>
      <c r="AX1184" s="2"/>
      <c r="AY1184" s="2"/>
    </row>
    <row r="1185" spans="1:51" x14ac:dyDescent="0.25">
      <c r="A1185" s="24">
        <v>44048</v>
      </c>
      <c r="B1185" s="1">
        <v>44048</v>
      </c>
      <c r="C1185">
        <v>0.26</v>
      </c>
      <c r="D1185">
        <v>0.38</v>
      </c>
      <c r="E1185">
        <v>0.45</v>
      </c>
      <c r="F1185">
        <v>0.64</v>
      </c>
      <c r="G1185">
        <v>1.33</v>
      </c>
      <c r="H1185">
        <v>1.8</v>
      </c>
      <c r="I1185">
        <v>3</v>
      </c>
      <c r="J1185">
        <v>3.5</v>
      </c>
      <c r="K1185">
        <v>3.98</v>
      </c>
      <c r="M1185" s="3"/>
      <c r="N1185" s="17"/>
      <c r="O1185" s="17"/>
      <c r="P1185" s="17"/>
      <c r="Q1185" s="17"/>
      <c r="R1185" s="17"/>
      <c r="S1185" s="17"/>
      <c r="T1185" s="17"/>
      <c r="U1185" s="17"/>
      <c r="V1185" s="17"/>
      <c r="AE1185" s="2"/>
      <c r="AQ1185" s="2"/>
      <c r="AR1185" s="2"/>
      <c r="AS1185" s="2"/>
      <c r="AT1185" s="2"/>
      <c r="AU1185" s="2"/>
      <c r="AV1185" s="2"/>
      <c r="AW1185" s="2"/>
      <c r="AX1185" s="2"/>
      <c r="AY1185" s="2"/>
    </row>
    <row r="1186" spans="1:51" x14ac:dyDescent="0.25">
      <c r="A1186" s="24">
        <v>44047</v>
      </c>
      <c r="B1186" s="1">
        <v>44047</v>
      </c>
      <c r="C1186">
        <v>0.23</v>
      </c>
      <c r="D1186">
        <v>0.37</v>
      </c>
      <c r="E1186">
        <v>0.46</v>
      </c>
      <c r="F1186">
        <v>0.63</v>
      </c>
      <c r="G1186">
        <v>1.22</v>
      </c>
      <c r="H1186">
        <v>1.66</v>
      </c>
      <c r="I1186">
        <v>2.96</v>
      </c>
      <c r="J1186">
        <v>3.5</v>
      </c>
      <c r="K1186">
        <v>3.98</v>
      </c>
      <c r="M1186" s="3"/>
      <c r="N1186" s="17"/>
      <c r="O1186" s="17"/>
      <c r="P1186" s="17"/>
      <c r="Q1186" s="17"/>
      <c r="R1186" s="17"/>
      <c r="S1186" s="17"/>
      <c r="T1186" s="17"/>
      <c r="U1186" s="17"/>
      <c r="V1186" s="17"/>
      <c r="AE1186" s="2"/>
      <c r="AQ1186" s="2"/>
      <c r="AR1186" s="2"/>
      <c r="AS1186" s="2"/>
      <c r="AT1186" s="2"/>
      <c r="AU1186" s="2"/>
      <c r="AV1186" s="2"/>
      <c r="AW1186" s="2"/>
      <c r="AX1186" s="2"/>
      <c r="AY1186" s="2"/>
    </row>
    <row r="1187" spans="1:51" x14ac:dyDescent="0.25">
      <c r="A1187" s="24">
        <v>44046</v>
      </c>
      <c r="B1187" s="1">
        <v>44046</v>
      </c>
      <c r="C1187">
        <v>0.24</v>
      </c>
      <c r="D1187">
        <v>0.37</v>
      </c>
      <c r="E1187">
        <v>0.46</v>
      </c>
      <c r="F1187">
        <v>0.64</v>
      </c>
      <c r="G1187">
        <v>1.3</v>
      </c>
      <c r="H1187">
        <v>1.74</v>
      </c>
      <c r="I1187">
        <v>3.04</v>
      </c>
      <c r="J1187">
        <v>3.6</v>
      </c>
      <c r="K1187">
        <v>4.0999999999999996</v>
      </c>
      <c r="M1187" s="3"/>
      <c r="N1187" s="17"/>
      <c r="O1187" s="17"/>
      <c r="P1187" s="17"/>
      <c r="Q1187" s="17"/>
      <c r="R1187" s="17"/>
      <c r="S1187" s="17"/>
      <c r="T1187" s="17"/>
      <c r="U1187" s="17"/>
      <c r="V1187" s="17"/>
      <c r="AE1187" s="2"/>
      <c r="AQ1187" s="2"/>
      <c r="AR1187" s="2"/>
      <c r="AS1187" s="2"/>
      <c r="AT1187" s="2"/>
      <c r="AU1187" s="2"/>
      <c r="AV1187" s="2"/>
      <c r="AW1187" s="2"/>
      <c r="AX1187" s="2"/>
      <c r="AY1187" s="2"/>
    </row>
    <row r="1188" spans="1:51" x14ac:dyDescent="0.25">
      <c r="A1188" s="24">
        <v>44043</v>
      </c>
      <c r="B1188" s="1">
        <v>44043</v>
      </c>
      <c r="C1188">
        <v>0.26</v>
      </c>
      <c r="D1188">
        <v>0.38</v>
      </c>
      <c r="E1188">
        <v>0.49</v>
      </c>
      <c r="F1188">
        <v>0.65</v>
      </c>
      <c r="G1188">
        <v>1.3</v>
      </c>
      <c r="H1188">
        <v>1.73</v>
      </c>
      <c r="I1188">
        <v>2.98</v>
      </c>
      <c r="J1188">
        <v>3.6</v>
      </c>
      <c r="K1188">
        <v>4.08</v>
      </c>
      <c r="M1188" s="3"/>
      <c r="N1188" s="17"/>
      <c r="O1188" s="17"/>
      <c r="P1188" s="17"/>
      <c r="Q1188" s="17"/>
      <c r="R1188" s="17"/>
      <c r="S1188" s="17"/>
      <c r="T1188" s="17"/>
      <c r="U1188" s="17"/>
      <c r="V1188" s="17"/>
      <c r="AE1188" s="2"/>
      <c r="AQ1188" s="2"/>
      <c r="AR1188" s="2"/>
      <c r="AS1188" s="2"/>
      <c r="AT1188" s="2"/>
      <c r="AU1188" s="2"/>
      <c r="AV1188" s="2"/>
      <c r="AW1188" s="2"/>
      <c r="AX1188" s="2"/>
      <c r="AY1188" s="2"/>
    </row>
    <row r="1189" spans="1:51" x14ac:dyDescent="0.25">
      <c r="A1189" s="24">
        <v>44042</v>
      </c>
      <c r="B1189" s="1">
        <v>44042</v>
      </c>
      <c r="C1189">
        <v>0.23</v>
      </c>
      <c r="D1189">
        <v>0.38</v>
      </c>
      <c r="E1189">
        <v>0.48</v>
      </c>
      <c r="F1189">
        <v>0.66</v>
      </c>
      <c r="G1189">
        <v>1.35</v>
      </c>
      <c r="H1189">
        <v>1.82</v>
      </c>
      <c r="I1189">
        <v>2.98</v>
      </c>
      <c r="J1189">
        <v>3.58</v>
      </c>
      <c r="K1189">
        <v>4.08</v>
      </c>
      <c r="M1189" s="3"/>
      <c r="N1189" s="17"/>
      <c r="O1189" s="17"/>
      <c r="P1189" s="17"/>
      <c r="Q1189" s="17"/>
      <c r="R1189" s="17"/>
      <c r="S1189" s="17"/>
      <c r="T1189" s="17"/>
      <c r="U1189" s="17"/>
      <c r="V1189" s="17"/>
      <c r="AE1189" s="2"/>
      <c r="AQ1189" s="2"/>
      <c r="AR1189" s="2"/>
      <c r="AS1189" s="2"/>
      <c r="AT1189" s="2"/>
      <c r="AU1189" s="2"/>
      <c r="AV1189" s="2"/>
      <c r="AW1189" s="2"/>
      <c r="AX1189" s="2"/>
      <c r="AY1189" s="2"/>
    </row>
    <row r="1190" spans="1:51" x14ac:dyDescent="0.25">
      <c r="A1190" s="24">
        <v>44041</v>
      </c>
      <c r="B1190" s="1">
        <v>44041</v>
      </c>
      <c r="C1190">
        <v>0.25</v>
      </c>
      <c r="D1190">
        <v>0.39</v>
      </c>
      <c r="E1190">
        <v>0.49</v>
      </c>
      <c r="F1190">
        <v>0.68</v>
      </c>
      <c r="G1190">
        <v>1.4</v>
      </c>
      <c r="H1190">
        <v>1.87</v>
      </c>
      <c r="I1190">
        <v>3.05</v>
      </c>
      <c r="J1190">
        <v>3.69</v>
      </c>
      <c r="K1190">
        <v>4.1399999999999997</v>
      </c>
      <c r="M1190" s="3"/>
      <c r="N1190" s="17"/>
      <c r="O1190" s="17"/>
      <c r="P1190" s="17"/>
      <c r="Q1190" s="17"/>
      <c r="R1190" s="17"/>
      <c r="S1190" s="17"/>
      <c r="T1190" s="17"/>
      <c r="U1190" s="17"/>
      <c r="V1190" s="17"/>
      <c r="AE1190" s="2"/>
      <c r="AQ1190" s="2"/>
      <c r="AR1190" s="2"/>
      <c r="AS1190" s="2"/>
      <c r="AT1190" s="2"/>
      <c r="AU1190" s="2"/>
      <c r="AV1190" s="2"/>
      <c r="AW1190" s="2"/>
      <c r="AX1190" s="2"/>
      <c r="AY1190" s="2"/>
    </row>
    <row r="1191" spans="1:51" x14ac:dyDescent="0.25">
      <c r="A1191" s="24">
        <v>44040</v>
      </c>
      <c r="B1191" s="1">
        <v>44040</v>
      </c>
      <c r="C1191">
        <v>0.25</v>
      </c>
      <c r="D1191">
        <v>0.37</v>
      </c>
      <c r="E1191">
        <v>0.46</v>
      </c>
      <c r="F1191">
        <v>0.68</v>
      </c>
      <c r="G1191">
        <v>1.4</v>
      </c>
      <c r="H1191">
        <v>1.9</v>
      </c>
      <c r="I1191">
        <v>3.06</v>
      </c>
      <c r="J1191">
        <v>3.72</v>
      </c>
      <c r="K1191">
        <v>4.17</v>
      </c>
      <c r="M1191" s="3"/>
      <c r="N1191" s="17"/>
      <c r="O1191" s="17"/>
      <c r="P1191" s="17"/>
      <c r="Q1191" s="17"/>
      <c r="R1191" s="17"/>
      <c r="S1191" s="17"/>
      <c r="T1191" s="17"/>
      <c r="U1191" s="17"/>
      <c r="V1191" s="17"/>
      <c r="AE1191" s="2"/>
      <c r="AQ1191" s="2"/>
      <c r="AR1191" s="2"/>
      <c r="AS1191" s="2"/>
      <c r="AT1191" s="2"/>
      <c r="AU1191" s="2"/>
      <c r="AV1191" s="2"/>
      <c r="AW1191" s="2"/>
      <c r="AX1191" s="2"/>
      <c r="AY1191" s="2"/>
    </row>
    <row r="1192" spans="1:51" x14ac:dyDescent="0.25">
      <c r="A1192" s="24">
        <v>44039</v>
      </c>
      <c r="B1192" s="1">
        <v>44039</v>
      </c>
      <c r="C1192">
        <v>0.19</v>
      </c>
      <c r="D1192">
        <v>0.28000000000000003</v>
      </c>
      <c r="E1192">
        <v>0.38</v>
      </c>
      <c r="F1192">
        <v>0.62</v>
      </c>
      <c r="G1192">
        <v>1.4</v>
      </c>
      <c r="H1192">
        <v>1.87</v>
      </c>
      <c r="I1192">
        <v>3.07</v>
      </c>
      <c r="J1192">
        <v>3.69</v>
      </c>
      <c r="K1192">
        <v>4.1399999999999997</v>
      </c>
      <c r="M1192" s="3"/>
      <c r="N1192" s="17"/>
      <c r="O1192" s="17"/>
      <c r="P1192" s="17"/>
      <c r="Q1192" s="17"/>
      <c r="R1192" s="17"/>
      <c r="S1192" s="17"/>
      <c r="T1192" s="17"/>
      <c r="U1192" s="17"/>
      <c r="V1192" s="17"/>
      <c r="AE1192" s="2"/>
      <c r="AQ1192" s="2"/>
      <c r="AR1192" s="2"/>
      <c r="AS1192" s="2"/>
      <c r="AT1192" s="2"/>
      <c r="AU1192" s="2"/>
      <c r="AV1192" s="2"/>
      <c r="AW1192" s="2"/>
      <c r="AX1192" s="2"/>
      <c r="AY1192" s="2"/>
    </row>
    <row r="1193" spans="1:51" x14ac:dyDescent="0.25">
      <c r="A1193" s="24">
        <v>44036</v>
      </c>
      <c r="B1193" s="1">
        <v>44036</v>
      </c>
      <c r="C1193">
        <v>0.19</v>
      </c>
      <c r="D1193">
        <v>0.23</v>
      </c>
      <c r="E1193">
        <v>0.32</v>
      </c>
      <c r="F1193">
        <v>0.57999999999999996</v>
      </c>
      <c r="G1193">
        <v>1.36</v>
      </c>
      <c r="H1193">
        <v>1.88</v>
      </c>
      <c r="I1193">
        <v>3.08</v>
      </c>
      <c r="J1193">
        <v>3.63</v>
      </c>
      <c r="K1193">
        <v>4.08</v>
      </c>
      <c r="M1193" s="3"/>
      <c r="N1193" s="17"/>
      <c r="O1193" s="17"/>
      <c r="P1193" s="17"/>
      <c r="Q1193" s="17"/>
      <c r="R1193" s="17"/>
      <c r="S1193" s="17"/>
      <c r="T1193" s="17"/>
      <c r="U1193" s="17"/>
      <c r="V1193" s="17"/>
      <c r="AE1193" s="2"/>
      <c r="AQ1193" s="2"/>
      <c r="AR1193" s="2"/>
      <c r="AS1193" s="2"/>
      <c r="AT1193" s="2"/>
      <c r="AU1193" s="2"/>
      <c r="AV1193" s="2"/>
      <c r="AW1193" s="2"/>
      <c r="AX1193" s="2"/>
      <c r="AY1193" s="2"/>
    </row>
    <row r="1194" spans="1:51" x14ac:dyDescent="0.25">
      <c r="A1194" s="24">
        <v>44035</v>
      </c>
      <c r="B1194" s="1">
        <v>44035</v>
      </c>
      <c r="C1194">
        <v>0.19</v>
      </c>
      <c r="D1194">
        <v>0.22</v>
      </c>
      <c r="E1194">
        <v>0.33</v>
      </c>
      <c r="F1194">
        <v>0.57999999999999996</v>
      </c>
      <c r="G1194">
        <v>1.29</v>
      </c>
      <c r="H1194">
        <v>1.8</v>
      </c>
      <c r="I1194">
        <v>3.01</v>
      </c>
      <c r="J1194">
        <v>3.67</v>
      </c>
      <c r="K1194">
        <v>4.1500000000000004</v>
      </c>
      <c r="M1194" s="3"/>
      <c r="N1194" s="17"/>
      <c r="O1194" s="17"/>
      <c r="P1194" s="17"/>
      <c r="Q1194" s="17"/>
      <c r="R1194" s="17"/>
      <c r="S1194" s="17"/>
      <c r="T1194" s="17"/>
      <c r="U1194" s="17"/>
      <c r="V1194" s="17"/>
      <c r="AE1194" s="2"/>
      <c r="AQ1194" s="2"/>
      <c r="AR1194" s="2"/>
      <c r="AS1194" s="2"/>
      <c r="AT1194" s="2"/>
      <c r="AU1194" s="2"/>
      <c r="AV1194" s="2"/>
      <c r="AW1194" s="2"/>
      <c r="AX1194" s="2"/>
      <c r="AY1194" s="2"/>
    </row>
    <row r="1195" spans="1:51" x14ac:dyDescent="0.25">
      <c r="A1195" s="24">
        <v>44034</v>
      </c>
      <c r="B1195" s="1">
        <v>44034</v>
      </c>
      <c r="C1195">
        <v>0.19</v>
      </c>
      <c r="D1195">
        <v>0.23</v>
      </c>
      <c r="E1195">
        <v>0.33</v>
      </c>
      <c r="F1195">
        <v>0.57999999999999996</v>
      </c>
      <c r="G1195">
        <v>1.28</v>
      </c>
      <c r="H1195">
        <v>1.8</v>
      </c>
      <c r="I1195">
        <v>2.98</v>
      </c>
      <c r="J1195">
        <v>3.64</v>
      </c>
      <c r="K1195">
        <v>4.1399999999999997</v>
      </c>
      <c r="M1195" s="3"/>
      <c r="N1195" s="17"/>
      <c r="O1195" s="17"/>
      <c r="P1195" s="17"/>
      <c r="Q1195" s="17"/>
      <c r="R1195" s="17"/>
      <c r="S1195" s="17"/>
      <c r="T1195" s="17"/>
      <c r="U1195" s="17"/>
      <c r="V1195" s="17"/>
      <c r="AE1195" s="2"/>
      <c r="AQ1195" s="2"/>
      <c r="AR1195" s="2"/>
      <c r="AS1195" s="2"/>
      <c r="AT1195" s="2"/>
      <c r="AU1195" s="2"/>
      <c r="AV1195" s="2"/>
      <c r="AW1195" s="2"/>
      <c r="AX1195" s="2"/>
      <c r="AY1195" s="2"/>
    </row>
    <row r="1196" spans="1:51" x14ac:dyDescent="0.25">
      <c r="A1196" s="24">
        <v>44033</v>
      </c>
      <c r="B1196" s="1">
        <v>44033</v>
      </c>
      <c r="C1196">
        <v>0.2</v>
      </c>
      <c r="D1196">
        <v>0.23</v>
      </c>
      <c r="E1196">
        <v>0.31</v>
      </c>
      <c r="F1196">
        <v>0.63</v>
      </c>
      <c r="G1196">
        <v>1.58</v>
      </c>
      <c r="H1196">
        <v>2.0299999999999998</v>
      </c>
      <c r="I1196">
        <v>3.18</v>
      </c>
      <c r="J1196">
        <v>3.7</v>
      </c>
      <c r="K1196">
        <v>4.16</v>
      </c>
      <c r="M1196" s="3"/>
      <c r="N1196" s="17"/>
      <c r="O1196" s="17"/>
      <c r="P1196" s="17"/>
      <c r="Q1196" s="17"/>
      <c r="R1196" s="17"/>
      <c r="S1196" s="17"/>
      <c r="T1196" s="17"/>
      <c r="U1196" s="17"/>
      <c r="V1196" s="17"/>
      <c r="AE1196" s="2"/>
      <c r="AQ1196" s="2"/>
      <c r="AR1196" s="2"/>
      <c r="AS1196" s="2"/>
      <c r="AT1196" s="2"/>
      <c r="AU1196" s="2"/>
      <c r="AV1196" s="2"/>
      <c r="AW1196" s="2"/>
      <c r="AX1196" s="2"/>
      <c r="AY1196" s="2"/>
    </row>
    <row r="1197" spans="1:51" x14ac:dyDescent="0.25">
      <c r="A1197" s="24">
        <v>44032</v>
      </c>
      <c r="B1197" s="1">
        <v>44032</v>
      </c>
      <c r="C1197">
        <v>0.18</v>
      </c>
      <c r="D1197">
        <v>0.22</v>
      </c>
      <c r="E1197">
        <v>0.32</v>
      </c>
      <c r="F1197">
        <v>0.57999999999999996</v>
      </c>
      <c r="G1197">
        <v>1.37</v>
      </c>
      <c r="H1197">
        <v>1.84</v>
      </c>
      <c r="I1197">
        <v>3.03</v>
      </c>
      <c r="J1197">
        <v>3.7</v>
      </c>
      <c r="K1197">
        <v>4.2</v>
      </c>
      <c r="M1197" s="3"/>
      <c r="N1197" s="17"/>
      <c r="O1197" s="17"/>
      <c r="P1197" s="17"/>
      <c r="Q1197" s="17"/>
      <c r="R1197" s="17"/>
      <c r="S1197" s="17"/>
      <c r="T1197" s="17"/>
      <c r="U1197" s="17"/>
      <c r="V1197" s="17"/>
      <c r="AE1197" s="2"/>
      <c r="AQ1197" s="2"/>
      <c r="AR1197" s="2"/>
      <c r="AS1197" s="2"/>
      <c r="AT1197" s="2"/>
      <c r="AU1197" s="2"/>
      <c r="AV1197" s="2"/>
      <c r="AW1197" s="2"/>
      <c r="AX1197" s="2"/>
      <c r="AY1197" s="2"/>
    </row>
    <row r="1198" spans="1:51" x14ac:dyDescent="0.25">
      <c r="A1198" s="24">
        <v>44029</v>
      </c>
      <c r="B1198" s="1">
        <v>44029</v>
      </c>
      <c r="C1198">
        <v>0.19</v>
      </c>
      <c r="D1198">
        <v>0.21</v>
      </c>
      <c r="E1198">
        <v>0.3</v>
      </c>
      <c r="F1198">
        <v>0.56000000000000005</v>
      </c>
      <c r="G1198">
        <v>1.45</v>
      </c>
      <c r="H1198">
        <v>1.95</v>
      </c>
      <c r="I1198">
        <v>3</v>
      </c>
      <c r="J1198">
        <v>3.64</v>
      </c>
      <c r="K1198">
        <v>4.1399999999999997</v>
      </c>
      <c r="M1198" s="3"/>
      <c r="N1198" s="17"/>
      <c r="O1198" s="17"/>
      <c r="P1198" s="17"/>
      <c r="Q1198" s="17"/>
      <c r="R1198" s="17"/>
      <c r="S1198" s="17"/>
      <c r="T1198" s="17"/>
      <c r="U1198" s="17"/>
      <c r="V1198" s="17"/>
      <c r="AE1198" s="2"/>
      <c r="AQ1198" s="2"/>
      <c r="AR1198" s="2"/>
      <c r="AS1198" s="2"/>
      <c r="AT1198" s="2"/>
      <c r="AU1198" s="2"/>
      <c r="AV1198" s="2"/>
      <c r="AW1198" s="2"/>
      <c r="AX1198" s="2"/>
      <c r="AY1198" s="2"/>
    </row>
    <row r="1199" spans="1:51" x14ac:dyDescent="0.25">
      <c r="A1199" s="24">
        <v>44028</v>
      </c>
      <c r="B1199" s="1">
        <v>44028</v>
      </c>
      <c r="C1199">
        <v>0.17</v>
      </c>
      <c r="D1199">
        <v>0.24</v>
      </c>
      <c r="E1199">
        <v>0.34</v>
      </c>
      <c r="F1199">
        <v>0.61</v>
      </c>
      <c r="G1199">
        <v>1.41</v>
      </c>
      <c r="H1199">
        <v>1.83</v>
      </c>
      <c r="I1199">
        <v>3.04</v>
      </c>
      <c r="J1199">
        <v>3.67</v>
      </c>
      <c r="K1199">
        <v>4.13</v>
      </c>
      <c r="M1199" s="3"/>
      <c r="N1199" s="17"/>
      <c r="O1199" s="17"/>
      <c r="P1199" s="17"/>
      <c r="Q1199" s="17"/>
      <c r="R1199" s="17"/>
      <c r="S1199" s="17"/>
      <c r="T1199" s="17"/>
      <c r="U1199" s="17"/>
      <c r="V1199" s="17"/>
      <c r="AE1199" s="2"/>
      <c r="AQ1199" s="2"/>
      <c r="AR1199" s="2"/>
      <c r="AS1199" s="2"/>
      <c r="AT1199" s="2"/>
      <c r="AU1199" s="2"/>
      <c r="AV1199" s="2"/>
      <c r="AW1199" s="2"/>
      <c r="AX1199" s="2"/>
      <c r="AY1199" s="2"/>
    </row>
    <row r="1200" spans="1:51" x14ac:dyDescent="0.25">
      <c r="A1200" s="24">
        <v>44027</v>
      </c>
      <c r="B1200" s="1">
        <v>44027</v>
      </c>
      <c r="C1200">
        <v>0.18</v>
      </c>
      <c r="D1200">
        <v>0.24</v>
      </c>
      <c r="E1200">
        <v>0.34</v>
      </c>
      <c r="F1200">
        <v>0.63</v>
      </c>
      <c r="G1200">
        <v>1.47</v>
      </c>
      <c r="H1200">
        <v>1.93</v>
      </c>
      <c r="I1200">
        <v>3.1</v>
      </c>
      <c r="J1200">
        <v>3.71</v>
      </c>
      <c r="K1200">
        <v>4.1900000000000004</v>
      </c>
      <c r="M1200" s="3"/>
      <c r="N1200" s="17"/>
      <c r="O1200" s="17"/>
      <c r="P1200" s="17"/>
      <c r="Q1200" s="17"/>
      <c r="R1200" s="17"/>
      <c r="S1200" s="17"/>
      <c r="T1200" s="17"/>
      <c r="U1200" s="17"/>
      <c r="V1200" s="17"/>
      <c r="AE1200" s="2"/>
      <c r="AQ1200" s="2"/>
      <c r="AR1200" s="2"/>
      <c r="AS1200" s="2"/>
      <c r="AT1200" s="2"/>
      <c r="AU1200" s="2"/>
      <c r="AV1200" s="2"/>
      <c r="AW1200" s="2"/>
      <c r="AX1200" s="2"/>
      <c r="AY1200" s="2"/>
    </row>
    <row r="1201" spans="1:51" x14ac:dyDescent="0.25">
      <c r="A1201" s="24">
        <v>44026</v>
      </c>
      <c r="B1201" s="1">
        <v>44026</v>
      </c>
      <c r="C1201">
        <v>0.18</v>
      </c>
      <c r="D1201">
        <v>0.25</v>
      </c>
      <c r="E1201">
        <v>0.34</v>
      </c>
      <c r="F1201">
        <v>0.64</v>
      </c>
      <c r="G1201">
        <v>1.64</v>
      </c>
      <c r="H1201">
        <v>2.0699999999999998</v>
      </c>
      <c r="I1201">
        <v>3.16</v>
      </c>
      <c r="J1201">
        <v>3.75</v>
      </c>
      <c r="K1201">
        <v>4.2300000000000004</v>
      </c>
      <c r="M1201" s="3"/>
      <c r="N1201" s="17"/>
      <c r="O1201" s="17"/>
      <c r="P1201" s="17"/>
      <c r="Q1201" s="17"/>
      <c r="R1201" s="17"/>
      <c r="S1201" s="17"/>
      <c r="T1201" s="17"/>
      <c r="U1201" s="17"/>
      <c r="V1201" s="17"/>
      <c r="AE1201" s="2"/>
      <c r="AQ1201" s="2"/>
      <c r="AR1201" s="2"/>
      <c r="AS1201" s="2"/>
      <c r="AT1201" s="2"/>
      <c r="AU1201" s="2"/>
      <c r="AV1201" s="2"/>
      <c r="AW1201" s="2"/>
      <c r="AX1201" s="2"/>
      <c r="AY1201" s="2"/>
    </row>
    <row r="1202" spans="1:51" x14ac:dyDescent="0.25">
      <c r="A1202" s="24">
        <v>44025</v>
      </c>
      <c r="B1202" s="1">
        <v>44025</v>
      </c>
      <c r="C1202">
        <v>0.19</v>
      </c>
      <c r="D1202">
        <v>0.25</v>
      </c>
      <c r="E1202">
        <v>0.34</v>
      </c>
      <c r="F1202">
        <v>0.65</v>
      </c>
      <c r="G1202">
        <v>1.6</v>
      </c>
      <c r="H1202">
        <v>2.0099999999999998</v>
      </c>
      <c r="I1202">
        <v>3.11</v>
      </c>
      <c r="J1202">
        <v>3.67</v>
      </c>
      <c r="K1202">
        <v>4.1500000000000004</v>
      </c>
      <c r="M1202" s="3"/>
      <c r="N1202" s="17"/>
      <c r="O1202" s="17"/>
      <c r="P1202" s="17"/>
      <c r="Q1202" s="17"/>
      <c r="R1202" s="17"/>
      <c r="S1202" s="17"/>
      <c r="T1202" s="17"/>
      <c r="U1202" s="17"/>
      <c r="V1202" s="17"/>
      <c r="AE1202" s="2"/>
      <c r="AQ1202" s="2"/>
      <c r="AR1202" s="2"/>
      <c r="AS1202" s="2"/>
      <c r="AT1202" s="2"/>
      <c r="AU1202" s="2"/>
      <c r="AV1202" s="2"/>
      <c r="AW1202" s="2"/>
      <c r="AX1202" s="2"/>
      <c r="AY1202" s="2"/>
    </row>
    <row r="1203" spans="1:51" x14ac:dyDescent="0.25">
      <c r="A1203" s="24">
        <v>44022</v>
      </c>
      <c r="B1203" s="1">
        <v>44022</v>
      </c>
      <c r="C1203">
        <v>0.19</v>
      </c>
      <c r="D1203">
        <v>0.26</v>
      </c>
      <c r="E1203">
        <v>0.35</v>
      </c>
      <c r="F1203">
        <v>0.65</v>
      </c>
      <c r="G1203">
        <v>1.63</v>
      </c>
      <c r="H1203">
        <v>2.04</v>
      </c>
      <c r="I1203">
        <v>3.13</v>
      </c>
      <c r="J1203">
        <v>3.7</v>
      </c>
      <c r="K1203">
        <v>4.22</v>
      </c>
      <c r="M1203" s="3"/>
      <c r="N1203" s="17"/>
      <c r="O1203" s="17"/>
      <c r="P1203" s="17"/>
      <c r="Q1203" s="17"/>
      <c r="R1203" s="17"/>
      <c r="S1203" s="17"/>
      <c r="T1203" s="17"/>
      <c r="U1203" s="17"/>
      <c r="V1203" s="17"/>
      <c r="AE1203" s="2"/>
      <c r="AQ1203" s="2"/>
      <c r="AR1203" s="2"/>
      <c r="AS1203" s="2"/>
      <c r="AT1203" s="2"/>
      <c r="AU1203" s="2"/>
      <c r="AV1203" s="2"/>
      <c r="AW1203" s="2"/>
      <c r="AX1203" s="2"/>
      <c r="AY1203" s="2"/>
    </row>
    <row r="1204" spans="1:51" x14ac:dyDescent="0.25">
      <c r="A1204" s="24">
        <v>44021</v>
      </c>
      <c r="B1204" s="1">
        <v>44021</v>
      </c>
      <c r="C1204">
        <v>0.19</v>
      </c>
      <c r="D1204">
        <v>0.27</v>
      </c>
      <c r="E1204">
        <v>0.35</v>
      </c>
      <c r="F1204">
        <v>0.66</v>
      </c>
      <c r="G1204">
        <v>1.62</v>
      </c>
      <c r="H1204">
        <v>2.0499999999999998</v>
      </c>
      <c r="I1204">
        <v>3.13</v>
      </c>
      <c r="J1204">
        <v>3.71</v>
      </c>
      <c r="K1204">
        <v>4.2</v>
      </c>
      <c r="M1204" s="3"/>
      <c r="N1204" s="17"/>
      <c r="O1204" s="17"/>
      <c r="P1204" s="17"/>
      <c r="Q1204" s="17"/>
      <c r="R1204" s="17"/>
      <c r="S1204" s="17"/>
      <c r="T1204" s="17"/>
      <c r="U1204" s="17"/>
      <c r="V1204" s="17"/>
      <c r="AE1204" s="2"/>
      <c r="AQ1204" s="2"/>
      <c r="AR1204" s="2"/>
      <c r="AS1204" s="2"/>
      <c r="AT1204" s="2"/>
      <c r="AU1204" s="2"/>
      <c r="AV1204" s="2"/>
      <c r="AW1204" s="2"/>
      <c r="AX1204" s="2"/>
      <c r="AY1204" s="2"/>
    </row>
    <row r="1205" spans="1:51" x14ac:dyDescent="0.25">
      <c r="A1205" s="24">
        <v>44020</v>
      </c>
      <c r="B1205" s="1">
        <v>44020</v>
      </c>
      <c r="C1205">
        <v>0.18</v>
      </c>
      <c r="D1205">
        <v>0.25</v>
      </c>
      <c r="E1205">
        <v>0.34</v>
      </c>
      <c r="F1205">
        <v>0.68</v>
      </c>
      <c r="G1205">
        <v>1.6</v>
      </c>
      <c r="H1205">
        <v>2.04</v>
      </c>
      <c r="I1205">
        <v>3.21</v>
      </c>
      <c r="J1205">
        <v>3.67</v>
      </c>
      <c r="K1205">
        <v>4.1500000000000004</v>
      </c>
      <c r="M1205" s="3"/>
      <c r="N1205" s="17"/>
      <c r="O1205" s="17"/>
      <c r="P1205" s="17"/>
      <c r="Q1205" s="17"/>
      <c r="R1205" s="17"/>
      <c r="S1205" s="17"/>
      <c r="T1205" s="17"/>
      <c r="U1205" s="17"/>
      <c r="V1205" s="17"/>
      <c r="AE1205" s="2"/>
      <c r="AQ1205" s="2"/>
      <c r="AR1205" s="2"/>
      <c r="AS1205" s="2"/>
      <c r="AT1205" s="2"/>
      <c r="AU1205" s="2"/>
      <c r="AV1205" s="2"/>
      <c r="AW1205" s="2"/>
      <c r="AX1205" s="2"/>
      <c r="AY1205" s="2"/>
    </row>
    <row r="1206" spans="1:51" x14ac:dyDescent="0.25">
      <c r="A1206" s="24">
        <v>44019</v>
      </c>
      <c r="B1206" s="1">
        <v>44019</v>
      </c>
      <c r="C1206">
        <v>0.16</v>
      </c>
      <c r="D1206">
        <v>0.23</v>
      </c>
      <c r="E1206">
        <v>0.31</v>
      </c>
      <c r="F1206">
        <v>0.63</v>
      </c>
      <c r="G1206">
        <v>1.55</v>
      </c>
      <c r="H1206">
        <v>2</v>
      </c>
      <c r="I1206">
        <v>3.28</v>
      </c>
      <c r="J1206">
        <v>3.78</v>
      </c>
      <c r="K1206">
        <v>4.18</v>
      </c>
      <c r="M1206" s="3"/>
      <c r="N1206" s="17"/>
      <c r="O1206" s="17"/>
      <c r="P1206" s="17"/>
      <c r="Q1206" s="17"/>
      <c r="R1206" s="17"/>
      <c r="S1206" s="17"/>
      <c r="T1206" s="17"/>
      <c r="U1206" s="17"/>
      <c r="V1206" s="17"/>
      <c r="AE1206" s="2"/>
      <c r="AQ1206" s="2"/>
      <c r="AR1206" s="2"/>
      <c r="AS1206" s="2"/>
      <c r="AT1206" s="2"/>
      <c r="AU1206" s="2"/>
      <c r="AV1206" s="2"/>
      <c r="AW1206" s="2"/>
      <c r="AX1206" s="2"/>
      <c r="AY1206" s="2"/>
    </row>
    <row r="1207" spans="1:51" x14ac:dyDescent="0.25">
      <c r="A1207" s="24">
        <v>44018</v>
      </c>
      <c r="B1207" s="1">
        <v>44018</v>
      </c>
      <c r="C1207">
        <v>0.19</v>
      </c>
      <c r="D1207">
        <v>0.28000000000000003</v>
      </c>
      <c r="E1207">
        <v>0.37</v>
      </c>
      <c r="F1207">
        <v>0.68</v>
      </c>
      <c r="G1207">
        <v>1.68</v>
      </c>
      <c r="H1207">
        <v>2.12</v>
      </c>
      <c r="I1207">
        <v>3.18</v>
      </c>
      <c r="J1207">
        <v>3.77</v>
      </c>
      <c r="K1207">
        <v>4.21</v>
      </c>
      <c r="M1207" s="3"/>
      <c r="N1207" s="17"/>
      <c r="O1207" s="17"/>
      <c r="P1207" s="17"/>
      <c r="Q1207" s="17"/>
      <c r="R1207" s="17"/>
      <c r="S1207" s="17"/>
      <c r="T1207" s="17"/>
      <c r="U1207" s="17"/>
      <c r="V1207" s="17"/>
      <c r="AE1207" s="2"/>
      <c r="AQ1207" s="2"/>
      <c r="AR1207" s="2"/>
      <c r="AS1207" s="2"/>
      <c r="AT1207" s="2"/>
      <c r="AU1207" s="2"/>
      <c r="AV1207" s="2"/>
      <c r="AW1207" s="2"/>
      <c r="AX1207" s="2"/>
      <c r="AY1207" s="2"/>
    </row>
    <row r="1208" spans="1:51" x14ac:dyDescent="0.25">
      <c r="A1208" s="24">
        <v>44015</v>
      </c>
      <c r="B1208" s="1">
        <v>44015</v>
      </c>
      <c r="C1208">
        <v>0.2</v>
      </c>
      <c r="D1208">
        <v>0.3</v>
      </c>
      <c r="E1208">
        <v>0.4</v>
      </c>
      <c r="F1208">
        <v>0.69</v>
      </c>
      <c r="G1208">
        <v>1.69</v>
      </c>
      <c r="H1208">
        <v>2.13</v>
      </c>
      <c r="I1208">
        <v>3.16</v>
      </c>
      <c r="J1208">
        <v>3.68</v>
      </c>
      <c r="K1208">
        <v>4.17</v>
      </c>
      <c r="M1208" s="3"/>
      <c r="N1208" s="17"/>
      <c r="O1208" s="17"/>
      <c r="P1208" s="17"/>
      <c r="Q1208" s="17"/>
      <c r="R1208" s="17"/>
      <c r="S1208" s="17"/>
      <c r="T1208" s="17"/>
      <c r="U1208" s="17"/>
      <c r="V1208" s="17"/>
      <c r="AE1208" s="2"/>
      <c r="AQ1208" s="2"/>
      <c r="AR1208" s="2"/>
      <c r="AS1208" s="2"/>
      <c r="AT1208" s="2"/>
      <c r="AU1208" s="2"/>
      <c r="AV1208" s="2"/>
      <c r="AW1208" s="2"/>
      <c r="AX1208" s="2"/>
      <c r="AY1208" s="2"/>
    </row>
    <row r="1209" spans="1:51" x14ac:dyDescent="0.25">
      <c r="A1209" s="24">
        <v>44014</v>
      </c>
      <c r="B1209" s="1">
        <v>44014</v>
      </c>
      <c r="C1209">
        <v>0.19</v>
      </c>
      <c r="D1209">
        <v>0.28999999999999998</v>
      </c>
      <c r="E1209">
        <v>0.39</v>
      </c>
      <c r="F1209">
        <v>0.68</v>
      </c>
      <c r="G1209">
        <v>1.68</v>
      </c>
      <c r="H1209">
        <v>2.1</v>
      </c>
      <c r="I1209">
        <v>3.13</v>
      </c>
      <c r="J1209">
        <v>3.77</v>
      </c>
      <c r="K1209">
        <v>4.21</v>
      </c>
      <c r="M1209" s="3"/>
      <c r="N1209" s="17"/>
      <c r="O1209" s="17"/>
      <c r="P1209" s="17"/>
      <c r="Q1209" s="17"/>
      <c r="R1209" s="17"/>
      <c r="S1209" s="17"/>
      <c r="T1209" s="17"/>
      <c r="U1209" s="17"/>
      <c r="V1209" s="17"/>
      <c r="AE1209" s="2"/>
      <c r="AQ1209" s="2"/>
      <c r="AR1209" s="2"/>
      <c r="AS1209" s="2"/>
      <c r="AT1209" s="2"/>
      <c r="AU1209" s="2"/>
      <c r="AV1209" s="2"/>
      <c r="AW1209" s="2"/>
      <c r="AX1209" s="2"/>
      <c r="AY1209" s="2"/>
    </row>
    <row r="1210" spans="1:51" x14ac:dyDescent="0.25">
      <c r="A1210" s="24">
        <v>44013</v>
      </c>
      <c r="B1210" s="1">
        <v>44013</v>
      </c>
      <c r="C1210">
        <v>0.19</v>
      </c>
      <c r="D1210">
        <v>0.28999999999999998</v>
      </c>
      <c r="E1210">
        <v>0.4</v>
      </c>
      <c r="F1210">
        <v>0.69</v>
      </c>
      <c r="G1210">
        <v>1.74</v>
      </c>
      <c r="H1210">
        <v>2.2200000000000002</v>
      </c>
      <c r="I1210">
        <v>3.22</v>
      </c>
      <c r="J1210">
        <v>3.7</v>
      </c>
      <c r="K1210">
        <v>4.13</v>
      </c>
      <c r="M1210" s="3"/>
      <c r="N1210" s="17"/>
      <c r="O1210" s="17"/>
      <c r="P1210" s="17"/>
      <c r="Q1210" s="17"/>
      <c r="R1210" s="17"/>
      <c r="S1210" s="17"/>
      <c r="T1210" s="17"/>
      <c r="U1210" s="17"/>
      <c r="V1210" s="17"/>
      <c r="AE1210" s="2"/>
      <c r="AQ1210" s="2"/>
      <c r="AR1210" s="2"/>
      <c r="AS1210" s="2"/>
      <c r="AT1210" s="2"/>
      <c r="AU1210" s="2"/>
      <c r="AV1210" s="2"/>
      <c r="AW1210" s="2"/>
      <c r="AX1210" s="2"/>
      <c r="AY1210" s="2"/>
    </row>
    <row r="1211" spans="1:51" x14ac:dyDescent="0.25">
      <c r="A1211" s="24">
        <v>44012</v>
      </c>
      <c r="B1211" s="1">
        <v>44012</v>
      </c>
      <c r="C1211">
        <v>0.19</v>
      </c>
      <c r="D1211">
        <v>0.28999999999999998</v>
      </c>
      <c r="E1211">
        <v>0.4</v>
      </c>
      <c r="F1211">
        <v>0.65</v>
      </c>
      <c r="G1211">
        <v>1.7</v>
      </c>
      <c r="H1211">
        <v>2.13</v>
      </c>
      <c r="I1211">
        <v>3.27</v>
      </c>
      <c r="J1211">
        <v>3.82</v>
      </c>
      <c r="K1211">
        <v>4.22</v>
      </c>
      <c r="M1211" s="3"/>
      <c r="N1211" s="17"/>
      <c r="O1211" s="17"/>
      <c r="P1211" s="17"/>
      <c r="Q1211" s="17"/>
      <c r="R1211" s="17"/>
      <c r="S1211" s="17"/>
      <c r="T1211" s="17"/>
      <c r="U1211" s="17"/>
      <c r="V1211" s="17"/>
      <c r="AE1211" s="2"/>
      <c r="AQ1211" s="2"/>
      <c r="AR1211" s="2"/>
      <c r="AS1211" s="2"/>
      <c r="AT1211" s="2"/>
      <c r="AU1211" s="2"/>
      <c r="AV1211" s="2"/>
      <c r="AW1211" s="2"/>
      <c r="AX1211" s="2"/>
      <c r="AY1211" s="2"/>
    </row>
    <row r="1212" spans="1:51" x14ac:dyDescent="0.25">
      <c r="A1212" s="24">
        <v>44011</v>
      </c>
      <c r="B1212" s="1">
        <v>44011</v>
      </c>
      <c r="C1212">
        <v>0.19</v>
      </c>
      <c r="D1212">
        <v>0.28000000000000003</v>
      </c>
      <c r="E1212">
        <v>0.39</v>
      </c>
      <c r="F1212">
        <v>0.69</v>
      </c>
      <c r="G1212">
        <v>1.7</v>
      </c>
      <c r="H1212">
        <v>2.14</v>
      </c>
      <c r="I1212">
        <v>3.19</v>
      </c>
      <c r="J1212">
        <v>3.77</v>
      </c>
      <c r="K1212">
        <v>4.17</v>
      </c>
      <c r="M1212" s="3"/>
      <c r="N1212" s="17"/>
      <c r="O1212" s="17"/>
      <c r="P1212" s="17"/>
      <c r="Q1212" s="17"/>
      <c r="R1212" s="17"/>
      <c r="S1212" s="17"/>
      <c r="T1212" s="17"/>
      <c r="U1212" s="17"/>
      <c r="V1212" s="17"/>
      <c r="AE1212" s="2"/>
      <c r="AQ1212" s="2"/>
      <c r="AR1212" s="2"/>
      <c r="AS1212" s="2"/>
      <c r="AT1212" s="2"/>
      <c r="AU1212" s="2"/>
      <c r="AV1212" s="2"/>
      <c r="AW1212" s="2"/>
      <c r="AX1212" s="2"/>
      <c r="AY1212" s="2"/>
    </row>
    <row r="1213" spans="1:51" x14ac:dyDescent="0.25">
      <c r="A1213" s="24">
        <v>44008</v>
      </c>
      <c r="B1213" s="1">
        <v>44008</v>
      </c>
      <c r="C1213">
        <v>0.19</v>
      </c>
      <c r="D1213">
        <v>0.28000000000000003</v>
      </c>
      <c r="E1213">
        <v>0.39</v>
      </c>
      <c r="F1213">
        <v>0.66</v>
      </c>
      <c r="G1213">
        <v>1.77</v>
      </c>
      <c r="H1213">
        <v>2.13</v>
      </c>
      <c r="I1213">
        <v>3.2</v>
      </c>
      <c r="J1213">
        <v>3.77</v>
      </c>
      <c r="K1213">
        <v>4.17</v>
      </c>
      <c r="M1213" s="3"/>
      <c r="N1213" s="17"/>
      <c r="O1213" s="17"/>
      <c r="P1213" s="17"/>
      <c r="Q1213" s="17"/>
      <c r="R1213" s="17"/>
      <c r="S1213" s="17"/>
      <c r="T1213" s="17"/>
      <c r="U1213" s="17"/>
      <c r="V1213" s="17"/>
      <c r="AE1213" s="2"/>
      <c r="AQ1213" s="2"/>
      <c r="AR1213" s="2"/>
      <c r="AS1213" s="2"/>
      <c r="AT1213" s="2"/>
      <c r="AU1213" s="2"/>
      <c r="AV1213" s="2"/>
      <c r="AW1213" s="2"/>
      <c r="AX1213" s="2"/>
      <c r="AY1213" s="2"/>
    </row>
    <row r="1214" spans="1:51" x14ac:dyDescent="0.25">
      <c r="A1214" s="24">
        <v>44007</v>
      </c>
      <c r="B1214" s="1">
        <v>44007</v>
      </c>
      <c r="C1214">
        <v>0.19</v>
      </c>
      <c r="D1214">
        <v>0.28999999999999998</v>
      </c>
      <c r="E1214">
        <v>0.4</v>
      </c>
      <c r="F1214">
        <v>0.68</v>
      </c>
      <c r="G1214">
        <v>1.83</v>
      </c>
      <c r="H1214">
        <v>2.2200000000000002</v>
      </c>
      <c r="I1214">
        <v>3.23</v>
      </c>
      <c r="J1214">
        <v>3.73</v>
      </c>
      <c r="K1214">
        <v>4.1399999999999997</v>
      </c>
      <c r="M1214" s="3"/>
      <c r="N1214" s="17"/>
      <c r="O1214" s="17"/>
      <c r="P1214" s="17"/>
      <c r="Q1214" s="17"/>
      <c r="R1214" s="17"/>
      <c r="S1214" s="17"/>
      <c r="T1214" s="17"/>
      <c r="U1214" s="17"/>
      <c r="V1214" s="17"/>
      <c r="AE1214" s="2"/>
      <c r="AQ1214" s="2"/>
      <c r="AR1214" s="2"/>
      <c r="AS1214" s="2"/>
      <c r="AT1214" s="2"/>
      <c r="AU1214" s="2"/>
      <c r="AV1214" s="2"/>
      <c r="AW1214" s="2"/>
      <c r="AX1214" s="2"/>
      <c r="AY1214" s="2"/>
    </row>
    <row r="1215" spans="1:51" x14ac:dyDescent="0.25">
      <c r="A1215" s="24">
        <v>44006</v>
      </c>
      <c r="B1215" s="1">
        <v>44006</v>
      </c>
      <c r="C1215">
        <v>0.18</v>
      </c>
      <c r="D1215">
        <v>0.28000000000000003</v>
      </c>
      <c r="E1215">
        <v>0.4</v>
      </c>
      <c r="F1215">
        <v>0.67</v>
      </c>
      <c r="G1215">
        <v>1.87</v>
      </c>
      <c r="H1215">
        <v>2.23</v>
      </c>
      <c r="I1215">
        <v>3.28</v>
      </c>
      <c r="J1215">
        <v>3.76</v>
      </c>
      <c r="K1215">
        <v>4.18</v>
      </c>
      <c r="M1215" s="3"/>
      <c r="N1215" s="17"/>
      <c r="O1215" s="17"/>
      <c r="P1215" s="17"/>
      <c r="Q1215" s="17"/>
      <c r="R1215" s="17"/>
      <c r="S1215" s="17"/>
      <c r="T1215" s="17"/>
      <c r="U1215" s="17"/>
      <c r="V1215" s="17"/>
      <c r="AE1215" s="2"/>
      <c r="AQ1215" s="2"/>
      <c r="AR1215" s="2"/>
      <c r="AS1215" s="2"/>
      <c r="AT1215" s="2"/>
      <c r="AU1215" s="2"/>
      <c r="AV1215" s="2"/>
      <c r="AW1215" s="2"/>
      <c r="AX1215" s="2"/>
      <c r="AY1215" s="2"/>
    </row>
    <row r="1216" spans="1:51" x14ac:dyDescent="0.25">
      <c r="A1216" s="24">
        <v>44005</v>
      </c>
      <c r="B1216" s="1">
        <v>44005</v>
      </c>
      <c r="C1216">
        <v>0.2</v>
      </c>
      <c r="D1216">
        <v>0.3</v>
      </c>
      <c r="E1216">
        <v>0.43</v>
      </c>
      <c r="F1216">
        <v>0.79</v>
      </c>
      <c r="G1216">
        <v>1.83</v>
      </c>
      <c r="H1216">
        <v>2.2000000000000002</v>
      </c>
      <c r="I1216">
        <v>3.17</v>
      </c>
      <c r="J1216">
        <v>3.73</v>
      </c>
      <c r="K1216">
        <v>4.17</v>
      </c>
      <c r="M1216" s="3"/>
      <c r="N1216" s="17"/>
      <c r="O1216" s="17"/>
      <c r="P1216" s="17"/>
      <c r="Q1216" s="17"/>
      <c r="R1216" s="17"/>
      <c r="S1216" s="17"/>
      <c r="T1216" s="17"/>
      <c r="U1216" s="17"/>
      <c r="V1216" s="17"/>
      <c r="AE1216" s="2"/>
      <c r="AQ1216" s="2"/>
      <c r="AR1216" s="2"/>
      <c r="AS1216" s="2"/>
      <c r="AT1216" s="2"/>
      <c r="AU1216" s="2"/>
      <c r="AV1216" s="2"/>
      <c r="AW1216" s="2"/>
      <c r="AX1216" s="2"/>
      <c r="AY1216" s="2"/>
    </row>
    <row r="1217" spans="1:51" x14ac:dyDescent="0.25">
      <c r="A1217" s="24">
        <v>44004</v>
      </c>
      <c r="B1217" s="1">
        <v>44004</v>
      </c>
      <c r="C1217">
        <v>0.18</v>
      </c>
      <c r="D1217">
        <v>0.27</v>
      </c>
      <c r="E1217">
        <v>0.39</v>
      </c>
      <c r="F1217">
        <v>0.8</v>
      </c>
      <c r="G1217">
        <v>1.85</v>
      </c>
      <c r="H1217">
        <v>2.23</v>
      </c>
      <c r="I1217">
        <v>3.23</v>
      </c>
      <c r="J1217">
        <v>3.86</v>
      </c>
      <c r="K1217">
        <v>4.22</v>
      </c>
      <c r="M1217" s="3"/>
      <c r="N1217" s="17"/>
      <c r="O1217" s="17"/>
      <c r="P1217" s="17"/>
      <c r="Q1217" s="17"/>
      <c r="R1217" s="17"/>
      <c r="S1217" s="17"/>
      <c r="T1217" s="17"/>
      <c r="U1217" s="17"/>
      <c r="V1217" s="17"/>
      <c r="AE1217" s="2"/>
      <c r="AQ1217" s="2"/>
      <c r="AR1217" s="2"/>
      <c r="AS1217" s="2"/>
      <c r="AT1217" s="2"/>
      <c r="AU1217" s="2"/>
      <c r="AV1217" s="2"/>
      <c r="AW1217" s="2"/>
      <c r="AX1217" s="2"/>
      <c r="AY1217" s="2"/>
    </row>
    <row r="1218" spans="1:51" x14ac:dyDescent="0.25">
      <c r="A1218" s="24">
        <v>44001</v>
      </c>
      <c r="B1218" s="1">
        <v>44001</v>
      </c>
      <c r="C1218">
        <v>0.19</v>
      </c>
      <c r="D1218">
        <v>0.31</v>
      </c>
      <c r="E1218">
        <v>0.43</v>
      </c>
      <c r="F1218">
        <v>0.81</v>
      </c>
      <c r="G1218">
        <v>1.87</v>
      </c>
      <c r="H1218">
        <v>2.27</v>
      </c>
      <c r="I1218">
        <v>3.26</v>
      </c>
      <c r="J1218">
        <v>3.75</v>
      </c>
      <c r="K1218">
        <v>4.13</v>
      </c>
      <c r="M1218" s="3"/>
      <c r="N1218" s="17"/>
      <c r="O1218" s="17"/>
      <c r="P1218" s="17"/>
      <c r="Q1218" s="17"/>
      <c r="R1218" s="17"/>
      <c r="S1218" s="17"/>
      <c r="T1218" s="17"/>
      <c r="U1218" s="17"/>
      <c r="V1218" s="17"/>
      <c r="AE1218" s="2"/>
      <c r="AQ1218" s="2"/>
      <c r="AR1218" s="2"/>
      <c r="AS1218" s="2"/>
      <c r="AT1218" s="2"/>
      <c r="AU1218" s="2"/>
      <c r="AV1218" s="2"/>
      <c r="AW1218" s="2"/>
      <c r="AX1218" s="2"/>
      <c r="AY1218" s="2"/>
    </row>
    <row r="1219" spans="1:51" x14ac:dyDescent="0.25">
      <c r="A1219" s="24">
        <v>44000</v>
      </c>
      <c r="B1219" s="1">
        <v>44000</v>
      </c>
      <c r="C1219">
        <v>0.19</v>
      </c>
      <c r="D1219">
        <v>0.28999999999999998</v>
      </c>
      <c r="E1219">
        <v>0.42</v>
      </c>
      <c r="F1219">
        <v>0.8</v>
      </c>
      <c r="G1219">
        <v>1.84</v>
      </c>
      <c r="H1219">
        <v>2.2400000000000002</v>
      </c>
      <c r="I1219">
        <v>3.21</v>
      </c>
      <c r="J1219">
        <v>3.67</v>
      </c>
      <c r="K1219">
        <v>4.0999999999999996</v>
      </c>
      <c r="M1219" s="3"/>
      <c r="N1219" s="17"/>
      <c r="O1219" s="17"/>
      <c r="P1219" s="17"/>
      <c r="Q1219" s="17"/>
      <c r="R1219" s="17"/>
      <c r="S1219" s="17"/>
      <c r="T1219" s="17"/>
      <c r="U1219" s="17"/>
      <c r="V1219" s="17"/>
      <c r="AE1219" s="2"/>
      <c r="AQ1219" s="2"/>
      <c r="AR1219" s="2"/>
      <c r="AS1219" s="2"/>
      <c r="AT1219" s="2"/>
      <c r="AU1219" s="2"/>
      <c r="AV1219" s="2"/>
      <c r="AW1219" s="2"/>
      <c r="AX1219" s="2"/>
      <c r="AY1219" s="2"/>
    </row>
    <row r="1220" spans="1:51" x14ac:dyDescent="0.25">
      <c r="A1220" s="24">
        <v>43999</v>
      </c>
      <c r="B1220" s="1">
        <v>43999</v>
      </c>
      <c r="C1220">
        <v>0.21</v>
      </c>
      <c r="D1220">
        <v>0.31</v>
      </c>
      <c r="E1220">
        <v>0.45</v>
      </c>
      <c r="F1220">
        <v>0.87</v>
      </c>
      <c r="G1220">
        <v>1.84</v>
      </c>
      <c r="H1220">
        <v>2.2400000000000002</v>
      </c>
      <c r="I1220">
        <v>3.23</v>
      </c>
      <c r="J1220">
        <v>3.8</v>
      </c>
      <c r="K1220">
        <v>4.18</v>
      </c>
      <c r="M1220" s="3"/>
      <c r="N1220" s="17"/>
      <c r="O1220" s="17"/>
      <c r="P1220" s="17"/>
      <c r="Q1220" s="17"/>
      <c r="R1220" s="17"/>
      <c r="S1220" s="17"/>
      <c r="T1220" s="17"/>
      <c r="U1220" s="17"/>
      <c r="V1220" s="17"/>
      <c r="AE1220" s="2"/>
      <c r="AQ1220" s="2"/>
      <c r="AR1220" s="2"/>
      <c r="AS1220" s="2"/>
      <c r="AT1220" s="2"/>
      <c r="AU1220" s="2"/>
      <c r="AV1220" s="2"/>
      <c r="AW1220" s="2"/>
      <c r="AX1220" s="2"/>
      <c r="AY1220" s="2"/>
    </row>
    <row r="1221" spans="1:51" x14ac:dyDescent="0.25">
      <c r="A1221" s="24">
        <v>43998</v>
      </c>
      <c r="B1221" s="1">
        <v>43998</v>
      </c>
      <c r="C1221">
        <v>0.21</v>
      </c>
      <c r="D1221">
        <v>0.31</v>
      </c>
      <c r="E1221">
        <v>0.47</v>
      </c>
      <c r="F1221">
        <v>0.86</v>
      </c>
      <c r="G1221">
        <v>1.9</v>
      </c>
      <c r="H1221">
        <v>2.27</v>
      </c>
      <c r="I1221">
        <v>3.29</v>
      </c>
      <c r="J1221">
        <v>3.8</v>
      </c>
      <c r="K1221">
        <v>4.18</v>
      </c>
      <c r="M1221" s="3"/>
      <c r="N1221" s="17"/>
      <c r="O1221" s="17"/>
      <c r="P1221" s="17"/>
      <c r="Q1221" s="17"/>
      <c r="R1221" s="17"/>
      <c r="S1221" s="17"/>
      <c r="T1221" s="17"/>
      <c r="U1221" s="17"/>
      <c r="V1221" s="17"/>
      <c r="AE1221" s="2"/>
      <c r="AQ1221" s="2"/>
      <c r="AR1221" s="2"/>
      <c r="AS1221" s="2"/>
      <c r="AT1221" s="2"/>
      <c r="AU1221" s="2"/>
      <c r="AV1221" s="2"/>
      <c r="AW1221" s="2"/>
      <c r="AX1221" s="2"/>
      <c r="AY1221" s="2"/>
    </row>
    <row r="1222" spans="1:51" x14ac:dyDescent="0.25">
      <c r="A1222" s="24">
        <v>43997</v>
      </c>
      <c r="B1222" s="1">
        <v>43997</v>
      </c>
      <c r="C1222">
        <v>0.21</v>
      </c>
      <c r="D1222">
        <v>0.31</v>
      </c>
      <c r="E1222">
        <v>0.47</v>
      </c>
      <c r="F1222">
        <v>0.89</v>
      </c>
      <c r="G1222">
        <v>1.94</v>
      </c>
      <c r="H1222">
        <v>2.31</v>
      </c>
      <c r="I1222">
        <v>3.29</v>
      </c>
      <c r="J1222">
        <v>3.8</v>
      </c>
      <c r="K1222">
        <v>4.18</v>
      </c>
      <c r="M1222" s="3"/>
      <c r="N1222" s="17"/>
      <c r="O1222" s="17"/>
      <c r="P1222" s="17"/>
      <c r="Q1222" s="17"/>
      <c r="R1222" s="17"/>
      <c r="S1222" s="17"/>
      <c r="T1222" s="17"/>
      <c r="U1222" s="17"/>
      <c r="V1222" s="17"/>
      <c r="AE1222" s="2"/>
      <c r="AQ1222" s="2"/>
      <c r="AR1222" s="2"/>
      <c r="AS1222" s="2"/>
      <c r="AT1222" s="2"/>
      <c r="AU1222" s="2"/>
      <c r="AV1222" s="2"/>
      <c r="AW1222" s="2"/>
      <c r="AX1222" s="2"/>
      <c r="AY1222" s="2"/>
    </row>
    <row r="1223" spans="1:51" x14ac:dyDescent="0.25">
      <c r="A1223" s="24">
        <v>43994</v>
      </c>
      <c r="B1223" s="1">
        <v>43994</v>
      </c>
      <c r="C1223">
        <v>0.23</v>
      </c>
      <c r="D1223">
        <v>0.34</v>
      </c>
      <c r="E1223">
        <v>0.48</v>
      </c>
      <c r="F1223">
        <v>1.02</v>
      </c>
      <c r="G1223">
        <v>1.98</v>
      </c>
      <c r="H1223">
        <v>2.33</v>
      </c>
      <c r="I1223">
        <v>3.18</v>
      </c>
      <c r="J1223">
        <v>3.7</v>
      </c>
      <c r="K1223">
        <v>4.12</v>
      </c>
      <c r="M1223" s="3"/>
      <c r="N1223" s="17"/>
      <c r="O1223" s="17"/>
      <c r="P1223" s="17"/>
      <c r="Q1223" s="17"/>
      <c r="R1223" s="17"/>
      <c r="S1223" s="17"/>
      <c r="T1223" s="17"/>
      <c r="U1223" s="17"/>
      <c r="V1223" s="17"/>
      <c r="AE1223" s="2"/>
      <c r="AQ1223" s="2"/>
      <c r="AR1223" s="2"/>
      <c r="AS1223" s="2"/>
      <c r="AT1223" s="2"/>
      <c r="AU1223" s="2"/>
      <c r="AV1223" s="2"/>
      <c r="AW1223" s="2"/>
      <c r="AX1223" s="2"/>
      <c r="AY1223" s="2"/>
    </row>
    <row r="1224" spans="1:51" x14ac:dyDescent="0.25">
      <c r="A1224" s="24">
        <v>43993</v>
      </c>
      <c r="B1224" s="1">
        <v>43993</v>
      </c>
      <c r="C1224">
        <v>0.25</v>
      </c>
      <c r="D1224">
        <v>0.41</v>
      </c>
      <c r="E1224">
        <v>0.53</v>
      </c>
      <c r="F1224">
        <v>1.1000000000000001</v>
      </c>
      <c r="G1224">
        <v>2.08</v>
      </c>
      <c r="H1224">
        <v>2.42</v>
      </c>
      <c r="I1224">
        <v>3.35</v>
      </c>
      <c r="J1224">
        <v>3.9</v>
      </c>
      <c r="K1224">
        <v>4.3</v>
      </c>
      <c r="M1224" s="3"/>
      <c r="N1224" s="17"/>
      <c r="O1224" s="17"/>
      <c r="P1224" s="17"/>
      <c r="Q1224" s="17"/>
      <c r="R1224" s="17"/>
      <c r="S1224" s="17"/>
      <c r="T1224" s="17"/>
      <c r="U1224" s="17"/>
      <c r="V1224" s="17"/>
      <c r="AE1224" s="2"/>
      <c r="AQ1224" s="2"/>
      <c r="AR1224" s="2"/>
      <c r="AS1224" s="2"/>
      <c r="AT1224" s="2"/>
      <c r="AU1224" s="2"/>
      <c r="AV1224" s="2"/>
      <c r="AW1224" s="2"/>
      <c r="AX1224" s="2"/>
      <c r="AY1224" s="2"/>
    </row>
    <row r="1225" spans="1:51" x14ac:dyDescent="0.25">
      <c r="A1225" s="24">
        <v>43992</v>
      </c>
      <c r="B1225" s="1">
        <v>43992</v>
      </c>
      <c r="C1225">
        <v>0.28999999999999998</v>
      </c>
      <c r="D1225">
        <v>0.43</v>
      </c>
      <c r="E1225">
        <v>0.54</v>
      </c>
      <c r="F1225">
        <v>1.04</v>
      </c>
      <c r="G1225">
        <v>1.96</v>
      </c>
      <c r="H1225">
        <v>2.33</v>
      </c>
      <c r="I1225">
        <v>3.24</v>
      </c>
      <c r="J1225">
        <v>3.75</v>
      </c>
      <c r="K1225">
        <v>4.18</v>
      </c>
      <c r="M1225" s="3"/>
      <c r="N1225" s="17"/>
      <c r="O1225" s="17"/>
      <c r="P1225" s="17"/>
      <c r="Q1225" s="17"/>
      <c r="R1225" s="17"/>
      <c r="S1225" s="17"/>
      <c r="T1225" s="17"/>
      <c r="U1225" s="17"/>
      <c r="V1225" s="17"/>
      <c r="AE1225" s="2"/>
      <c r="AQ1225" s="2"/>
      <c r="AR1225" s="2"/>
      <c r="AS1225" s="2"/>
      <c r="AT1225" s="2"/>
      <c r="AU1225" s="2"/>
      <c r="AV1225" s="2"/>
      <c r="AW1225" s="2"/>
      <c r="AX1225" s="2"/>
      <c r="AY1225" s="2"/>
    </row>
    <row r="1226" spans="1:51" x14ac:dyDescent="0.25">
      <c r="A1226" s="24">
        <v>43991</v>
      </c>
      <c r="B1226" s="1">
        <v>43991</v>
      </c>
      <c r="C1226">
        <v>0.28999999999999998</v>
      </c>
      <c r="D1226">
        <v>0.4</v>
      </c>
      <c r="E1226">
        <v>0.56999999999999995</v>
      </c>
      <c r="F1226">
        <v>1.1000000000000001</v>
      </c>
      <c r="G1226">
        <v>2.0499999999999998</v>
      </c>
      <c r="H1226">
        <v>2.37</v>
      </c>
      <c r="I1226">
        <v>3.4</v>
      </c>
      <c r="J1226">
        <v>3.87</v>
      </c>
      <c r="K1226">
        <v>4.24</v>
      </c>
      <c r="M1226" s="3"/>
      <c r="N1226" s="17"/>
      <c r="O1226" s="17"/>
      <c r="P1226" s="17"/>
      <c r="Q1226" s="17"/>
      <c r="R1226" s="17"/>
      <c r="S1226" s="17"/>
      <c r="T1226" s="17"/>
      <c r="U1226" s="17"/>
      <c r="V1226" s="17"/>
      <c r="AE1226" s="2"/>
      <c r="AQ1226" s="2"/>
      <c r="AR1226" s="2"/>
      <c r="AS1226" s="2"/>
      <c r="AT1226" s="2"/>
      <c r="AU1226" s="2"/>
      <c r="AV1226" s="2"/>
      <c r="AW1226" s="2"/>
      <c r="AX1226" s="2"/>
      <c r="AY1226" s="2"/>
    </row>
    <row r="1227" spans="1:51" x14ac:dyDescent="0.25">
      <c r="A1227" s="24">
        <v>43990</v>
      </c>
      <c r="B1227" s="1">
        <v>43990</v>
      </c>
      <c r="C1227">
        <v>0.32</v>
      </c>
      <c r="D1227">
        <v>0.52</v>
      </c>
      <c r="E1227">
        <v>0.7</v>
      </c>
      <c r="F1227">
        <v>1.25</v>
      </c>
      <c r="G1227">
        <v>2.13</v>
      </c>
      <c r="H1227">
        <v>2.5</v>
      </c>
      <c r="I1227">
        <v>3.38</v>
      </c>
      <c r="J1227">
        <v>3.83</v>
      </c>
      <c r="K1227">
        <v>4.2300000000000004</v>
      </c>
      <c r="M1227" s="3"/>
      <c r="N1227" s="17"/>
      <c r="O1227" s="17"/>
      <c r="P1227" s="17"/>
      <c r="Q1227" s="17"/>
      <c r="R1227" s="17"/>
      <c r="S1227" s="17"/>
      <c r="T1227" s="17"/>
      <c r="U1227" s="17"/>
      <c r="V1227" s="17"/>
      <c r="AE1227" s="2"/>
      <c r="AQ1227" s="2"/>
      <c r="AR1227" s="2"/>
      <c r="AS1227" s="2"/>
      <c r="AT1227" s="2"/>
      <c r="AU1227" s="2"/>
      <c r="AV1227" s="2"/>
      <c r="AW1227" s="2"/>
      <c r="AX1227" s="2"/>
      <c r="AY1227" s="2"/>
    </row>
    <row r="1228" spans="1:51" x14ac:dyDescent="0.25">
      <c r="A1228" s="24">
        <v>43987</v>
      </c>
      <c r="B1228" s="1">
        <v>43987</v>
      </c>
      <c r="C1228">
        <v>0.33</v>
      </c>
      <c r="D1228">
        <v>0.54</v>
      </c>
      <c r="E1228">
        <v>0.74</v>
      </c>
      <c r="F1228">
        <v>1.3</v>
      </c>
      <c r="G1228">
        <v>2.17</v>
      </c>
      <c r="H1228">
        <v>2.5299999999999998</v>
      </c>
      <c r="I1228">
        <v>3.41</v>
      </c>
      <c r="J1228">
        <v>3.88</v>
      </c>
      <c r="K1228">
        <v>4.3499999999999996</v>
      </c>
      <c r="M1228" s="3"/>
      <c r="N1228" s="17"/>
      <c r="O1228" s="17"/>
      <c r="P1228" s="17"/>
      <c r="Q1228" s="17"/>
      <c r="R1228" s="17"/>
      <c r="S1228" s="17"/>
      <c r="T1228" s="17"/>
      <c r="U1228" s="17"/>
      <c r="V1228" s="17"/>
      <c r="AE1228" s="2"/>
      <c r="AQ1228" s="2"/>
      <c r="AR1228" s="2"/>
      <c r="AS1228" s="2"/>
      <c r="AT1228" s="2"/>
      <c r="AU1228" s="2"/>
      <c r="AV1228" s="2"/>
      <c r="AW1228" s="2"/>
      <c r="AX1228" s="2"/>
      <c r="AY1228" s="2"/>
    </row>
    <row r="1229" spans="1:51" x14ac:dyDescent="0.25">
      <c r="A1229" s="24">
        <v>43986</v>
      </c>
      <c r="B1229" s="1">
        <v>43986</v>
      </c>
      <c r="C1229">
        <v>0.4</v>
      </c>
      <c r="D1229">
        <v>0.55000000000000004</v>
      </c>
      <c r="E1229">
        <v>0.75</v>
      </c>
      <c r="F1229">
        <v>1.32</v>
      </c>
      <c r="G1229">
        <v>2.15</v>
      </c>
      <c r="H1229">
        <v>2.52</v>
      </c>
      <c r="I1229">
        <v>3.38</v>
      </c>
      <c r="J1229">
        <v>3.86</v>
      </c>
      <c r="K1229">
        <v>4.3</v>
      </c>
      <c r="M1229" s="3"/>
      <c r="N1229" s="17"/>
      <c r="O1229" s="17"/>
      <c r="P1229" s="17"/>
      <c r="Q1229" s="17"/>
      <c r="R1229" s="17"/>
      <c r="S1229" s="17"/>
      <c r="T1229" s="17"/>
      <c r="U1229" s="17"/>
      <c r="V1229" s="17"/>
      <c r="AE1229" s="2"/>
      <c r="AQ1229" s="2"/>
      <c r="AR1229" s="2"/>
      <c r="AS1229" s="2"/>
      <c r="AT1229" s="2"/>
      <c r="AU1229" s="2"/>
      <c r="AV1229" s="2"/>
      <c r="AW1229" s="2"/>
      <c r="AX1229" s="2"/>
      <c r="AY1229" s="2"/>
    </row>
    <row r="1230" spans="1:51" x14ac:dyDescent="0.25">
      <c r="A1230" s="24">
        <v>43985</v>
      </c>
      <c r="B1230" s="1">
        <v>43985</v>
      </c>
      <c r="C1230">
        <v>0.45</v>
      </c>
      <c r="D1230">
        <v>0.63</v>
      </c>
      <c r="E1230">
        <v>0.83</v>
      </c>
      <c r="F1230">
        <v>1.37</v>
      </c>
      <c r="G1230">
        <v>2.2000000000000002</v>
      </c>
      <c r="H1230">
        <v>2.57</v>
      </c>
      <c r="I1230">
        <v>3.33</v>
      </c>
      <c r="J1230">
        <v>3.8</v>
      </c>
      <c r="K1230">
        <v>4.22</v>
      </c>
      <c r="M1230" s="3"/>
      <c r="N1230" s="17"/>
      <c r="O1230" s="17"/>
      <c r="P1230" s="17"/>
      <c r="Q1230" s="17"/>
      <c r="R1230" s="17"/>
      <c r="S1230" s="17"/>
      <c r="T1230" s="17"/>
      <c r="U1230" s="17"/>
      <c r="V1230" s="17"/>
      <c r="AE1230" s="2"/>
      <c r="AQ1230" s="2"/>
      <c r="AR1230" s="2"/>
      <c r="AS1230" s="2"/>
      <c r="AT1230" s="2"/>
      <c r="AU1230" s="2"/>
      <c r="AV1230" s="2"/>
      <c r="AW1230" s="2"/>
      <c r="AX1230" s="2"/>
      <c r="AY1230" s="2"/>
    </row>
    <row r="1231" spans="1:51" x14ac:dyDescent="0.25">
      <c r="A1231" s="24">
        <v>43984</v>
      </c>
      <c r="B1231" s="1">
        <v>43984</v>
      </c>
      <c r="C1231">
        <v>0.47</v>
      </c>
      <c r="D1231">
        <v>0.65</v>
      </c>
      <c r="E1231">
        <v>0.83</v>
      </c>
      <c r="F1231">
        <v>1.45</v>
      </c>
      <c r="G1231">
        <v>2.25</v>
      </c>
      <c r="H1231">
        <v>2.6</v>
      </c>
      <c r="I1231">
        <v>3.38</v>
      </c>
      <c r="J1231">
        <v>3.9</v>
      </c>
      <c r="K1231">
        <v>4.3</v>
      </c>
      <c r="M1231" s="3"/>
      <c r="N1231" s="17"/>
      <c r="O1231" s="17"/>
      <c r="P1231" s="17"/>
      <c r="Q1231" s="17"/>
      <c r="R1231" s="17"/>
      <c r="S1231" s="17"/>
      <c r="T1231" s="17"/>
      <c r="U1231" s="17"/>
      <c r="V1231" s="17"/>
      <c r="AE1231" s="2"/>
      <c r="AQ1231" s="2"/>
      <c r="AR1231" s="2"/>
      <c r="AS1231" s="2"/>
      <c r="AT1231" s="2"/>
      <c r="AU1231" s="2"/>
      <c r="AV1231" s="2"/>
      <c r="AW1231" s="2"/>
      <c r="AX1231" s="2"/>
      <c r="AY1231" s="2"/>
    </row>
    <row r="1232" spans="1:51" x14ac:dyDescent="0.25">
      <c r="A1232" s="24">
        <v>43983</v>
      </c>
      <c r="B1232" s="1">
        <v>43983</v>
      </c>
      <c r="C1232">
        <v>0.46</v>
      </c>
      <c r="D1232">
        <v>0.66</v>
      </c>
      <c r="E1232">
        <v>0.86</v>
      </c>
      <c r="F1232">
        <v>1.44</v>
      </c>
      <c r="G1232">
        <v>2.2599999999999998</v>
      </c>
      <c r="H1232">
        <v>2.63</v>
      </c>
      <c r="I1232">
        <v>3.39</v>
      </c>
      <c r="J1232">
        <v>3.9</v>
      </c>
      <c r="K1232">
        <v>4.2699999999999996</v>
      </c>
      <c r="M1232" s="3"/>
      <c r="N1232" s="17"/>
      <c r="O1232" s="17"/>
      <c r="P1232" s="17"/>
      <c r="Q1232" s="17"/>
      <c r="R1232" s="17"/>
      <c r="S1232" s="17"/>
      <c r="T1232" s="17"/>
      <c r="U1232" s="17"/>
      <c r="V1232" s="17"/>
      <c r="AE1232" s="2"/>
      <c r="AQ1232" s="2"/>
      <c r="AR1232" s="2"/>
      <c r="AS1232" s="2"/>
      <c r="AT1232" s="2"/>
      <c r="AU1232" s="2"/>
      <c r="AV1232" s="2"/>
      <c r="AW1232" s="2"/>
      <c r="AX1232" s="2"/>
      <c r="AY1232" s="2"/>
    </row>
    <row r="1233" spans="1:51" x14ac:dyDescent="0.25">
      <c r="A1233" s="24">
        <v>43980</v>
      </c>
      <c r="B1233" s="1">
        <v>43980</v>
      </c>
      <c r="C1233">
        <v>0.35</v>
      </c>
      <c r="D1233">
        <v>0.6</v>
      </c>
      <c r="E1233">
        <v>0.8</v>
      </c>
      <c r="F1233">
        <v>1.45</v>
      </c>
      <c r="G1233">
        <v>2.23</v>
      </c>
      <c r="H1233">
        <v>2.63</v>
      </c>
      <c r="I1233">
        <v>3.4</v>
      </c>
      <c r="J1233">
        <v>3.84</v>
      </c>
      <c r="K1233">
        <v>4.32</v>
      </c>
      <c r="M1233" s="3"/>
      <c r="N1233" s="17"/>
      <c r="O1233" s="17"/>
      <c r="P1233" s="17"/>
      <c r="Q1233" s="17"/>
      <c r="R1233" s="17"/>
      <c r="S1233" s="17"/>
      <c r="T1233" s="17"/>
      <c r="U1233" s="17"/>
      <c r="V1233" s="17"/>
      <c r="AE1233" s="2"/>
      <c r="AQ1233" s="2"/>
      <c r="AR1233" s="2"/>
      <c r="AS1233" s="2"/>
      <c r="AT1233" s="2"/>
      <c r="AU1233" s="2"/>
      <c r="AV1233" s="2"/>
      <c r="AW1233" s="2"/>
      <c r="AX1233" s="2"/>
      <c r="AY1233" s="2"/>
    </row>
    <row r="1234" spans="1:51" x14ac:dyDescent="0.25">
      <c r="A1234" s="24">
        <v>43979</v>
      </c>
      <c r="B1234" s="1">
        <v>43979</v>
      </c>
      <c r="C1234">
        <v>0.39</v>
      </c>
      <c r="D1234">
        <v>0.6</v>
      </c>
      <c r="E1234">
        <v>0.81</v>
      </c>
      <c r="F1234">
        <v>1.47</v>
      </c>
      <c r="G1234">
        <v>2.23</v>
      </c>
      <c r="H1234">
        <v>2.61</v>
      </c>
      <c r="I1234">
        <v>3.39</v>
      </c>
      <c r="J1234">
        <v>3.82</v>
      </c>
      <c r="K1234">
        <v>4.2699999999999996</v>
      </c>
      <c r="M1234" s="3"/>
      <c r="N1234" s="17"/>
      <c r="O1234" s="17"/>
      <c r="P1234" s="17"/>
      <c r="Q1234" s="17"/>
      <c r="R1234" s="17"/>
      <c r="S1234" s="17"/>
      <c r="T1234" s="17"/>
      <c r="U1234" s="17"/>
      <c r="V1234" s="17"/>
      <c r="AE1234" s="2"/>
      <c r="AQ1234" s="2"/>
      <c r="AR1234" s="2"/>
      <c r="AS1234" s="2"/>
      <c r="AT1234" s="2"/>
      <c r="AU1234" s="2"/>
      <c r="AV1234" s="2"/>
      <c r="AW1234" s="2"/>
      <c r="AX1234" s="2"/>
      <c r="AY1234" s="2"/>
    </row>
    <row r="1235" spans="1:51" x14ac:dyDescent="0.25">
      <c r="A1235" s="24">
        <v>43978</v>
      </c>
      <c r="B1235" s="1">
        <v>43978</v>
      </c>
      <c r="C1235">
        <v>0.42</v>
      </c>
      <c r="D1235">
        <v>0.6</v>
      </c>
      <c r="E1235">
        <v>0.8</v>
      </c>
      <c r="F1235">
        <v>1.48</v>
      </c>
      <c r="G1235">
        <v>2.23</v>
      </c>
      <c r="H1235">
        <v>2.58</v>
      </c>
      <c r="I1235">
        <v>3.45</v>
      </c>
      <c r="J1235">
        <v>3.94</v>
      </c>
      <c r="K1235">
        <v>4.3099999999999996</v>
      </c>
      <c r="M1235" s="3"/>
      <c r="N1235" s="17"/>
      <c r="O1235" s="17"/>
      <c r="P1235" s="17"/>
      <c r="Q1235" s="17"/>
      <c r="R1235" s="17"/>
      <c r="S1235" s="17"/>
      <c r="T1235" s="17"/>
      <c r="U1235" s="17"/>
      <c r="V1235" s="17"/>
      <c r="AE1235" s="2"/>
      <c r="AQ1235" s="2"/>
      <c r="AR1235" s="2"/>
      <c r="AS1235" s="2"/>
      <c r="AT1235" s="2"/>
      <c r="AU1235" s="2"/>
      <c r="AV1235" s="2"/>
      <c r="AW1235" s="2"/>
      <c r="AX1235" s="2"/>
      <c r="AY1235" s="2"/>
    </row>
    <row r="1236" spans="1:51" x14ac:dyDescent="0.25">
      <c r="A1236" s="24">
        <v>43977</v>
      </c>
      <c r="B1236" s="1">
        <v>43977</v>
      </c>
      <c r="C1236">
        <v>0.45</v>
      </c>
      <c r="D1236">
        <v>0.63</v>
      </c>
      <c r="E1236">
        <v>0.83</v>
      </c>
      <c r="F1236">
        <v>1.5</v>
      </c>
      <c r="G1236">
        <v>2.2200000000000002</v>
      </c>
      <c r="H1236">
        <v>2.58</v>
      </c>
      <c r="I1236">
        <v>3.48</v>
      </c>
      <c r="J1236">
        <v>3.96</v>
      </c>
      <c r="K1236">
        <v>4.34</v>
      </c>
      <c r="M1236" s="3"/>
      <c r="N1236" s="17"/>
      <c r="O1236" s="17"/>
      <c r="P1236" s="17"/>
      <c r="Q1236" s="17"/>
      <c r="R1236" s="17"/>
      <c r="S1236" s="17"/>
      <c r="T1236" s="17"/>
      <c r="U1236" s="17"/>
      <c r="V1236" s="17"/>
      <c r="AE1236" s="2"/>
      <c r="AQ1236" s="2"/>
      <c r="AR1236" s="2"/>
      <c r="AS1236" s="2"/>
      <c r="AT1236" s="2"/>
      <c r="AU1236" s="2"/>
      <c r="AV1236" s="2"/>
      <c r="AW1236" s="2"/>
      <c r="AX1236" s="2"/>
      <c r="AY1236" s="2"/>
    </row>
    <row r="1237" spans="1:51" x14ac:dyDescent="0.25">
      <c r="A1237" s="24">
        <v>43976</v>
      </c>
      <c r="B1237" s="1">
        <v>43976</v>
      </c>
      <c r="C1237">
        <v>0.52</v>
      </c>
      <c r="D1237">
        <v>0.68</v>
      </c>
      <c r="E1237">
        <v>0.88</v>
      </c>
      <c r="F1237">
        <v>1.5</v>
      </c>
      <c r="G1237">
        <v>2.2200000000000002</v>
      </c>
      <c r="H1237">
        <v>2.66</v>
      </c>
      <c r="I1237">
        <v>3.44</v>
      </c>
      <c r="J1237">
        <v>3.98</v>
      </c>
      <c r="K1237">
        <v>4.33</v>
      </c>
      <c r="M1237" s="3"/>
      <c r="N1237" s="17"/>
      <c r="O1237" s="17"/>
      <c r="P1237" s="17"/>
      <c r="Q1237" s="17"/>
      <c r="R1237" s="17"/>
      <c r="S1237" s="17"/>
      <c r="T1237" s="17"/>
      <c r="U1237" s="17"/>
      <c r="V1237" s="17"/>
      <c r="AE1237" s="2"/>
      <c r="AQ1237" s="2"/>
      <c r="AR1237" s="2"/>
      <c r="AS1237" s="2"/>
      <c r="AT1237" s="2"/>
      <c r="AU1237" s="2"/>
      <c r="AV1237" s="2"/>
      <c r="AW1237" s="2"/>
      <c r="AX1237" s="2"/>
      <c r="AY1237" s="2"/>
    </row>
    <row r="1238" spans="1:51" x14ac:dyDescent="0.25">
      <c r="A1238" s="24">
        <v>43973</v>
      </c>
      <c r="B1238" s="1">
        <v>43973</v>
      </c>
      <c r="C1238">
        <v>0.43</v>
      </c>
      <c r="D1238">
        <v>0.63</v>
      </c>
      <c r="E1238">
        <v>0.84</v>
      </c>
      <c r="F1238">
        <v>1.5</v>
      </c>
      <c r="G1238">
        <v>2.2599999999999998</v>
      </c>
      <c r="H1238">
        <v>2.61</v>
      </c>
      <c r="I1238">
        <v>3.43</v>
      </c>
      <c r="J1238">
        <v>3.97</v>
      </c>
      <c r="K1238">
        <v>4.28</v>
      </c>
      <c r="M1238" s="3"/>
      <c r="N1238" s="17"/>
      <c r="O1238" s="17"/>
      <c r="P1238" s="17"/>
      <c r="Q1238" s="17"/>
      <c r="R1238" s="17"/>
      <c r="S1238" s="17"/>
      <c r="T1238" s="17"/>
      <c r="U1238" s="17"/>
      <c r="V1238" s="17"/>
      <c r="AE1238" s="2"/>
      <c r="AQ1238" s="2"/>
      <c r="AR1238" s="2"/>
      <c r="AS1238" s="2"/>
      <c r="AT1238" s="2"/>
      <c r="AU1238" s="2"/>
      <c r="AV1238" s="2"/>
      <c r="AW1238" s="2"/>
      <c r="AX1238" s="2"/>
      <c r="AY1238" s="2"/>
    </row>
    <row r="1239" spans="1:51" x14ac:dyDescent="0.25">
      <c r="A1239" s="24">
        <v>43972</v>
      </c>
      <c r="B1239" s="1">
        <v>43972</v>
      </c>
      <c r="C1239">
        <v>0.46</v>
      </c>
      <c r="D1239">
        <v>0.66</v>
      </c>
      <c r="E1239">
        <v>0.93</v>
      </c>
      <c r="F1239">
        <v>1.56</v>
      </c>
      <c r="G1239">
        <v>2.2599999999999998</v>
      </c>
      <c r="H1239">
        <v>2.61</v>
      </c>
      <c r="I1239">
        <v>3.43</v>
      </c>
      <c r="J1239">
        <v>3.97</v>
      </c>
      <c r="K1239">
        <v>4.28</v>
      </c>
      <c r="M1239" s="3"/>
      <c r="N1239" s="17"/>
      <c r="O1239" s="17"/>
      <c r="P1239" s="17"/>
      <c r="Q1239" s="17"/>
      <c r="R1239" s="17"/>
      <c r="S1239" s="17"/>
      <c r="T1239" s="17"/>
      <c r="U1239" s="17"/>
      <c r="V1239" s="17"/>
      <c r="AE1239" s="2"/>
      <c r="AQ1239" s="2"/>
      <c r="AR1239" s="2"/>
      <c r="AS1239" s="2"/>
      <c r="AT1239" s="2"/>
      <c r="AU1239" s="2"/>
      <c r="AV1239" s="2"/>
      <c r="AW1239" s="2"/>
      <c r="AX1239" s="2"/>
      <c r="AY1239" s="2"/>
    </row>
    <row r="1240" spans="1:51" x14ac:dyDescent="0.25">
      <c r="A1240" s="24">
        <v>43971</v>
      </c>
      <c r="B1240" s="1">
        <v>43971</v>
      </c>
      <c r="C1240">
        <v>0.67</v>
      </c>
      <c r="D1240">
        <v>0.85</v>
      </c>
      <c r="E1240">
        <v>1.05</v>
      </c>
      <c r="F1240">
        <v>1.67</v>
      </c>
      <c r="G1240">
        <v>2.27</v>
      </c>
      <c r="H1240">
        <v>2.62</v>
      </c>
      <c r="I1240">
        <v>3.42</v>
      </c>
      <c r="J1240">
        <v>3.93</v>
      </c>
      <c r="K1240">
        <v>4.24</v>
      </c>
      <c r="M1240" s="3"/>
      <c r="N1240" s="17"/>
      <c r="O1240" s="17"/>
      <c r="P1240" s="17"/>
      <c r="Q1240" s="17"/>
      <c r="R1240" s="17"/>
      <c r="S1240" s="17"/>
      <c r="T1240" s="17"/>
      <c r="U1240" s="17"/>
      <c r="V1240" s="17"/>
      <c r="AE1240" s="2"/>
      <c r="AQ1240" s="2"/>
      <c r="AR1240" s="2"/>
      <c r="AS1240" s="2"/>
      <c r="AT1240" s="2"/>
      <c r="AU1240" s="2"/>
      <c r="AV1240" s="2"/>
      <c r="AW1240" s="2"/>
      <c r="AX1240" s="2"/>
      <c r="AY1240" s="2"/>
    </row>
    <row r="1241" spans="1:51" x14ac:dyDescent="0.25">
      <c r="A1241" s="24">
        <v>43970</v>
      </c>
      <c r="B1241" s="1">
        <v>43970</v>
      </c>
      <c r="C1241">
        <v>0.93</v>
      </c>
      <c r="D1241">
        <v>1.0900000000000001</v>
      </c>
      <c r="E1241">
        <v>1.31</v>
      </c>
      <c r="F1241">
        <v>1.88</v>
      </c>
      <c r="G1241">
        <v>2.4</v>
      </c>
      <c r="H1241">
        <v>2.78</v>
      </c>
      <c r="I1241">
        <v>3.43</v>
      </c>
      <c r="J1241">
        <v>3.93</v>
      </c>
      <c r="K1241">
        <v>4.3</v>
      </c>
      <c r="M1241" s="3"/>
      <c r="N1241" s="17"/>
      <c r="O1241" s="17"/>
      <c r="P1241" s="17"/>
      <c r="Q1241" s="17"/>
      <c r="R1241" s="17"/>
      <c r="S1241" s="17"/>
      <c r="T1241" s="17"/>
      <c r="U1241" s="17"/>
      <c r="V1241" s="17"/>
      <c r="AE1241" s="2"/>
      <c r="AQ1241" s="2"/>
      <c r="AR1241" s="2"/>
      <c r="AS1241" s="2"/>
      <c r="AT1241" s="2"/>
      <c r="AU1241" s="2"/>
      <c r="AV1241" s="2"/>
      <c r="AW1241" s="2"/>
      <c r="AX1241" s="2"/>
      <c r="AY1241" s="2"/>
    </row>
    <row r="1242" spans="1:51" x14ac:dyDescent="0.25">
      <c r="A1242" s="24">
        <v>43969</v>
      </c>
      <c r="B1242" s="1">
        <v>43969</v>
      </c>
      <c r="C1242">
        <v>1.1399999999999999</v>
      </c>
      <c r="D1242">
        <v>1.28</v>
      </c>
      <c r="E1242">
        <v>1.44</v>
      </c>
      <c r="F1242">
        <v>1.98</v>
      </c>
      <c r="G1242">
        <v>2.4300000000000002</v>
      </c>
      <c r="H1242">
        <v>2.82</v>
      </c>
      <c r="I1242">
        <v>3.45</v>
      </c>
      <c r="J1242">
        <v>3.96</v>
      </c>
      <c r="K1242">
        <v>4.33</v>
      </c>
      <c r="M1242" s="3"/>
      <c r="N1242" s="17"/>
      <c r="O1242" s="17"/>
      <c r="P1242" s="17"/>
      <c r="Q1242" s="17"/>
      <c r="R1242" s="17"/>
      <c r="S1242" s="17"/>
      <c r="T1242" s="17"/>
      <c r="U1242" s="17"/>
      <c r="V1242" s="17"/>
      <c r="AE1242" s="2"/>
      <c r="AQ1242" s="2"/>
      <c r="AR1242" s="2"/>
      <c r="AS1242" s="2"/>
      <c r="AT1242" s="2"/>
      <c r="AU1242" s="2"/>
      <c r="AV1242" s="2"/>
      <c r="AW1242" s="2"/>
      <c r="AX1242" s="2"/>
      <c r="AY1242" s="2"/>
    </row>
    <row r="1243" spans="1:51" x14ac:dyDescent="0.25">
      <c r="A1243" s="24">
        <v>43966</v>
      </c>
      <c r="B1243" s="1">
        <v>43966</v>
      </c>
      <c r="C1243">
        <v>1.21</v>
      </c>
      <c r="D1243">
        <v>1.35</v>
      </c>
      <c r="E1243">
        <v>1.55</v>
      </c>
      <c r="F1243">
        <v>2.08</v>
      </c>
      <c r="G1243">
        <v>2.5</v>
      </c>
      <c r="H1243">
        <v>2.85</v>
      </c>
      <c r="I1243">
        <v>3.47</v>
      </c>
      <c r="J1243">
        <v>3.96</v>
      </c>
      <c r="K1243">
        <v>4.33</v>
      </c>
      <c r="M1243" s="3"/>
      <c r="N1243" s="17"/>
      <c r="O1243" s="17"/>
      <c r="P1243" s="17"/>
      <c r="Q1243" s="17"/>
      <c r="R1243" s="17"/>
      <c r="S1243" s="17"/>
      <c r="T1243" s="17"/>
      <c r="U1243" s="17"/>
      <c r="V1243" s="17"/>
      <c r="AE1243" s="2"/>
      <c r="AQ1243" s="2"/>
      <c r="AR1243" s="2"/>
      <c r="AS1243" s="2"/>
      <c r="AT1243" s="2"/>
      <c r="AU1243" s="2"/>
      <c r="AV1243" s="2"/>
      <c r="AW1243" s="2"/>
      <c r="AX1243" s="2"/>
      <c r="AY1243" s="2"/>
    </row>
    <row r="1244" spans="1:51" x14ac:dyDescent="0.25">
      <c r="A1244" s="24">
        <v>43965</v>
      </c>
      <c r="B1244" s="1">
        <v>43965</v>
      </c>
      <c r="C1244">
        <v>1.31</v>
      </c>
      <c r="D1244">
        <v>1.5</v>
      </c>
      <c r="E1244">
        <v>1.63</v>
      </c>
      <c r="F1244">
        <v>2.16</v>
      </c>
      <c r="G1244">
        <v>2.5299999999999998</v>
      </c>
      <c r="H1244">
        <v>2.91</v>
      </c>
      <c r="I1244">
        <v>3.54</v>
      </c>
      <c r="J1244">
        <v>4</v>
      </c>
      <c r="K1244">
        <v>4.38</v>
      </c>
      <c r="M1244" s="3"/>
      <c r="N1244" s="17"/>
      <c r="O1244" s="17"/>
      <c r="P1244" s="17"/>
      <c r="Q1244" s="17"/>
      <c r="R1244" s="17"/>
      <c r="S1244" s="17"/>
      <c r="T1244" s="17"/>
      <c r="U1244" s="17"/>
      <c r="V1244" s="17"/>
      <c r="AE1244" s="2"/>
      <c r="AQ1244" s="2"/>
      <c r="AR1244" s="2"/>
      <c r="AS1244" s="2"/>
      <c r="AT1244" s="2"/>
      <c r="AU1244" s="2"/>
      <c r="AV1244" s="2"/>
      <c r="AW1244" s="2"/>
      <c r="AX1244" s="2"/>
      <c r="AY1244" s="2"/>
    </row>
    <row r="1245" spans="1:51" x14ac:dyDescent="0.25">
      <c r="A1245" s="24">
        <v>43964</v>
      </c>
      <c r="B1245" s="1">
        <v>43964</v>
      </c>
      <c r="C1245">
        <v>1.43</v>
      </c>
      <c r="D1245">
        <v>1.61</v>
      </c>
      <c r="E1245">
        <v>1.81</v>
      </c>
      <c r="F1245">
        <v>2.19</v>
      </c>
      <c r="G1245">
        <v>2.56</v>
      </c>
      <c r="H1245">
        <v>2.91</v>
      </c>
      <c r="I1245">
        <v>3.56</v>
      </c>
      <c r="J1245">
        <v>4.08</v>
      </c>
      <c r="K1245">
        <v>4.38</v>
      </c>
      <c r="M1245" s="3"/>
      <c r="N1245" s="17"/>
      <c r="O1245" s="17"/>
      <c r="P1245" s="17"/>
      <c r="Q1245" s="17"/>
      <c r="R1245" s="17"/>
      <c r="S1245" s="17"/>
      <c r="T1245" s="17"/>
      <c r="U1245" s="17"/>
      <c r="V1245" s="17"/>
      <c r="AE1245" s="2"/>
      <c r="AQ1245" s="2"/>
      <c r="AR1245" s="2"/>
      <c r="AS1245" s="2"/>
      <c r="AT1245" s="2"/>
      <c r="AU1245" s="2"/>
      <c r="AV1245" s="2"/>
      <c r="AW1245" s="2"/>
      <c r="AX1245" s="2"/>
      <c r="AY1245" s="2"/>
    </row>
    <row r="1246" spans="1:51" x14ac:dyDescent="0.25">
      <c r="A1246" s="24">
        <v>43963</v>
      </c>
      <c r="B1246" s="1">
        <v>43963</v>
      </c>
      <c r="C1246">
        <v>1.53</v>
      </c>
      <c r="D1246">
        <v>1.65</v>
      </c>
      <c r="E1246">
        <v>1.85</v>
      </c>
      <c r="F1246">
        <v>2.25</v>
      </c>
      <c r="G1246">
        <v>2.67</v>
      </c>
      <c r="H1246">
        <v>2.97</v>
      </c>
      <c r="I1246">
        <v>3.58</v>
      </c>
      <c r="J1246">
        <v>4.1399999999999997</v>
      </c>
      <c r="K1246">
        <v>4.42</v>
      </c>
      <c r="M1246" s="3"/>
      <c r="N1246" s="17"/>
      <c r="O1246" s="17"/>
      <c r="P1246" s="17"/>
      <c r="Q1246" s="17"/>
      <c r="R1246" s="17"/>
      <c r="S1246" s="17"/>
      <c r="T1246" s="17"/>
      <c r="U1246" s="17"/>
      <c r="V1246" s="17"/>
      <c r="AE1246" s="2"/>
      <c r="AQ1246" s="2"/>
      <c r="AR1246" s="2"/>
      <c r="AS1246" s="2"/>
      <c r="AT1246" s="2"/>
      <c r="AU1246" s="2"/>
      <c r="AV1246" s="2"/>
      <c r="AW1246" s="2"/>
      <c r="AX1246" s="2"/>
      <c r="AY1246" s="2"/>
    </row>
    <row r="1247" spans="1:51" x14ac:dyDescent="0.25">
      <c r="A1247" s="24">
        <v>43962</v>
      </c>
      <c r="B1247" s="1">
        <v>43962</v>
      </c>
      <c r="C1247">
        <v>1.63</v>
      </c>
      <c r="D1247">
        <v>1.75</v>
      </c>
      <c r="E1247">
        <v>1.95</v>
      </c>
      <c r="F1247">
        <v>2.27</v>
      </c>
      <c r="G1247">
        <v>2.65</v>
      </c>
      <c r="H1247">
        <v>2.97</v>
      </c>
      <c r="I1247">
        <v>3.58</v>
      </c>
      <c r="J1247">
        <v>4.16</v>
      </c>
      <c r="K1247">
        <v>4.4400000000000004</v>
      </c>
      <c r="M1247" s="3"/>
      <c r="N1247" s="17"/>
      <c r="O1247" s="17"/>
      <c r="P1247" s="17"/>
      <c r="Q1247" s="17"/>
      <c r="R1247" s="17"/>
      <c r="S1247" s="17"/>
      <c r="T1247" s="17"/>
      <c r="U1247" s="17"/>
      <c r="V1247" s="17"/>
      <c r="AE1247" s="2"/>
      <c r="AQ1247" s="2"/>
      <c r="AR1247" s="2"/>
      <c r="AS1247" s="2"/>
      <c r="AT1247" s="2"/>
      <c r="AU1247" s="2"/>
      <c r="AV1247" s="2"/>
      <c r="AW1247" s="2"/>
      <c r="AX1247" s="2"/>
      <c r="AY1247" s="2"/>
    </row>
    <row r="1248" spans="1:51" x14ac:dyDescent="0.25">
      <c r="A1248" s="24">
        <v>43959</v>
      </c>
      <c r="B1248" s="1">
        <v>43959</v>
      </c>
      <c r="C1248">
        <v>1.87</v>
      </c>
      <c r="D1248">
        <v>2.06</v>
      </c>
      <c r="E1248">
        <v>2.2400000000000002</v>
      </c>
      <c r="F1248">
        <v>2.5</v>
      </c>
      <c r="G1248">
        <v>2.84</v>
      </c>
      <c r="H1248">
        <v>3.13</v>
      </c>
      <c r="I1248">
        <v>3.63</v>
      </c>
      <c r="J1248">
        <v>4.18</v>
      </c>
      <c r="K1248">
        <v>4.4000000000000004</v>
      </c>
      <c r="M1248" s="3"/>
      <c r="N1248" s="17"/>
      <c r="O1248" s="17"/>
      <c r="P1248" s="17"/>
      <c r="Q1248" s="17"/>
      <c r="R1248" s="17"/>
      <c r="S1248" s="17"/>
      <c r="T1248" s="17"/>
      <c r="U1248" s="17"/>
      <c r="V1248" s="17"/>
      <c r="AE1248" s="2"/>
      <c r="AQ1248" s="2"/>
      <c r="AR1248" s="2"/>
      <c r="AS1248" s="2"/>
      <c r="AT1248" s="2"/>
      <c r="AU1248" s="2"/>
      <c r="AV1248" s="2"/>
      <c r="AW1248" s="2"/>
      <c r="AX1248" s="2"/>
      <c r="AY1248" s="2"/>
    </row>
    <row r="1249" spans="1:51" x14ac:dyDescent="0.25">
      <c r="A1249" s="24">
        <v>43958</v>
      </c>
      <c r="B1249" s="1">
        <v>43958</v>
      </c>
      <c r="C1249">
        <v>1.95</v>
      </c>
      <c r="D1249">
        <v>2.2000000000000002</v>
      </c>
      <c r="E1249">
        <v>2.37</v>
      </c>
      <c r="F1249">
        <v>2.57</v>
      </c>
      <c r="G1249">
        <v>2.88</v>
      </c>
      <c r="H1249">
        <v>3.15</v>
      </c>
      <c r="I1249">
        <v>3.63</v>
      </c>
      <c r="J1249">
        <v>4.1900000000000004</v>
      </c>
      <c r="K1249">
        <v>4.43</v>
      </c>
      <c r="M1249" s="3"/>
      <c r="N1249" s="17"/>
      <c r="O1249" s="17"/>
      <c r="P1249" s="17"/>
      <c r="Q1249" s="17"/>
      <c r="R1249" s="17"/>
      <c r="S1249" s="17"/>
      <c r="T1249" s="17"/>
      <c r="U1249" s="17"/>
      <c r="V1249" s="17"/>
      <c r="AE1249" s="2"/>
      <c r="AQ1249" s="2"/>
      <c r="AR1249" s="2"/>
      <c r="AS1249" s="2"/>
      <c r="AT1249" s="2"/>
      <c r="AU1249" s="2"/>
      <c r="AV1249" s="2"/>
      <c r="AW1249" s="2"/>
      <c r="AX1249" s="2"/>
      <c r="AY1249" s="2"/>
    </row>
    <row r="1250" spans="1:51" x14ac:dyDescent="0.25">
      <c r="A1250" s="24">
        <v>43957</v>
      </c>
      <c r="B1250" s="1">
        <v>43957</v>
      </c>
      <c r="C1250">
        <v>2.16</v>
      </c>
      <c r="D1250">
        <v>2.31</v>
      </c>
      <c r="E1250">
        <v>2.44</v>
      </c>
      <c r="F1250">
        <v>2.63</v>
      </c>
      <c r="G1250">
        <v>2.91</v>
      </c>
      <c r="H1250">
        <v>3.19</v>
      </c>
      <c r="I1250">
        <v>3.66</v>
      </c>
      <c r="J1250">
        <v>4.25</v>
      </c>
      <c r="K1250">
        <v>4.5</v>
      </c>
      <c r="M1250" s="3"/>
      <c r="N1250" s="17"/>
      <c r="O1250" s="17"/>
      <c r="P1250" s="17"/>
      <c r="Q1250" s="17"/>
      <c r="R1250" s="17"/>
      <c r="S1250" s="17"/>
      <c r="T1250" s="17"/>
      <c r="U1250" s="17"/>
      <c r="V1250" s="17"/>
      <c r="AE1250" s="2"/>
      <c r="AQ1250" s="2"/>
      <c r="AR1250" s="2"/>
      <c r="AS1250" s="2"/>
      <c r="AT1250" s="2"/>
      <c r="AU1250" s="2"/>
      <c r="AV1250" s="2"/>
      <c r="AW1250" s="2"/>
      <c r="AX1250" s="2"/>
      <c r="AY1250" s="2"/>
    </row>
    <row r="1251" spans="1:51" x14ac:dyDescent="0.25">
      <c r="A1251" s="24">
        <v>43956</v>
      </c>
      <c r="B1251" s="1">
        <v>43956</v>
      </c>
      <c r="C1251">
        <v>2.2000000000000002</v>
      </c>
      <c r="D1251">
        <v>2.38</v>
      </c>
      <c r="E1251">
        <v>2.4700000000000002</v>
      </c>
      <c r="F1251">
        <v>2.67</v>
      </c>
      <c r="G1251">
        <v>2.93</v>
      </c>
      <c r="H1251">
        <v>3.18</v>
      </c>
      <c r="I1251">
        <v>3.7</v>
      </c>
      <c r="J1251">
        <v>4.3</v>
      </c>
      <c r="K1251">
        <v>4.5199999999999996</v>
      </c>
      <c r="M1251" s="3"/>
      <c r="N1251" s="17"/>
      <c r="O1251" s="17"/>
      <c r="P1251" s="17"/>
      <c r="Q1251" s="17"/>
      <c r="R1251" s="17"/>
      <c r="S1251" s="17"/>
      <c r="T1251" s="17"/>
      <c r="U1251" s="17"/>
      <c r="V1251" s="17"/>
      <c r="AE1251" s="2"/>
      <c r="AQ1251" s="2"/>
      <c r="AR1251" s="2"/>
      <c r="AS1251" s="2"/>
      <c r="AT1251" s="2"/>
      <c r="AU1251" s="2"/>
      <c r="AV1251" s="2"/>
      <c r="AW1251" s="2"/>
      <c r="AX1251" s="2"/>
      <c r="AY1251" s="2"/>
    </row>
    <row r="1252" spans="1:51" x14ac:dyDescent="0.25">
      <c r="A1252" s="24">
        <v>43955</v>
      </c>
      <c r="B1252" s="1">
        <v>43955</v>
      </c>
      <c r="C1252">
        <v>2.08</v>
      </c>
      <c r="D1252">
        <v>2.2400000000000002</v>
      </c>
      <c r="E1252">
        <v>2.4</v>
      </c>
      <c r="F1252">
        <v>2.6</v>
      </c>
      <c r="G1252">
        <v>2.88</v>
      </c>
      <c r="H1252">
        <v>3.16</v>
      </c>
      <c r="I1252">
        <v>3.72</v>
      </c>
      <c r="J1252">
        <v>4.3499999999999996</v>
      </c>
      <c r="K1252">
        <v>4.53</v>
      </c>
      <c r="M1252" s="3"/>
      <c r="N1252" s="17"/>
      <c r="O1252" s="17"/>
      <c r="P1252" s="17"/>
      <c r="Q1252" s="17"/>
      <c r="R1252" s="17"/>
      <c r="S1252" s="17"/>
      <c r="T1252" s="17"/>
      <c r="U1252" s="17"/>
      <c r="V1252" s="17"/>
      <c r="AE1252" s="2"/>
      <c r="AQ1252" s="2"/>
      <c r="AR1252" s="2"/>
      <c r="AS1252" s="2"/>
      <c r="AT1252" s="2"/>
      <c r="AU1252" s="2"/>
      <c r="AV1252" s="2"/>
      <c r="AW1252" s="2"/>
      <c r="AX1252" s="2"/>
      <c r="AY1252" s="2"/>
    </row>
    <row r="1253" spans="1:51" x14ac:dyDescent="0.25">
      <c r="A1253" s="24">
        <v>43950</v>
      </c>
      <c r="B1253" s="1">
        <v>43950</v>
      </c>
      <c r="C1253">
        <v>2.1800000000000002</v>
      </c>
      <c r="D1253">
        <v>2.3199999999999998</v>
      </c>
      <c r="E1253">
        <v>2.4</v>
      </c>
      <c r="F1253">
        <v>2.62</v>
      </c>
      <c r="G1253">
        <v>2.9</v>
      </c>
      <c r="H1253">
        <v>3.12</v>
      </c>
      <c r="I1253">
        <v>3.67</v>
      </c>
      <c r="J1253">
        <v>4.24</v>
      </c>
      <c r="K1253">
        <v>4.4800000000000004</v>
      </c>
      <c r="M1253" s="3"/>
      <c r="N1253" s="17"/>
      <c r="O1253" s="17"/>
      <c r="P1253" s="17"/>
      <c r="Q1253" s="17"/>
      <c r="R1253" s="17"/>
      <c r="S1253" s="17"/>
      <c r="T1253" s="17"/>
      <c r="U1253" s="17"/>
      <c r="V1253" s="17"/>
      <c r="AE1253" s="2"/>
      <c r="AQ1253" s="2"/>
      <c r="AR1253" s="2"/>
      <c r="AS1253" s="2"/>
      <c r="AT1253" s="2"/>
      <c r="AU1253" s="2"/>
      <c r="AV1253" s="2"/>
      <c r="AW1253" s="2"/>
      <c r="AX1253" s="2"/>
      <c r="AY1253" s="2"/>
    </row>
    <row r="1254" spans="1:51" x14ac:dyDescent="0.25">
      <c r="A1254" s="24">
        <v>43949</v>
      </c>
      <c r="B1254" s="1">
        <v>43949</v>
      </c>
      <c r="C1254">
        <v>2</v>
      </c>
      <c r="D1254">
        <v>2.2200000000000002</v>
      </c>
      <c r="E1254">
        <v>2.42</v>
      </c>
      <c r="F1254">
        <v>2.68</v>
      </c>
      <c r="G1254">
        <v>3</v>
      </c>
      <c r="H1254">
        <v>3.18</v>
      </c>
      <c r="I1254">
        <v>3.62</v>
      </c>
      <c r="J1254">
        <v>4.16</v>
      </c>
      <c r="K1254">
        <v>4.38</v>
      </c>
      <c r="M1254" s="3"/>
      <c r="N1254" s="5"/>
      <c r="O1254" s="5"/>
      <c r="P1254" s="5"/>
      <c r="Q1254" s="5"/>
      <c r="R1254" s="5"/>
      <c r="S1254" s="5"/>
      <c r="T1254" s="5"/>
      <c r="U1254" s="5"/>
      <c r="V1254" s="5"/>
      <c r="AE1254" s="2"/>
      <c r="AQ1254" s="2"/>
      <c r="AR1254" s="2"/>
      <c r="AS1254" s="2"/>
      <c r="AT1254" s="2"/>
      <c r="AU1254" s="2"/>
      <c r="AV1254" s="2"/>
      <c r="AW1254" s="2"/>
      <c r="AX1254" s="2"/>
      <c r="AY1254" s="2"/>
    </row>
    <row r="1255" spans="1:51" x14ac:dyDescent="0.25">
      <c r="U1255" s="2"/>
      <c r="W1255" s="5"/>
      <c r="X1255" s="5"/>
      <c r="Y1255" s="5"/>
      <c r="Z1255" s="5"/>
      <c r="AA1255" s="5"/>
      <c r="AB1255" s="5"/>
      <c r="AC1255" s="5"/>
      <c r="AD1255" s="5"/>
      <c r="AE1255" s="5"/>
      <c r="AQ1255" s="2"/>
      <c r="AR1255" s="2"/>
      <c r="AS1255" s="2"/>
      <c r="AT1255" s="2"/>
      <c r="AU1255" s="2"/>
      <c r="AV1255" s="2"/>
      <c r="AW1255" s="2"/>
      <c r="AX1255" s="2"/>
      <c r="AY1255" s="2"/>
    </row>
    <row r="1256" spans="1:51" x14ac:dyDescent="0.25">
      <c r="U1256" s="2"/>
      <c r="W1256" s="5"/>
      <c r="X1256" s="5"/>
      <c r="Y1256" s="5"/>
      <c r="Z1256" s="5"/>
      <c r="AA1256" s="5"/>
      <c r="AB1256" s="5"/>
      <c r="AC1256" s="5"/>
      <c r="AD1256" s="5"/>
      <c r="AE1256" s="5"/>
      <c r="AQ1256" s="2"/>
      <c r="AR1256" s="2"/>
      <c r="AS1256" s="2"/>
      <c r="AT1256" s="2"/>
      <c r="AU1256" s="2"/>
      <c r="AV1256" s="2"/>
      <c r="AW1256" s="2"/>
      <c r="AX1256" s="2"/>
      <c r="AY1256" s="2"/>
    </row>
    <row r="1257" spans="1:51" x14ac:dyDescent="0.25">
      <c r="U1257" s="2"/>
      <c r="W1257" s="5"/>
      <c r="X1257" s="5"/>
      <c r="Y1257" s="5"/>
      <c r="Z1257" s="5"/>
      <c r="AA1257" s="5"/>
      <c r="AB1257" s="5"/>
      <c r="AC1257" s="5"/>
      <c r="AD1257" s="5"/>
      <c r="AE1257" s="5"/>
      <c r="AQ1257" s="2"/>
      <c r="AR1257" s="2"/>
      <c r="AS1257" s="2"/>
      <c r="AT1257" s="2"/>
      <c r="AU1257" s="2"/>
      <c r="AV1257" s="2"/>
      <c r="AW1257" s="2"/>
      <c r="AX1257" s="2"/>
      <c r="AY1257" s="2"/>
    </row>
    <row r="1258" spans="1:51" x14ac:dyDescent="0.25">
      <c r="U1258" s="2"/>
      <c r="W1258" s="5"/>
      <c r="X1258" s="5"/>
      <c r="Y1258" s="5"/>
      <c r="Z1258" s="5"/>
      <c r="AA1258" s="5"/>
      <c r="AB1258" s="5"/>
      <c r="AC1258" s="5"/>
      <c r="AD1258" s="5"/>
      <c r="AE1258" s="5"/>
      <c r="AQ1258" s="2"/>
      <c r="AR1258" s="2"/>
      <c r="AS1258" s="2"/>
      <c r="AT1258" s="2"/>
      <c r="AU1258" s="2"/>
      <c r="AV1258" s="2"/>
      <c r="AW1258" s="2"/>
      <c r="AX1258" s="2"/>
      <c r="AY1258" s="2"/>
    </row>
    <row r="1259" spans="1:51" x14ac:dyDescent="0.25">
      <c r="U1259" s="2"/>
      <c r="W1259" s="5"/>
      <c r="X1259" s="5"/>
      <c r="Y1259" s="5"/>
      <c r="Z1259" s="5"/>
      <c r="AA1259" s="5"/>
      <c r="AB1259" s="5"/>
      <c r="AC1259" s="5"/>
      <c r="AD1259" s="5"/>
      <c r="AE1259" s="5"/>
      <c r="AQ1259" s="2"/>
      <c r="AR1259" s="2"/>
      <c r="AS1259" s="2"/>
      <c r="AT1259" s="2"/>
      <c r="AU1259" s="2"/>
      <c r="AV1259" s="2"/>
      <c r="AW1259" s="2"/>
      <c r="AX1259" s="2"/>
      <c r="AY1259" s="2"/>
    </row>
    <row r="1260" spans="1:51" x14ac:dyDescent="0.25">
      <c r="U1260" s="2"/>
      <c r="W1260" s="5"/>
      <c r="X1260" s="5"/>
      <c r="Y1260" s="5"/>
      <c r="Z1260" s="5"/>
      <c r="AA1260" s="5"/>
      <c r="AB1260" s="5"/>
      <c r="AC1260" s="5"/>
      <c r="AD1260" s="5"/>
      <c r="AE1260" s="5"/>
      <c r="AQ1260" s="2"/>
      <c r="AR1260" s="2"/>
      <c r="AS1260" s="2"/>
      <c r="AT1260" s="2"/>
      <c r="AU1260" s="2"/>
      <c r="AV1260" s="2"/>
      <c r="AW1260" s="2"/>
      <c r="AX1260" s="2"/>
      <c r="AY1260" s="2"/>
    </row>
    <row r="1261" spans="1:51" x14ac:dyDescent="0.25">
      <c r="U1261" s="2"/>
      <c r="W1261" s="5"/>
      <c r="X1261" s="5"/>
      <c r="Y1261" s="5"/>
      <c r="Z1261" s="5"/>
      <c r="AA1261" s="5"/>
      <c r="AB1261" s="5"/>
      <c r="AC1261" s="5"/>
      <c r="AD1261" s="5"/>
      <c r="AE1261" s="5"/>
      <c r="AQ1261" s="2"/>
      <c r="AR1261" s="2"/>
      <c r="AS1261" s="2"/>
      <c r="AT1261" s="2"/>
      <c r="AU1261" s="2"/>
      <c r="AV1261" s="2"/>
      <c r="AW1261" s="2"/>
      <c r="AX1261" s="2"/>
      <c r="AY1261" s="2"/>
    </row>
    <row r="1262" spans="1:51" x14ac:dyDescent="0.25">
      <c r="U1262" s="2"/>
      <c r="W1262" s="5"/>
      <c r="X1262" s="5"/>
      <c r="Y1262" s="5"/>
      <c r="Z1262" s="5"/>
      <c r="AA1262" s="5"/>
      <c r="AB1262" s="5"/>
      <c r="AC1262" s="5"/>
      <c r="AD1262" s="5"/>
      <c r="AE1262" s="5"/>
      <c r="AQ1262" s="2"/>
      <c r="AR1262" s="2"/>
      <c r="AS1262" s="2"/>
      <c r="AT1262" s="2"/>
      <c r="AU1262" s="2"/>
      <c r="AV1262" s="2"/>
      <c r="AW1262" s="2"/>
      <c r="AX1262" s="2"/>
      <c r="AY1262" s="2"/>
    </row>
    <row r="1263" spans="1:51" x14ac:dyDescent="0.25">
      <c r="U1263" s="2"/>
      <c r="W1263" s="5"/>
      <c r="X1263" s="5"/>
      <c r="Y1263" s="5"/>
      <c r="Z1263" s="5"/>
      <c r="AA1263" s="5"/>
      <c r="AB1263" s="5"/>
      <c r="AC1263" s="5"/>
      <c r="AD1263" s="5"/>
      <c r="AE1263" s="5"/>
      <c r="AQ1263" s="2"/>
      <c r="AR1263" s="2"/>
      <c r="AS1263" s="2"/>
      <c r="AT1263" s="2"/>
      <c r="AU1263" s="2"/>
      <c r="AV1263" s="2"/>
      <c r="AW1263" s="2"/>
      <c r="AX1263" s="2"/>
      <c r="AY1263" s="2"/>
    </row>
    <row r="1264" spans="1:51" x14ac:dyDescent="0.25">
      <c r="U1264" s="2"/>
      <c r="W1264" s="5"/>
      <c r="X1264" s="5"/>
      <c r="Y1264" s="5"/>
      <c r="Z1264" s="5"/>
      <c r="AA1264" s="5"/>
      <c r="AB1264" s="5"/>
      <c r="AC1264" s="5"/>
      <c r="AD1264" s="5"/>
      <c r="AE1264" s="5"/>
      <c r="AQ1264" s="2"/>
      <c r="AR1264" s="2"/>
      <c r="AS1264" s="2"/>
      <c r="AT1264" s="2"/>
      <c r="AU1264" s="2"/>
      <c r="AV1264" s="2"/>
      <c r="AW1264" s="2"/>
      <c r="AX1264" s="2"/>
      <c r="AY1264" s="2"/>
    </row>
    <row r="1265" spans="21:51" x14ac:dyDescent="0.25">
      <c r="U1265" s="2"/>
      <c r="W1265" s="5"/>
      <c r="X1265" s="5"/>
      <c r="Y1265" s="5"/>
      <c r="Z1265" s="5"/>
      <c r="AA1265" s="5"/>
      <c r="AB1265" s="5"/>
      <c r="AC1265" s="5"/>
      <c r="AD1265" s="5"/>
      <c r="AE1265" s="5"/>
      <c r="AQ1265" s="2"/>
      <c r="AR1265" s="2"/>
      <c r="AS1265" s="2"/>
      <c r="AT1265" s="2"/>
      <c r="AU1265" s="2"/>
      <c r="AV1265" s="2"/>
      <c r="AW1265" s="2"/>
      <c r="AX1265" s="2"/>
      <c r="AY1265" s="2"/>
    </row>
    <row r="1266" spans="21:51" x14ac:dyDescent="0.25">
      <c r="U1266" s="2"/>
      <c r="W1266" s="5"/>
      <c r="X1266" s="5"/>
      <c r="Y1266" s="5"/>
      <c r="Z1266" s="5"/>
      <c r="AA1266" s="5"/>
      <c r="AB1266" s="5"/>
      <c r="AC1266" s="5"/>
      <c r="AD1266" s="5"/>
      <c r="AE1266" s="5"/>
      <c r="AQ1266" s="2"/>
      <c r="AR1266" s="2"/>
      <c r="AS1266" s="2"/>
      <c r="AT1266" s="2"/>
      <c r="AU1266" s="2"/>
      <c r="AV1266" s="2"/>
      <c r="AW1266" s="2"/>
      <c r="AX1266" s="2"/>
      <c r="AY1266" s="2"/>
    </row>
    <row r="1267" spans="21:51" x14ac:dyDescent="0.25">
      <c r="U1267" s="2"/>
      <c r="W1267" s="5"/>
      <c r="X1267" s="5"/>
      <c r="Y1267" s="5"/>
      <c r="Z1267" s="5"/>
      <c r="AA1267" s="5"/>
      <c r="AB1267" s="5"/>
      <c r="AC1267" s="5"/>
      <c r="AD1267" s="5"/>
      <c r="AE1267" s="5"/>
      <c r="AQ1267" s="2"/>
      <c r="AR1267" s="2"/>
      <c r="AS1267" s="2"/>
      <c r="AT1267" s="2"/>
      <c r="AU1267" s="2"/>
      <c r="AV1267" s="2"/>
      <c r="AW1267" s="2"/>
      <c r="AX1267" s="2"/>
      <c r="AY1267" s="2"/>
    </row>
    <row r="1268" spans="21:51" x14ac:dyDescent="0.25">
      <c r="U1268" s="2"/>
      <c r="W1268" s="5"/>
      <c r="X1268" s="5"/>
      <c r="Y1268" s="5"/>
      <c r="Z1268" s="5"/>
      <c r="AA1268" s="5"/>
      <c r="AB1268" s="5"/>
      <c r="AC1268" s="5"/>
      <c r="AD1268" s="5"/>
      <c r="AE1268" s="5"/>
      <c r="AQ1268" s="2"/>
      <c r="AR1268" s="2"/>
      <c r="AS1268" s="2"/>
      <c r="AT1268" s="2"/>
      <c r="AU1268" s="2"/>
      <c r="AV1268" s="2"/>
      <c r="AW1268" s="2"/>
      <c r="AX1268" s="2"/>
      <c r="AY1268" s="2"/>
    </row>
    <row r="1269" spans="21:51" x14ac:dyDescent="0.25">
      <c r="U1269" s="2"/>
      <c r="W1269" s="5"/>
      <c r="X1269" s="5"/>
      <c r="Y1269" s="5"/>
      <c r="Z1269" s="5"/>
      <c r="AA1269" s="5"/>
      <c r="AB1269" s="5"/>
      <c r="AC1269" s="5"/>
      <c r="AD1269" s="5"/>
      <c r="AE1269" s="5"/>
      <c r="AQ1269" s="2"/>
      <c r="AR1269" s="2"/>
      <c r="AS1269" s="2"/>
      <c r="AT1269" s="2"/>
      <c r="AU1269" s="2"/>
      <c r="AV1269" s="2"/>
      <c r="AW1269" s="2"/>
      <c r="AX1269" s="2"/>
      <c r="AY1269" s="2"/>
    </row>
    <row r="1270" spans="21:51" x14ac:dyDescent="0.25">
      <c r="U1270" s="2"/>
      <c r="W1270" s="5"/>
      <c r="X1270" s="5"/>
      <c r="Y1270" s="5"/>
      <c r="Z1270" s="5"/>
      <c r="AA1270" s="5"/>
      <c r="AB1270" s="5"/>
      <c r="AC1270" s="5"/>
      <c r="AD1270" s="5"/>
      <c r="AE1270" s="5"/>
      <c r="AQ1270" s="2"/>
      <c r="AR1270" s="2"/>
      <c r="AS1270" s="2"/>
      <c r="AT1270" s="2"/>
      <c r="AU1270" s="2"/>
      <c r="AV1270" s="2"/>
      <c r="AW1270" s="2"/>
      <c r="AX1270" s="2"/>
      <c r="AY1270" s="2"/>
    </row>
    <row r="1271" spans="21:51" x14ac:dyDescent="0.25">
      <c r="U1271" s="2"/>
      <c r="W1271" s="5"/>
      <c r="X1271" s="5"/>
      <c r="Y1271" s="5"/>
      <c r="Z1271" s="5"/>
      <c r="AA1271" s="5"/>
      <c r="AB1271" s="5"/>
      <c r="AC1271" s="5"/>
      <c r="AD1271" s="5"/>
      <c r="AE1271" s="5"/>
      <c r="AQ1271" s="2"/>
      <c r="AR1271" s="2"/>
      <c r="AS1271" s="2"/>
      <c r="AT1271" s="2"/>
      <c r="AU1271" s="2"/>
      <c r="AV1271" s="2"/>
      <c r="AW1271" s="2"/>
      <c r="AX1271" s="2"/>
      <c r="AY1271" s="2"/>
    </row>
    <row r="1272" spans="21:51" x14ac:dyDescent="0.25">
      <c r="U1272" s="2"/>
      <c r="W1272" s="5"/>
      <c r="X1272" s="5"/>
      <c r="Y1272" s="5"/>
      <c r="Z1272" s="5"/>
      <c r="AA1272" s="5"/>
      <c r="AB1272" s="5"/>
      <c r="AC1272" s="5"/>
      <c r="AD1272" s="5"/>
      <c r="AE1272" s="5"/>
      <c r="AQ1272" s="2"/>
      <c r="AR1272" s="2"/>
      <c r="AS1272" s="2"/>
      <c r="AT1272" s="2"/>
      <c r="AU1272" s="2"/>
      <c r="AV1272" s="2"/>
      <c r="AW1272" s="2"/>
      <c r="AX1272" s="2"/>
      <c r="AY1272" s="2"/>
    </row>
    <row r="1273" spans="21:51" x14ac:dyDescent="0.25">
      <c r="U1273" s="2"/>
      <c r="W1273" s="5"/>
      <c r="X1273" s="5"/>
      <c r="Y1273" s="5"/>
      <c r="Z1273" s="5"/>
      <c r="AA1273" s="5"/>
      <c r="AB1273" s="5"/>
      <c r="AC1273" s="5"/>
      <c r="AD1273" s="5"/>
      <c r="AE1273" s="5"/>
      <c r="AQ1273" s="2"/>
      <c r="AR1273" s="2"/>
      <c r="AS1273" s="2"/>
      <c r="AT1273" s="2"/>
      <c r="AU1273" s="2"/>
      <c r="AV1273" s="2"/>
      <c r="AW1273" s="2"/>
      <c r="AX1273" s="2"/>
      <c r="AY1273" s="2"/>
    </row>
    <row r="1274" spans="21:51" x14ac:dyDescent="0.25">
      <c r="U1274" s="2"/>
      <c r="W1274" s="5"/>
      <c r="X1274" s="5"/>
      <c r="Y1274" s="5"/>
      <c r="Z1274" s="5"/>
      <c r="AA1274" s="5"/>
      <c r="AB1274" s="5"/>
      <c r="AC1274" s="5"/>
      <c r="AD1274" s="5"/>
      <c r="AE1274" s="5"/>
      <c r="AQ1274" s="2"/>
      <c r="AR1274" s="2"/>
      <c r="AS1274" s="2"/>
      <c r="AT1274" s="2"/>
      <c r="AU1274" s="2"/>
      <c r="AV1274" s="2"/>
      <c r="AW1274" s="2"/>
      <c r="AX1274" s="2"/>
      <c r="AY1274" s="2"/>
    </row>
    <row r="1275" spans="21:51" x14ac:dyDescent="0.25">
      <c r="U1275" s="2"/>
      <c r="W1275" s="5"/>
      <c r="X1275" s="5"/>
      <c r="Y1275" s="5"/>
      <c r="Z1275" s="5"/>
      <c r="AA1275" s="5"/>
      <c r="AB1275" s="5"/>
      <c r="AC1275" s="5"/>
      <c r="AD1275" s="5"/>
      <c r="AE1275" s="5"/>
      <c r="AQ1275" s="2"/>
      <c r="AR1275" s="2"/>
      <c r="AS1275" s="2"/>
      <c r="AT1275" s="2"/>
      <c r="AU1275" s="2"/>
      <c r="AV1275" s="2"/>
      <c r="AW1275" s="2"/>
      <c r="AX1275" s="2"/>
      <c r="AY1275" s="2"/>
    </row>
    <row r="1276" spans="21:51" x14ac:dyDescent="0.25">
      <c r="U1276" s="2"/>
      <c r="W1276" s="5"/>
      <c r="X1276" s="5"/>
      <c r="Y1276" s="5"/>
      <c r="Z1276" s="5"/>
      <c r="AA1276" s="5"/>
      <c r="AB1276" s="5"/>
      <c r="AC1276" s="5"/>
      <c r="AD1276" s="5"/>
      <c r="AE1276" s="5"/>
      <c r="AQ1276" s="2"/>
      <c r="AR1276" s="2"/>
      <c r="AS1276" s="2"/>
      <c r="AT1276" s="2"/>
      <c r="AU1276" s="2"/>
      <c r="AV1276" s="2"/>
      <c r="AW1276" s="2"/>
      <c r="AX1276" s="2"/>
      <c r="AY1276" s="2"/>
    </row>
    <row r="1277" spans="21:51" x14ac:dyDescent="0.25">
      <c r="U1277" s="2"/>
      <c r="W1277" s="5"/>
      <c r="X1277" s="5"/>
      <c r="Y1277" s="5"/>
      <c r="Z1277" s="5"/>
      <c r="AA1277" s="5"/>
      <c r="AB1277" s="5"/>
      <c r="AC1277" s="5"/>
      <c r="AD1277" s="5"/>
      <c r="AE1277" s="5"/>
      <c r="AQ1277" s="2"/>
      <c r="AR1277" s="2"/>
      <c r="AS1277" s="2"/>
      <c r="AT1277" s="2"/>
      <c r="AU1277" s="2"/>
      <c r="AV1277" s="2"/>
      <c r="AW1277" s="2"/>
      <c r="AX1277" s="2"/>
      <c r="AY1277" s="2"/>
    </row>
    <row r="1278" spans="21:51" x14ac:dyDescent="0.25">
      <c r="U1278" s="2"/>
      <c r="W1278" s="5"/>
      <c r="X1278" s="5"/>
      <c r="Y1278" s="5"/>
      <c r="Z1278" s="5"/>
      <c r="AA1278" s="5"/>
      <c r="AB1278" s="5"/>
      <c r="AC1278" s="5"/>
      <c r="AD1278" s="5"/>
      <c r="AE1278" s="5"/>
      <c r="AQ1278" s="2"/>
      <c r="AR1278" s="2"/>
      <c r="AS1278" s="2"/>
      <c r="AT1278" s="2"/>
      <c r="AU1278" s="2"/>
      <c r="AV1278" s="2"/>
      <c r="AW1278" s="2"/>
      <c r="AX1278" s="2"/>
      <c r="AY1278" s="2"/>
    </row>
    <row r="1279" spans="21:51" x14ac:dyDescent="0.25">
      <c r="U1279" s="2"/>
      <c r="W1279" s="5"/>
      <c r="X1279" s="5"/>
      <c r="Y1279" s="5"/>
      <c r="Z1279" s="5"/>
      <c r="AA1279" s="5"/>
      <c r="AB1279" s="5"/>
      <c r="AC1279" s="5"/>
      <c r="AD1279" s="5"/>
      <c r="AE1279" s="5"/>
      <c r="AQ1279" s="2"/>
      <c r="AR1279" s="2"/>
      <c r="AS1279" s="2"/>
      <c r="AT1279" s="2"/>
      <c r="AU1279" s="2"/>
      <c r="AV1279" s="2"/>
      <c r="AW1279" s="2"/>
      <c r="AX1279" s="2"/>
      <c r="AY1279" s="2"/>
    </row>
    <row r="1280" spans="21:51" x14ac:dyDescent="0.25">
      <c r="U1280" s="2"/>
      <c r="W1280" s="5"/>
      <c r="X1280" s="5"/>
      <c r="Y1280" s="5"/>
      <c r="Z1280" s="5"/>
      <c r="AA1280" s="5"/>
      <c r="AB1280" s="5"/>
      <c r="AC1280" s="5"/>
      <c r="AD1280" s="5"/>
      <c r="AE1280" s="5"/>
      <c r="AQ1280" s="2"/>
      <c r="AR1280" s="2"/>
      <c r="AS1280" s="2"/>
      <c r="AT1280" s="2"/>
      <c r="AU1280" s="2"/>
      <c r="AV1280" s="2"/>
      <c r="AW1280" s="2"/>
      <c r="AX1280" s="2"/>
      <c r="AY1280" s="2"/>
    </row>
    <row r="1281" spans="21:51" x14ac:dyDescent="0.25">
      <c r="U1281" s="2"/>
      <c r="W1281" s="5"/>
      <c r="X1281" s="5"/>
      <c r="Y1281" s="5"/>
      <c r="Z1281" s="5"/>
      <c r="AA1281" s="5"/>
      <c r="AB1281" s="5"/>
      <c r="AC1281" s="5"/>
      <c r="AD1281" s="5"/>
      <c r="AE1281" s="5"/>
      <c r="AQ1281" s="2"/>
      <c r="AR1281" s="2"/>
      <c r="AS1281" s="2"/>
      <c r="AT1281" s="2"/>
      <c r="AU1281" s="2"/>
      <c r="AV1281" s="2"/>
      <c r="AW1281" s="2"/>
      <c r="AX1281" s="2"/>
      <c r="AY1281" s="2"/>
    </row>
    <row r="1282" spans="21:51" x14ac:dyDescent="0.25">
      <c r="U1282" s="2"/>
      <c r="W1282" s="5"/>
      <c r="X1282" s="5"/>
      <c r="Y1282" s="5"/>
      <c r="Z1282" s="5"/>
      <c r="AA1282" s="5"/>
      <c r="AB1282" s="5"/>
      <c r="AC1282" s="5"/>
      <c r="AD1282" s="5"/>
      <c r="AE1282" s="5"/>
      <c r="AQ1282" s="2"/>
      <c r="AR1282" s="2"/>
      <c r="AS1282" s="2"/>
      <c r="AT1282" s="2"/>
      <c r="AU1282" s="2"/>
      <c r="AV1282" s="2"/>
      <c r="AW1282" s="2"/>
      <c r="AX1282" s="2"/>
      <c r="AY1282" s="2"/>
    </row>
    <row r="1283" spans="21:51" x14ac:dyDescent="0.25">
      <c r="U1283" s="2"/>
      <c r="W1283" s="5"/>
      <c r="X1283" s="5"/>
      <c r="Y1283" s="5"/>
      <c r="Z1283" s="5"/>
      <c r="AA1283" s="5"/>
      <c r="AB1283" s="5"/>
      <c r="AC1283" s="5"/>
      <c r="AD1283" s="5"/>
      <c r="AE1283" s="5"/>
      <c r="AQ1283" s="2"/>
      <c r="AR1283" s="2"/>
      <c r="AS1283" s="2"/>
      <c r="AT1283" s="2"/>
      <c r="AU1283" s="2"/>
      <c r="AV1283" s="2"/>
      <c r="AW1283" s="2"/>
      <c r="AX1283" s="2"/>
      <c r="AY1283" s="2"/>
    </row>
    <row r="1284" spans="21:51" x14ac:dyDescent="0.25">
      <c r="U1284" s="2"/>
      <c r="W1284" s="5"/>
      <c r="X1284" s="5"/>
      <c r="Y1284" s="5"/>
      <c r="Z1284" s="5"/>
      <c r="AA1284" s="5"/>
      <c r="AB1284" s="5"/>
      <c r="AC1284" s="5"/>
      <c r="AD1284" s="5"/>
      <c r="AE1284" s="5"/>
      <c r="AQ1284" s="2"/>
      <c r="AR1284" s="2"/>
      <c r="AS1284" s="2"/>
      <c r="AT1284" s="2"/>
      <c r="AU1284" s="2"/>
      <c r="AV1284" s="2"/>
      <c r="AW1284" s="2"/>
      <c r="AX1284" s="2"/>
      <c r="AY1284" s="2"/>
    </row>
    <row r="1285" spans="21:51" x14ac:dyDescent="0.25">
      <c r="U1285" s="2"/>
      <c r="W1285" s="5"/>
      <c r="X1285" s="5"/>
      <c r="Y1285" s="5"/>
      <c r="Z1285" s="5"/>
      <c r="AA1285" s="5"/>
      <c r="AB1285" s="5"/>
      <c r="AC1285" s="5"/>
      <c r="AD1285" s="5"/>
      <c r="AE1285" s="5"/>
      <c r="AQ1285" s="2"/>
      <c r="AR1285" s="2"/>
      <c r="AS1285" s="2"/>
      <c r="AT1285" s="2"/>
      <c r="AU1285" s="2"/>
      <c r="AV1285" s="2"/>
      <c r="AW1285" s="2"/>
      <c r="AX1285" s="2"/>
      <c r="AY1285" s="2"/>
    </row>
    <row r="1286" spans="21:51" x14ac:dyDescent="0.25">
      <c r="U1286" s="2"/>
      <c r="W1286" s="5"/>
      <c r="X1286" s="5"/>
      <c r="Y1286" s="5"/>
      <c r="Z1286" s="5"/>
      <c r="AA1286" s="5"/>
      <c r="AB1286" s="5"/>
      <c r="AC1286" s="5"/>
      <c r="AD1286" s="5"/>
      <c r="AE1286" s="5"/>
      <c r="AQ1286" s="2"/>
      <c r="AR1286" s="2"/>
      <c r="AS1286" s="2"/>
      <c r="AT1286" s="2"/>
      <c r="AU1286" s="2"/>
      <c r="AV1286" s="2"/>
      <c r="AW1286" s="2"/>
      <c r="AX1286" s="2"/>
      <c r="AY1286" s="2"/>
    </row>
    <row r="1287" spans="21:51" x14ac:dyDescent="0.25">
      <c r="U1287" s="2"/>
      <c r="W1287" s="5"/>
      <c r="X1287" s="5"/>
      <c r="Y1287" s="5"/>
      <c r="Z1287" s="5"/>
      <c r="AA1287" s="5"/>
      <c r="AB1287" s="5"/>
      <c r="AC1287" s="5"/>
      <c r="AD1287" s="5"/>
      <c r="AE1287" s="5"/>
      <c r="AQ1287" s="2"/>
      <c r="AR1287" s="2"/>
      <c r="AS1287" s="2"/>
      <c r="AT1287" s="2"/>
      <c r="AU1287" s="2"/>
      <c r="AV1287" s="2"/>
      <c r="AW1287" s="2"/>
      <c r="AX1287" s="2"/>
      <c r="AY1287" s="2"/>
    </row>
    <row r="1288" spans="21:51" x14ac:dyDescent="0.25">
      <c r="U1288" s="2"/>
      <c r="W1288" s="5"/>
      <c r="X1288" s="5"/>
      <c r="Y1288" s="5"/>
      <c r="Z1288" s="5"/>
      <c r="AA1288" s="5"/>
      <c r="AB1288" s="5"/>
      <c r="AC1288" s="5"/>
      <c r="AD1288" s="5"/>
      <c r="AE1288" s="5"/>
      <c r="AQ1288" s="2"/>
      <c r="AR1288" s="2"/>
      <c r="AS1288" s="2"/>
      <c r="AT1288" s="2"/>
      <c r="AU1288" s="2"/>
      <c r="AV1288" s="2"/>
      <c r="AW1288" s="2"/>
      <c r="AX1288" s="2"/>
      <c r="AY1288" s="2"/>
    </row>
    <row r="1289" spans="21:51" x14ac:dyDescent="0.25">
      <c r="U1289" s="2"/>
      <c r="W1289" s="5"/>
      <c r="X1289" s="5"/>
      <c r="Y1289" s="5"/>
      <c r="Z1289" s="5"/>
      <c r="AA1289" s="5"/>
      <c r="AB1289" s="5"/>
      <c r="AC1289" s="5"/>
      <c r="AD1289" s="5"/>
      <c r="AE1289" s="5"/>
      <c r="AQ1289" s="2"/>
      <c r="AR1289" s="2"/>
      <c r="AS1289" s="2"/>
      <c r="AT1289" s="2"/>
      <c r="AU1289" s="2"/>
      <c r="AV1289" s="2"/>
      <c r="AW1289" s="2"/>
      <c r="AX1289" s="2"/>
      <c r="AY1289" s="2"/>
    </row>
    <row r="1290" spans="21:51" x14ac:dyDescent="0.25">
      <c r="U1290" s="2"/>
      <c r="W1290" s="5"/>
      <c r="X1290" s="5"/>
      <c r="Y1290" s="5"/>
      <c r="Z1290" s="5"/>
      <c r="AA1290" s="5"/>
      <c r="AB1290" s="5"/>
      <c r="AC1290" s="5"/>
      <c r="AD1290" s="5"/>
      <c r="AE1290" s="5"/>
      <c r="AQ1290" s="2"/>
      <c r="AR1290" s="2"/>
      <c r="AS1290" s="2"/>
      <c r="AT1290" s="2"/>
      <c r="AU1290" s="2"/>
      <c r="AV1290" s="2"/>
      <c r="AW1290" s="2"/>
      <c r="AX1290" s="2"/>
      <c r="AY1290" s="2"/>
    </row>
    <row r="1291" spans="21:51" x14ac:dyDescent="0.25">
      <c r="U1291" s="2"/>
      <c r="W1291" s="5"/>
      <c r="X1291" s="5"/>
      <c r="Y1291" s="5"/>
      <c r="Z1291" s="5"/>
      <c r="AA1291" s="5"/>
      <c r="AB1291" s="5"/>
      <c r="AC1291" s="5"/>
      <c r="AD1291" s="5"/>
      <c r="AE1291" s="5"/>
      <c r="AQ1291" s="2"/>
      <c r="AR1291" s="2"/>
      <c r="AS1291" s="2"/>
      <c r="AT1291" s="2"/>
      <c r="AU1291" s="2"/>
      <c r="AV1291" s="2"/>
      <c r="AW1291" s="2"/>
      <c r="AX1291" s="2"/>
      <c r="AY1291" s="2"/>
    </row>
    <row r="1292" spans="21:51" x14ac:dyDescent="0.25">
      <c r="U1292" s="2"/>
      <c r="W1292" s="5"/>
      <c r="X1292" s="5"/>
      <c r="Y1292" s="5"/>
      <c r="Z1292" s="5"/>
      <c r="AA1292" s="5"/>
      <c r="AB1292" s="5"/>
      <c r="AC1292" s="5"/>
      <c r="AD1292" s="5"/>
      <c r="AE1292" s="5"/>
      <c r="AQ1292" s="2"/>
      <c r="AR1292" s="2"/>
      <c r="AS1292" s="2"/>
      <c r="AT1292" s="2"/>
      <c r="AU1292" s="2"/>
      <c r="AV1292" s="2"/>
      <c r="AW1292" s="2"/>
      <c r="AX1292" s="2"/>
      <c r="AY1292" s="2"/>
    </row>
    <row r="1293" spans="21:51" x14ac:dyDescent="0.25">
      <c r="U1293" s="2"/>
      <c r="W1293" s="5"/>
      <c r="X1293" s="5"/>
      <c r="Y1293" s="5"/>
      <c r="Z1293" s="5"/>
      <c r="AA1293" s="5"/>
      <c r="AB1293" s="5"/>
      <c r="AC1293" s="5"/>
      <c r="AD1293" s="5"/>
      <c r="AE1293" s="5"/>
      <c r="AQ1293" s="2"/>
      <c r="AR1293" s="2"/>
      <c r="AS1293" s="2"/>
      <c r="AT1293" s="2"/>
      <c r="AU1293" s="2"/>
      <c r="AV1293" s="2"/>
      <c r="AW1293" s="2"/>
      <c r="AX1293" s="2"/>
      <c r="AY1293" s="2"/>
    </row>
    <row r="1294" spans="21:51" x14ac:dyDescent="0.25">
      <c r="U1294" s="2"/>
      <c r="W1294" s="5"/>
      <c r="X1294" s="5"/>
      <c r="Y1294" s="5"/>
      <c r="Z1294" s="5"/>
      <c r="AA1294" s="5"/>
      <c r="AB1294" s="5"/>
      <c r="AC1294" s="5"/>
      <c r="AD1294" s="5"/>
      <c r="AE1294" s="5"/>
      <c r="AQ1294" s="2"/>
      <c r="AR1294" s="2"/>
      <c r="AS1294" s="2"/>
      <c r="AT1294" s="2"/>
      <c r="AU1294" s="2"/>
      <c r="AV1294" s="2"/>
      <c r="AW1294" s="2"/>
      <c r="AX1294" s="2"/>
      <c r="AY1294" s="2"/>
    </row>
    <row r="1295" spans="21:51" x14ac:dyDescent="0.25">
      <c r="U1295" s="2"/>
      <c r="W1295" s="5"/>
      <c r="X1295" s="5"/>
      <c r="Y1295" s="5"/>
      <c r="Z1295" s="5"/>
      <c r="AA1295" s="5"/>
      <c r="AB1295" s="5"/>
      <c r="AC1295" s="5"/>
      <c r="AD1295" s="5"/>
      <c r="AE1295" s="5"/>
      <c r="AQ1295" s="2"/>
      <c r="AR1295" s="2"/>
      <c r="AS1295" s="2"/>
      <c r="AT1295" s="2"/>
      <c r="AU1295" s="2"/>
      <c r="AV1295" s="2"/>
      <c r="AW1295" s="2"/>
      <c r="AX1295" s="2"/>
      <c r="AY1295" s="2"/>
    </row>
    <row r="1296" spans="21:51" x14ac:dyDescent="0.25">
      <c r="U1296" s="2"/>
      <c r="W1296" s="5"/>
      <c r="X1296" s="5"/>
      <c r="Y1296" s="5"/>
      <c r="Z1296" s="5"/>
      <c r="AA1296" s="5"/>
      <c r="AB1296" s="5"/>
      <c r="AC1296" s="5"/>
      <c r="AD1296" s="5"/>
      <c r="AE1296" s="5"/>
      <c r="AQ1296" s="2"/>
      <c r="AR1296" s="2"/>
      <c r="AS1296" s="2"/>
      <c r="AT1296" s="2"/>
      <c r="AU1296" s="2"/>
      <c r="AV1296" s="2"/>
      <c r="AW1296" s="2"/>
      <c r="AX1296" s="2"/>
      <c r="AY1296" s="2"/>
    </row>
    <row r="1297" spans="21:51" x14ac:dyDescent="0.25">
      <c r="U1297" s="2"/>
      <c r="W1297" s="5"/>
      <c r="X1297" s="5"/>
      <c r="Y1297" s="5"/>
      <c r="Z1297" s="5"/>
      <c r="AA1297" s="5"/>
      <c r="AB1297" s="5"/>
      <c r="AC1297" s="5"/>
      <c r="AD1297" s="5"/>
      <c r="AE1297" s="5"/>
      <c r="AQ1297" s="2"/>
      <c r="AR1297" s="2"/>
      <c r="AS1297" s="2"/>
      <c r="AT1297" s="2"/>
      <c r="AU1297" s="2"/>
      <c r="AV1297" s="2"/>
      <c r="AW1297" s="2"/>
      <c r="AX1297" s="2"/>
      <c r="AY1297" s="2"/>
    </row>
    <row r="1298" spans="21:51" x14ac:dyDescent="0.25">
      <c r="U1298" s="2"/>
      <c r="W1298" s="5"/>
      <c r="X1298" s="5"/>
      <c r="Y1298" s="5"/>
      <c r="Z1298" s="5"/>
      <c r="AA1298" s="5"/>
      <c r="AB1298" s="5"/>
      <c r="AC1298" s="5"/>
      <c r="AD1298" s="5"/>
      <c r="AE1298" s="5"/>
      <c r="AQ1298" s="2"/>
      <c r="AR1298" s="2"/>
      <c r="AS1298" s="2"/>
      <c r="AT1298" s="2"/>
      <c r="AU1298" s="2"/>
      <c r="AV1298" s="2"/>
      <c r="AW1298" s="2"/>
      <c r="AX1298" s="2"/>
      <c r="AY1298" s="2"/>
    </row>
    <row r="1299" spans="21:51" x14ac:dyDescent="0.25">
      <c r="U1299" s="2"/>
      <c r="W1299" s="5"/>
      <c r="X1299" s="5"/>
      <c r="Y1299" s="5"/>
      <c r="Z1299" s="5"/>
      <c r="AA1299" s="5"/>
      <c r="AB1299" s="5"/>
      <c r="AC1299" s="5"/>
      <c r="AD1299" s="5"/>
      <c r="AE1299" s="5"/>
      <c r="AQ1299" s="2"/>
      <c r="AR1299" s="2"/>
      <c r="AS1299" s="2"/>
      <c r="AT1299" s="2"/>
      <c r="AU1299" s="2"/>
      <c r="AV1299" s="2"/>
      <c r="AW1299" s="2"/>
      <c r="AX1299" s="2"/>
      <c r="AY1299" s="2"/>
    </row>
    <row r="1300" spans="21:51" x14ac:dyDescent="0.25">
      <c r="U1300" s="2"/>
      <c r="W1300" s="5"/>
      <c r="X1300" s="5"/>
      <c r="Y1300" s="5"/>
      <c r="Z1300" s="5"/>
      <c r="AA1300" s="5"/>
      <c r="AB1300" s="5"/>
      <c r="AC1300" s="5"/>
      <c r="AD1300" s="5"/>
      <c r="AE1300" s="5"/>
      <c r="AQ1300" s="2"/>
      <c r="AR1300" s="2"/>
      <c r="AS1300" s="2"/>
      <c r="AT1300" s="2"/>
      <c r="AU1300" s="2"/>
      <c r="AV1300" s="2"/>
      <c r="AW1300" s="2"/>
      <c r="AX1300" s="2"/>
      <c r="AY1300" s="2"/>
    </row>
    <row r="1301" spans="21:51" x14ac:dyDescent="0.25">
      <c r="U1301" s="2"/>
      <c r="W1301" s="5"/>
      <c r="X1301" s="5"/>
      <c r="Y1301" s="5"/>
      <c r="Z1301" s="5"/>
      <c r="AA1301" s="5"/>
      <c r="AB1301" s="5"/>
      <c r="AC1301" s="5"/>
      <c r="AD1301" s="5"/>
      <c r="AE1301" s="5"/>
      <c r="AQ1301" s="2"/>
      <c r="AR1301" s="2"/>
      <c r="AS1301" s="2"/>
      <c r="AT1301" s="2"/>
      <c r="AU1301" s="2"/>
      <c r="AV1301" s="2"/>
      <c r="AW1301" s="2"/>
      <c r="AX1301" s="2"/>
      <c r="AY1301" s="2"/>
    </row>
    <row r="1302" spans="21:51" x14ac:dyDescent="0.25">
      <c r="U1302" s="2"/>
      <c r="W1302" s="5"/>
      <c r="X1302" s="5"/>
      <c r="Y1302" s="5"/>
      <c r="Z1302" s="5"/>
      <c r="AA1302" s="5"/>
      <c r="AB1302" s="5"/>
      <c r="AC1302" s="5"/>
      <c r="AD1302" s="5"/>
      <c r="AE1302" s="5"/>
      <c r="AQ1302" s="2"/>
      <c r="AR1302" s="2"/>
      <c r="AS1302" s="2"/>
      <c r="AT1302" s="2"/>
      <c r="AU1302" s="2"/>
      <c r="AV1302" s="2"/>
      <c r="AW1302" s="2"/>
      <c r="AX1302" s="2"/>
      <c r="AY1302" s="2"/>
    </row>
    <row r="1303" spans="21:51" x14ac:dyDescent="0.25">
      <c r="U1303" s="2"/>
      <c r="W1303" s="5"/>
      <c r="X1303" s="5"/>
      <c r="Y1303" s="5"/>
      <c r="Z1303" s="5"/>
      <c r="AA1303" s="5"/>
      <c r="AB1303" s="5"/>
      <c r="AC1303" s="5"/>
      <c r="AD1303" s="5"/>
      <c r="AE1303" s="5"/>
      <c r="AQ1303" s="2"/>
      <c r="AR1303" s="2"/>
      <c r="AS1303" s="2"/>
      <c r="AT1303" s="2"/>
      <c r="AU1303" s="2"/>
      <c r="AV1303" s="2"/>
      <c r="AW1303" s="2"/>
      <c r="AX1303" s="2"/>
      <c r="AY1303" s="2"/>
    </row>
    <row r="1304" spans="21:51" x14ac:dyDescent="0.25">
      <c r="U1304" s="2"/>
      <c r="W1304" s="5"/>
      <c r="X1304" s="5"/>
      <c r="Y1304" s="5"/>
      <c r="Z1304" s="5"/>
      <c r="AA1304" s="5"/>
      <c r="AB1304" s="5"/>
      <c r="AC1304" s="5"/>
      <c r="AD1304" s="5"/>
      <c r="AE1304" s="5"/>
      <c r="AQ1304" s="2"/>
      <c r="AR1304" s="2"/>
      <c r="AS1304" s="2"/>
      <c r="AT1304" s="2"/>
      <c r="AU1304" s="2"/>
      <c r="AV1304" s="2"/>
      <c r="AW1304" s="2"/>
      <c r="AX1304" s="2"/>
      <c r="AY1304" s="2"/>
    </row>
    <row r="1305" spans="21:51" x14ac:dyDescent="0.25">
      <c r="U1305" s="2"/>
      <c r="W1305" s="5"/>
      <c r="X1305" s="5"/>
      <c r="Y1305" s="5"/>
      <c r="Z1305" s="5"/>
      <c r="AA1305" s="5"/>
      <c r="AB1305" s="5"/>
      <c r="AC1305" s="5"/>
      <c r="AD1305" s="5"/>
      <c r="AE1305" s="5"/>
      <c r="AQ1305" s="2"/>
      <c r="AR1305" s="2"/>
      <c r="AS1305" s="2"/>
      <c r="AT1305" s="2"/>
      <c r="AU1305" s="2"/>
      <c r="AV1305" s="2"/>
      <c r="AW1305" s="2"/>
      <c r="AX1305" s="2"/>
      <c r="AY1305" s="2"/>
    </row>
    <row r="1306" spans="21:51" x14ac:dyDescent="0.25">
      <c r="U1306" s="2"/>
      <c r="W1306" s="5"/>
      <c r="X1306" s="5"/>
      <c r="Y1306" s="5"/>
      <c r="Z1306" s="5"/>
      <c r="AA1306" s="5"/>
      <c r="AB1306" s="5"/>
      <c r="AC1306" s="5"/>
      <c r="AD1306" s="5"/>
      <c r="AE1306" s="5"/>
      <c r="AQ1306" s="2"/>
      <c r="AR1306" s="2"/>
      <c r="AS1306" s="2"/>
      <c r="AT1306" s="2"/>
      <c r="AU1306" s="2"/>
      <c r="AV1306" s="2"/>
      <c r="AW1306" s="2"/>
      <c r="AX1306" s="2"/>
      <c r="AY1306" s="2"/>
    </row>
    <row r="1307" spans="21:51" x14ac:dyDescent="0.25">
      <c r="U1307" s="2"/>
      <c r="W1307" s="5"/>
      <c r="X1307" s="5"/>
      <c r="Y1307" s="5"/>
      <c r="Z1307" s="5"/>
      <c r="AA1307" s="5"/>
      <c r="AB1307" s="5"/>
      <c r="AC1307" s="5"/>
      <c r="AD1307" s="5"/>
      <c r="AE1307" s="5"/>
      <c r="AQ1307" s="2"/>
      <c r="AR1307" s="2"/>
      <c r="AS1307" s="2"/>
      <c r="AT1307" s="2"/>
      <c r="AU1307" s="2"/>
      <c r="AV1307" s="2"/>
      <c r="AW1307" s="2"/>
      <c r="AX1307" s="2"/>
      <c r="AY1307" s="2"/>
    </row>
    <row r="1308" spans="21:51" x14ac:dyDescent="0.25">
      <c r="U1308" s="2"/>
      <c r="W1308" s="5"/>
      <c r="X1308" s="5"/>
      <c r="Y1308" s="5"/>
      <c r="Z1308" s="5"/>
      <c r="AA1308" s="5"/>
      <c r="AB1308" s="5"/>
      <c r="AC1308" s="5"/>
      <c r="AD1308" s="5"/>
      <c r="AE1308" s="5"/>
      <c r="AQ1308" s="2"/>
      <c r="AR1308" s="2"/>
      <c r="AS1308" s="2"/>
      <c r="AT1308" s="2"/>
      <c r="AU1308" s="2"/>
      <c r="AV1308" s="2"/>
      <c r="AW1308" s="2"/>
      <c r="AX1308" s="2"/>
      <c r="AY1308" s="2"/>
    </row>
    <row r="1309" spans="21:51" x14ac:dyDescent="0.25">
      <c r="U1309" s="2"/>
      <c r="W1309" s="5"/>
      <c r="X1309" s="5"/>
      <c r="Y1309" s="5"/>
      <c r="Z1309" s="5"/>
      <c r="AA1309" s="5"/>
      <c r="AB1309" s="5"/>
      <c r="AC1309" s="5"/>
      <c r="AD1309" s="5"/>
      <c r="AE1309" s="5"/>
      <c r="AQ1309" s="2"/>
      <c r="AR1309" s="2"/>
      <c r="AS1309" s="2"/>
      <c r="AT1309" s="2"/>
      <c r="AU1309" s="2"/>
      <c r="AV1309" s="2"/>
      <c r="AW1309" s="2"/>
      <c r="AX1309" s="2"/>
      <c r="AY1309" s="2"/>
    </row>
    <row r="1310" spans="21:51" x14ac:dyDescent="0.25">
      <c r="U1310" s="2"/>
      <c r="W1310" s="5"/>
      <c r="X1310" s="5"/>
      <c r="Y1310" s="5"/>
      <c r="Z1310" s="5"/>
      <c r="AA1310" s="5"/>
      <c r="AB1310" s="5"/>
      <c r="AC1310" s="5"/>
      <c r="AD1310" s="5"/>
      <c r="AE1310" s="5"/>
      <c r="AQ1310" s="2"/>
      <c r="AR1310" s="2"/>
      <c r="AS1310" s="2"/>
      <c r="AT1310" s="2"/>
      <c r="AU1310" s="2"/>
      <c r="AV1310" s="2"/>
      <c r="AW1310" s="2"/>
      <c r="AX1310" s="2"/>
      <c r="AY1310" s="2"/>
    </row>
    <row r="1311" spans="21:51" x14ac:dyDescent="0.25">
      <c r="U1311" s="2"/>
      <c r="W1311" s="5"/>
      <c r="X1311" s="5"/>
      <c r="Y1311" s="5"/>
      <c r="Z1311" s="5"/>
      <c r="AA1311" s="5"/>
      <c r="AB1311" s="5"/>
      <c r="AC1311" s="5"/>
      <c r="AD1311" s="5"/>
      <c r="AE1311" s="5"/>
      <c r="AQ1311" s="2"/>
      <c r="AR1311" s="2"/>
      <c r="AS1311" s="2"/>
      <c r="AT1311" s="2"/>
      <c r="AU1311" s="2"/>
      <c r="AV1311" s="2"/>
      <c r="AW1311" s="2"/>
      <c r="AX1311" s="2"/>
      <c r="AY1311" s="2"/>
    </row>
    <row r="1312" spans="21:51" x14ac:dyDescent="0.25">
      <c r="U1312" s="2"/>
      <c r="W1312" s="5"/>
      <c r="X1312" s="5"/>
      <c r="Y1312" s="5"/>
      <c r="Z1312" s="5"/>
      <c r="AA1312" s="5"/>
      <c r="AB1312" s="5"/>
      <c r="AC1312" s="5"/>
      <c r="AD1312" s="5"/>
      <c r="AE1312" s="5"/>
      <c r="AQ1312" s="2"/>
      <c r="AR1312" s="2"/>
      <c r="AS1312" s="2"/>
      <c r="AT1312" s="2"/>
      <c r="AU1312" s="2"/>
      <c r="AV1312" s="2"/>
      <c r="AW1312" s="2"/>
      <c r="AX1312" s="2"/>
      <c r="AY1312" s="2"/>
    </row>
    <row r="1313" spans="21:51" x14ac:dyDescent="0.25">
      <c r="U1313" s="2"/>
      <c r="W1313" s="5"/>
      <c r="X1313" s="5"/>
      <c r="Y1313" s="5"/>
      <c r="Z1313" s="5"/>
      <c r="AA1313" s="5"/>
      <c r="AB1313" s="5"/>
      <c r="AC1313" s="5"/>
      <c r="AD1313" s="5"/>
      <c r="AE1313" s="5"/>
      <c r="AQ1313" s="2"/>
      <c r="AR1313" s="2"/>
      <c r="AS1313" s="2"/>
      <c r="AT1313" s="2"/>
      <c r="AU1313" s="2"/>
      <c r="AV1313" s="2"/>
      <c r="AW1313" s="2"/>
      <c r="AX1313" s="2"/>
      <c r="AY1313" s="2"/>
    </row>
    <row r="1314" spans="21:51" x14ac:dyDescent="0.25">
      <c r="U1314" s="2"/>
      <c r="W1314" s="5"/>
      <c r="X1314" s="5"/>
      <c r="Y1314" s="5"/>
      <c r="Z1314" s="5"/>
      <c r="AA1314" s="5"/>
      <c r="AB1314" s="5"/>
      <c r="AC1314" s="5"/>
      <c r="AD1314" s="5"/>
      <c r="AE1314" s="5"/>
      <c r="AQ1314" s="2"/>
      <c r="AR1314" s="2"/>
      <c r="AS1314" s="2"/>
      <c r="AT1314" s="2"/>
      <c r="AU1314" s="2"/>
      <c r="AV1314" s="2"/>
      <c r="AW1314" s="2"/>
      <c r="AX1314" s="2"/>
      <c r="AY1314" s="2"/>
    </row>
    <row r="1315" spans="21:51" x14ac:dyDescent="0.25">
      <c r="U1315" s="2"/>
      <c r="W1315" s="5"/>
      <c r="X1315" s="5"/>
      <c r="Y1315" s="5"/>
      <c r="Z1315" s="5"/>
      <c r="AA1315" s="5"/>
      <c r="AB1315" s="5"/>
      <c r="AC1315" s="5"/>
      <c r="AD1315" s="5"/>
      <c r="AE1315" s="5"/>
      <c r="AQ1315" s="2"/>
      <c r="AR1315" s="2"/>
      <c r="AS1315" s="2"/>
      <c r="AT1315" s="2"/>
      <c r="AU1315" s="2"/>
      <c r="AV1315" s="2"/>
      <c r="AW1315" s="2"/>
      <c r="AX1315" s="2"/>
      <c r="AY1315" s="2"/>
    </row>
    <row r="1316" spans="21:51" x14ac:dyDescent="0.25">
      <c r="U1316" s="2"/>
      <c r="W1316" s="5"/>
      <c r="X1316" s="5"/>
      <c r="Y1316" s="5"/>
      <c r="Z1316" s="5"/>
      <c r="AA1316" s="5"/>
      <c r="AB1316" s="5"/>
      <c r="AC1316" s="5"/>
      <c r="AD1316" s="5"/>
      <c r="AE1316" s="5"/>
      <c r="AQ1316" s="2"/>
      <c r="AR1316" s="2"/>
      <c r="AS1316" s="2"/>
      <c r="AT1316" s="2"/>
      <c r="AU1316" s="2"/>
      <c r="AV1316" s="2"/>
      <c r="AW1316" s="2"/>
      <c r="AX1316" s="2"/>
      <c r="AY1316" s="2"/>
    </row>
    <row r="1317" spans="21:51" x14ac:dyDescent="0.25">
      <c r="U1317" s="2"/>
      <c r="W1317" s="5"/>
      <c r="X1317" s="5"/>
      <c r="Y1317" s="5"/>
      <c r="Z1317" s="5"/>
      <c r="AA1317" s="5"/>
      <c r="AB1317" s="5"/>
      <c r="AC1317" s="5"/>
      <c r="AD1317" s="5"/>
      <c r="AE1317" s="5"/>
      <c r="AQ1317" s="2"/>
      <c r="AR1317" s="2"/>
      <c r="AS1317" s="2"/>
      <c r="AT1317" s="2"/>
      <c r="AU1317" s="2"/>
      <c r="AV1317" s="2"/>
      <c r="AW1317" s="2"/>
      <c r="AX1317" s="2"/>
      <c r="AY1317" s="2"/>
    </row>
    <row r="1318" spans="21:51" x14ac:dyDescent="0.25">
      <c r="U1318" s="2"/>
      <c r="W1318" s="5"/>
      <c r="X1318" s="5"/>
      <c r="Y1318" s="5"/>
      <c r="Z1318" s="5"/>
      <c r="AA1318" s="5"/>
      <c r="AB1318" s="5"/>
      <c r="AC1318" s="5"/>
      <c r="AD1318" s="5"/>
      <c r="AE1318" s="5"/>
      <c r="AQ1318" s="2"/>
      <c r="AR1318" s="2"/>
      <c r="AS1318" s="2"/>
      <c r="AT1318" s="2"/>
      <c r="AU1318" s="2"/>
      <c r="AV1318" s="2"/>
      <c r="AW1318" s="2"/>
      <c r="AX1318" s="2"/>
      <c r="AY1318" s="2"/>
    </row>
    <row r="1319" spans="21:51" x14ac:dyDescent="0.25">
      <c r="U1319" s="2"/>
      <c r="W1319" s="5"/>
      <c r="X1319" s="5"/>
      <c r="Y1319" s="5"/>
      <c r="Z1319" s="5"/>
      <c r="AA1319" s="5"/>
      <c r="AB1319" s="5"/>
      <c r="AC1319" s="5"/>
      <c r="AD1319" s="5"/>
      <c r="AE1319" s="5"/>
      <c r="AQ1319" s="2"/>
      <c r="AR1319" s="2"/>
      <c r="AS1319" s="2"/>
      <c r="AT1319" s="2"/>
      <c r="AU1319" s="2"/>
      <c r="AV1319" s="2"/>
      <c r="AW1319" s="2"/>
      <c r="AX1319" s="2"/>
      <c r="AY1319" s="2"/>
    </row>
    <row r="1320" spans="21:51" x14ac:dyDescent="0.25">
      <c r="U1320" s="2"/>
      <c r="W1320" s="5"/>
      <c r="X1320" s="5"/>
      <c r="Y1320" s="5"/>
      <c r="Z1320" s="5"/>
      <c r="AA1320" s="5"/>
      <c r="AB1320" s="5"/>
      <c r="AC1320" s="5"/>
      <c r="AD1320" s="5"/>
      <c r="AE1320" s="5"/>
      <c r="AQ1320" s="2"/>
      <c r="AR1320" s="2"/>
      <c r="AS1320" s="2"/>
      <c r="AT1320" s="2"/>
      <c r="AU1320" s="2"/>
      <c r="AV1320" s="2"/>
      <c r="AW1320" s="2"/>
      <c r="AX1320" s="2"/>
      <c r="AY1320" s="2"/>
    </row>
    <row r="1321" spans="21:51" x14ac:dyDescent="0.25">
      <c r="U1321" s="2"/>
      <c r="W1321" s="5"/>
      <c r="X1321" s="5"/>
      <c r="Y1321" s="5"/>
      <c r="Z1321" s="5"/>
      <c r="AA1321" s="5"/>
      <c r="AB1321" s="5"/>
      <c r="AC1321" s="5"/>
      <c r="AD1321" s="5"/>
      <c r="AE1321" s="5"/>
      <c r="AQ1321" s="2"/>
      <c r="AR1321" s="2"/>
      <c r="AS1321" s="2"/>
      <c r="AT1321" s="2"/>
      <c r="AU1321" s="2"/>
      <c r="AV1321" s="2"/>
      <c r="AW1321" s="2"/>
      <c r="AX1321" s="2"/>
      <c r="AY1321" s="2"/>
    </row>
    <row r="1322" spans="21:51" x14ac:dyDescent="0.25">
      <c r="U1322" s="2"/>
      <c r="W1322" s="5"/>
      <c r="X1322" s="5"/>
      <c r="Y1322" s="5"/>
      <c r="Z1322" s="5"/>
      <c r="AA1322" s="5"/>
      <c r="AB1322" s="5"/>
      <c r="AC1322" s="5"/>
      <c r="AD1322" s="5"/>
      <c r="AE1322" s="5"/>
      <c r="AQ1322" s="2"/>
      <c r="AR1322" s="2"/>
      <c r="AS1322" s="2"/>
      <c r="AT1322" s="2"/>
      <c r="AU1322" s="2"/>
      <c r="AV1322" s="2"/>
      <c r="AW1322" s="2"/>
      <c r="AX1322" s="2"/>
      <c r="AY1322" s="2"/>
    </row>
    <row r="1323" spans="21:51" x14ac:dyDescent="0.25">
      <c r="U1323" s="2"/>
      <c r="W1323" s="5"/>
      <c r="X1323" s="5"/>
      <c r="Y1323" s="5"/>
      <c r="Z1323" s="5"/>
      <c r="AA1323" s="5"/>
      <c r="AB1323" s="5"/>
      <c r="AC1323" s="5"/>
      <c r="AD1323" s="5"/>
      <c r="AE1323" s="5"/>
      <c r="AQ1323" s="2"/>
      <c r="AR1323" s="2"/>
      <c r="AS1323" s="2"/>
      <c r="AT1323" s="2"/>
      <c r="AU1323" s="2"/>
      <c r="AV1323" s="2"/>
      <c r="AW1323" s="2"/>
      <c r="AX1323" s="2"/>
      <c r="AY1323" s="2"/>
    </row>
    <row r="1324" spans="21:51" x14ac:dyDescent="0.25">
      <c r="U1324" s="2"/>
      <c r="W1324" s="5"/>
      <c r="X1324" s="5"/>
      <c r="Y1324" s="5"/>
      <c r="Z1324" s="5"/>
      <c r="AA1324" s="5"/>
      <c r="AB1324" s="5"/>
      <c r="AC1324" s="5"/>
      <c r="AD1324" s="5"/>
      <c r="AE1324" s="5"/>
      <c r="AQ1324" s="2"/>
      <c r="AR1324" s="2"/>
      <c r="AS1324" s="2"/>
      <c r="AT1324" s="2"/>
      <c r="AU1324" s="2"/>
      <c r="AV1324" s="2"/>
      <c r="AW1324" s="2"/>
      <c r="AX1324" s="2"/>
      <c r="AY1324" s="2"/>
    </row>
    <row r="1325" spans="21:51" x14ac:dyDescent="0.25">
      <c r="U1325" s="2"/>
      <c r="W1325" s="5"/>
      <c r="X1325" s="5"/>
      <c r="Y1325" s="5"/>
      <c r="Z1325" s="5"/>
      <c r="AA1325" s="5"/>
      <c r="AB1325" s="5"/>
      <c r="AC1325" s="5"/>
      <c r="AD1325" s="5"/>
      <c r="AE1325" s="5"/>
      <c r="AQ1325" s="2"/>
      <c r="AR1325" s="2"/>
      <c r="AS1325" s="2"/>
      <c r="AT1325" s="2"/>
      <c r="AU1325" s="2"/>
      <c r="AV1325" s="2"/>
      <c r="AW1325" s="2"/>
      <c r="AX1325" s="2"/>
      <c r="AY1325" s="2"/>
    </row>
    <row r="1326" spans="21:51" x14ac:dyDescent="0.25">
      <c r="U1326" s="2"/>
      <c r="W1326" s="5"/>
      <c r="X1326" s="5"/>
      <c r="Y1326" s="5"/>
      <c r="Z1326" s="5"/>
      <c r="AA1326" s="5"/>
      <c r="AB1326" s="5"/>
      <c r="AC1326" s="5"/>
      <c r="AD1326" s="5"/>
      <c r="AE1326" s="5"/>
      <c r="AQ1326" s="2"/>
      <c r="AR1326" s="2"/>
      <c r="AS1326" s="2"/>
      <c r="AT1326" s="2"/>
      <c r="AU1326" s="2"/>
      <c r="AV1326" s="2"/>
      <c r="AW1326" s="2"/>
      <c r="AX1326" s="2"/>
      <c r="AY1326" s="2"/>
    </row>
    <row r="1327" spans="21:51" x14ac:dyDescent="0.25">
      <c r="U1327" s="2"/>
      <c r="W1327" s="5"/>
      <c r="X1327" s="5"/>
      <c r="Y1327" s="5"/>
      <c r="Z1327" s="5"/>
      <c r="AA1327" s="5"/>
      <c r="AB1327" s="5"/>
      <c r="AC1327" s="5"/>
      <c r="AD1327" s="5"/>
      <c r="AE1327" s="5"/>
      <c r="AQ1327" s="2"/>
      <c r="AR1327" s="2"/>
      <c r="AS1327" s="2"/>
      <c r="AT1327" s="2"/>
      <c r="AU1327" s="2"/>
      <c r="AV1327" s="2"/>
      <c r="AW1327" s="2"/>
      <c r="AX1327" s="2"/>
      <c r="AY1327" s="2"/>
    </row>
    <row r="1328" spans="21:51" x14ac:dyDescent="0.25">
      <c r="U1328" s="2"/>
      <c r="W1328" s="5"/>
      <c r="X1328" s="5"/>
      <c r="Y1328" s="5"/>
      <c r="Z1328" s="5"/>
      <c r="AA1328" s="5"/>
      <c r="AB1328" s="5"/>
      <c r="AC1328" s="5"/>
      <c r="AD1328" s="5"/>
      <c r="AE1328" s="5"/>
      <c r="AQ1328" s="2"/>
      <c r="AR1328" s="2"/>
      <c r="AS1328" s="2"/>
      <c r="AT1328" s="2"/>
      <c r="AU1328" s="2"/>
      <c r="AV1328" s="2"/>
      <c r="AW1328" s="2"/>
      <c r="AX1328" s="2"/>
      <c r="AY1328" s="2"/>
    </row>
    <row r="1329" spans="21:51" x14ac:dyDescent="0.25">
      <c r="U1329" s="2"/>
      <c r="W1329" s="5"/>
      <c r="X1329" s="5"/>
      <c r="Y1329" s="5"/>
      <c r="Z1329" s="5"/>
      <c r="AA1329" s="5"/>
      <c r="AB1329" s="5"/>
      <c r="AC1329" s="5"/>
      <c r="AD1329" s="5"/>
      <c r="AE1329" s="5"/>
      <c r="AQ1329" s="2"/>
      <c r="AR1329" s="2"/>
      <c r="AS1329" s="2"/>
      <c r="AT1329" s="2"/>
      <c r="AU1329" s="2"/>
      <c r="AV1329" s="2"/>
      <c r="AW1329" s="2"/>
      <c r="AX1329" s="2"/>
      <c r="AY1329" s="2"/>
    </row>
    <row r="1330" spans="21:51" x14ac:dyDescent="0.25">
      <c r="U1330" s="2"/>
      <c r="W1330" s="5"/>
      <c r="X1330" s="5"/>
      <c r="Y1330" s="5"/>
      <c r="Z1330" s="5"/>
      <c r="AA1330" s="5"/>
      <c r="AB1330" s="5"/>
      <c r="AC1330" s="5"/>
      <c r="AD1330" s="5"/>
      <c r="AE1330" s="5"/>
      <c r="AQ1330" s="2"/>
      <c r="AR1330" s="2"/>
      <c r="AS1330" s="2"/>
      <c r="AT1330" s="2"/>
      <c r="AU1330" s="2"/>
      <c r="AV1330" s="2"/>
      <c r="AW1330" s="2"/>
      <c r="AX1330" s="2"/>
      <c r="AY1330" s="2"/>
    </row>
    <row r="1331" spans="21:51" x14ac:dyDescent="0.25">
      <c r="U1331" s="2"/>
      <c r="W1331" s="5"/>
      <c r="X1331" s="5"/>
      <c r="Y1331" s="5"/>
      <c r="Z1331" s="5"/>
      <c r="AA1331" s="5"/>
      <c r="AB1331" s="5"/>
      <c r="AC1331" s="5"/>
      <c r="AD1331" s="5"/>
      <c r="AE1331" s="5"/>
      <c r="AQ1331" s="2"/>
      <c r="AR1331" s="2"/>
      <c r="AS1331" s="2"/>
      <c r="AT1331" s="2"/>
      <c r="AU1331" s="2"/>
      <c r="AV1331" s="2"/>
      <c r="AW1331" s="2"/>
      <c r="AX1331" s="2"/>
      <c r="AY1331" s="2"/>
    </row>
    <row r="1332" spans="21:51" x14ac:dyDescent="0.25">
      <c r="U1332" s="2"/>
      <c r="W1332" s="5"/>
      <c r="X1332" s="5"/>
      <c r="Y1332" s="5"/>
      <c r="Z1332" s="5"/>
      <c r="AA1332" s="5"/>
      <c r="AB1332" s="5"/>
      <c r="AC1332" s="5"/>
      <c r="AD1332" s="5"/>
      <c r="AE1332" s="5"/>
      <c r="AQ1332" s="2"/>
      <c r="AR1332" s="2"/>
      <c r="AS1332" s="2"/>
      <c r="AT1332" s="2"/>
      <c r="AU1332" s="2"/>
      <c r="AV1332" s="2"/>
      <c r="AW1332" s="2"/>
      <c r="AX1332" s="2"/>
      <c r="AY1332" s="2"/>
    </row>
    <row r="1333" spans="21:51" x14ac:dyDescent="0.25">
      <c r="U1333" s="2"/>
      <c r="W1333" s="5"/>
      <c r="X1333" s="5"/>
      <c r="Y1333" s="5"/>
      <c r="Z1333" s="5"/>
      <c r="AA1333" s="5"/>
      <c r="AB1333" s="5"/>
      <c r="AC1333" s="5"/>
      <c r="AD1333" s="5"/>
      <c r="AE1333" s="5"/>
      <c r="AQ1333" s="2"/>
      <c r="AR1333" s="2"/>
      <c r="AS1333" s="2"/>
      <c r="AT1333" s="2"/>
      <c r="AU1333" s="2"/>
      <c r="AV1333" s="2"/>
      <c r="AW1333" s="2"/>
      <c r="AX1333" s="2"/>
      <c r="AY1333" s="2"/>
    </row>
    <row r="1334" spans="21:51" x14ac:dyDescent="0.25">
      <c r="U1334" s="2"/>
      <c r="W1334" s="5"/>
      <c r="X1334" s="5"/>
      <c r="Y1334" s="5"/>
      <c r="Z1334" s="5"/>
      <c r="AA1334" s="5"/>
      <c r="AB1334" s="5"/>
      <c r="AC1334" s="5"/>
      <c r="AD1334" s="5"/>
      <c r="AE1334" s="5"/>
      <c r="AQ1334" s="2"/>
      <c r="AR1334" s="2"/>
      <c r="AS1334" s="2"/>
      <c r="AT1334" s="2"/>
      <c r="AU1334" s="2"/>
      <c r="AV1334" s="2"/>
      <c r="AW1334" s="2"/>
      <c r="AX1334" s="2"/>
      <c r="AY1334" s="2"/>
    </row>
    <row r="1335" spans="21:51" x14ac:dyDescent="0.25">
      <c r="U1335" s="2"/>
      <c r="W1335" s="5"/>
      <c r="X1335" s="5"/>
      <c r="Y1335" s="5"/>
      <c r="Z1335" s="5"/>
      <c r="AA1335" s="5"/>
      <c r="AB1335" s="5"/>
      <c r="AC1335" s="5"/>
      <c r="AD1335" s="5"/>
      <c r="AE1335" s="5"/>
      <c r="AQ1335" s="2"/>
      <c r="AR1335" s="2"/>
      <c r="AS1335" s="2"/>
      <c r="AT1335" s="2"/>
      <c r="AU1335" s="2"/>
      <c r="AV1335" s="2"/>
      <c r="AW1335" s="2"/>
      <c r="AX1335" s="2"/>
      <c r="AY1335" s="2"/>
    </row>
    <row r="1336" spans="21:51" x14ac:dyDescent="0.25">
      <c r="U1336" s="2"/>
      <c r="W1336" s="5"/>
      <c r="X1336" s="5"/>
      <c r="Y1336" s="5"/>
      <c r="Z1336" s="5"/>
      <c r="AA1336" s="5"/>
      <c r="AB1336" s="5"/>
      <c r="AC1336" s="5"/>
      <c r="AD1336" s="5"/>
      <c r="AE1336" s="5"/>
      <c r="AQ1336" s="2"/>
      <c r="AR1336" s="2"/>
      <c r="AS1336" s="2"/>
      <c r="AT1336" s="2"/>
      <c r="AU1336" s="2"/>
      <c r="AV1336" s="2"/>
      <c r="AW1336" s="2"/>
      <c r="AX1336" s="2"/>
      <c r="AY1336" s="2"/>
    </row>
    <row r="1337" spans="21:51" x14ac:dyDescent="0.25">
      <c r="U1337" s="2"/>
      <c r="W1337" s="5"/>
      <c r="X1337" s="5"/>
      <c r="Y1337" s="5"/>
      <c r="Z1337" s="5"/>
      <c r="AA1337" s="5"/>
      <c r="AB1337" s="5"/>
      <c r="AC1337" s="5"/>
      <c r="AD1337" s="5"/>
      <c r="AE1337" s="5"/>
      <c r="AQ1337" s="2"/>
      <c r="AR1337" s="2"/>
      <c r="AS1337" s="2"/>
      <c r="AT1337" s="2"/>
      <c r="AU1337" s="2"/>
      <c r="AV1337" s="2"/>
      <c r="AW1337" s="2"/>
      <c r="AX1337" s="2"/>
      <c r="AY1337" s="2"/>
    </row>
    <row r="1338" spans="21:51" x14ac:dyDescent="0.25">
      <c r="U1338" s="2"/>
      <c r="W1338" s="5"/>
      <c r="X1338" s="5"/>
      <c r="Y1338" s="5"/>
      <c r="Z1338" s="5"/>
      <c r="AA1338" s="5"/>
      <c r="AB1338" s="5"/>
      <c r="AC1338" s="5"/>
      <c r="AD1338" s="5"/>
      <c r="AE1338" s="5"/>
      <c r="AQ1338" s="2"/>
      <c r="AR1338" s="2"/>
      <c r="AS1338" s="2"/>
      <c r="AT1338" s="2"/>
      <c r="AU1338" s="2"/>
      <c r="AV1338" s="2"/>
      <c r="AW1338" s="2"/>
      <c r="AX1338" s="2"/>
      <c r="AY1338" s="2"/>
    </row>
    <row r="1339" spans="21:51" x14ac:dyDescent="0.25">
      <c r="U1339" s="2"/>
      <c r="W1339" s="5"/>
      <c r="X1339" s="5"/>
      <c r="Y1339" s="5"/>
      <c r="Z1339" s="5"/>
      <c r="AA1339" s="5"/>
      <c r="AB1339" s="5"/>
      <c r="AC1339" s="5"/>
      <c r="AD1339" s="5"/>
      <c r="AE1339" s="5"/>
      <c r="AQ1339" s="2"/>
      <c r="AR1339" s="2"/>
      <c r="AS1339" s="2"/>
      <c r="AT1339" s="2"/>
      <c r="AU1339" s="2"/>
      <c r="AV1339" s="2"/>
      <c r="AW1339" s="2"/>
      <c r="AX1339" s="2"/>
      <c r="AY1339" s="2"/>
    </row>
    <row r="1340" spans="21:51" x14ac:dyDescent="0.25">
      <c r="U1340" s="2"/>
      <c r="W1340" s="5"/>
      <c r="X1340" s="5"/>
      <c r="Y1340" s="5"/>
      <c r="Z1340" s="5"/>
      <c r="AA1340" s="5"/>
      <c r="AB1340" s="5"/>
      <c r="AC1340" s="5"/>
      <c r="AD1340" s="5"/>
      <c r="AE1340" s="5"/>
      <c r="AQ1340" s="2"/>
      <c r="AR1340" s="2"/>
      <c r="AS1340" s="2"/>
      <c r="AT1340" s="2"/>
      <c r="AU1340" s="2"/>
      <c r="AV1340" s="2"/>
      <c r="AW1340" s="2"/>
      <c r="AX1340" s="2"/>
      <c r="AY1340" s="2"/>
    </row>
    <row r="1341" spans="21:51" x14ac:dyDescent="0.25">
      <c r="U1341" s="2"/>
      <c r="W1341" s="5"/>
      <c r="X1341" s="5"/>
      <c r="Y1341" s="5"/>
      <c r="Z1341" s="5"/>
      <c r="AA1341" s="5"/>
      <c r="AB1341" s="5"/>
      <c r="AC1341" s="5"/>
      <c r="AD1341" s="5"/>
      <c r="AE1341" s="5"/>
      <c r="AQ1341" s="2"/>
      <c r="AR1341" s="2"/>
      <c r="AS1341" s="2"/>
      <c r="AT1341" s="2"/>
      <c r="AU1341" s="2"/>
      <c r="AV1341" s="2"/>
      <c r="AW1341" s="2"/>
      <c r="AX1341" s="2"/>
      <c r="AY1341" s="2"/>
    </row>
    <row r="1342" spans="21:51" x14ac:dyDescent="0.25">
      <c r="U1342" s="2"/>
      <c r="W1342" s="5"/>
      <c r="X1342" s="5"/>
      <c r="Y1342" s="5"/>
      <c r="Z1342" s="5"/>
      <c r="AA1342" s="5"/>
      <c r="AB1342" s="5"/>
      <c r="AC1342" s="5"/>
      <c r="AD1342" s="5"/>
      <c r="AE1342" s="5"/>
      <c r="AQ1342" s="2"/>
      <c r="AR1342" s="2"/>
      <c r="AS1342" s="2"/>
      <c r="AT1342" s="2"/>
      <c r="AU1342" s="2"/>
      <c r="AV1342" s="2"/>
      <c r="AW1342" s="2"/>
      <c r="AX1342" s="2"/>
      <c r="AY1342" s="2"/>
    </row>
    <row r="1343" spans="21:51" x14ac:dyDescent="0.25">
      <c r="U1343" s="2"/>
      <c r="W1343" s="5"/>
      <c r="X1343" s="5"/>
      <c r="Y1343" s="5"/>
      <c r="Z1343" s="5"/>
      <c r="AA1343" s="5"/>
      <c r="AB1343" s="5"/>
      <c r="AC1343" s="5"/>
      <c r="AD1343" s="5"/>
      <c r="AE1343" s="5"/>
      <c r="AQ1343" s="2"/>
      <c r="AR1343" s="2"/>
      <c r="AS1343" s="2"/>
      <c r="AT1343" s="2"/>
      <c r="AU1343" s="2"/>
      <c r="AV1343" s="2"/>
      <c r="AW1343" s="2"/>
      <c r="AX1343" s="2"/>
      <c r="AY1343" s="2"/>
    </row>
    <row r="1344" spans="21:51" x14ac:dyDescent="0.25">
      <c r="U1344" s="2"/>
      <c r="W1344" s="5"/>
      <c r="X1344" s="5"/>
      <c r="Y1344" s="5"/>
      <c r="Z1344" s="5"/>
      <c r="AA1344" s="5"/>
      <c r="AB1344" s="5"/>
      <c r="AC1344" s="5"/>
      <c r="AD1344" s="5"/>
      <c r="AE1344" s="5"/>
      <c r="AQ1344" s="2"/>
      <c r="AR1344" s="2"/>
      <c r="AS1344" s="2"/>
      <c r="AT1344" s="2"/>
      <c r="AU1344" s="2"/>
      <c r="AV1344" s="2"/>
      <c r="AW1344" s="2"/>
      <c r="AX1344" s="2"/>
      <c r="AY1344" s="2"/>
    </row>
    <row r="1345" spans="21:51" x14ac:dyDescent="0.25">
      <c r="U1345" s="2"/>
      <c r="W1345" s="5"/>
      <c r="X1345" s="5"/>
      <c r="Y1345" s="5"/>
      <c r="Z1345" s="5"/>
      <c r="AA1345" s="5"/>
      <c r="AB1345" s="5"/>
      <c r="AC1345" s="5"/>
      <c r="AD1345" s="5"/>
      <c r="AE1345" s="5"/>
      <c r="AQ1345" s="2"/>
      <c r="AR1345" s="2"/>
      <c r="AS1345" s="2"/>
      <c r="AT1345" s="2"/>
      <c r="AU1345" s="2"/>
      <c r="AV1345" s="2"/>
      <c r="AW1345" s="2"/>
      <c r="AX1345" s="2"/>
      <c r="AY1345" s="2"/>
    </row>
    <row r="1346" spans="21:51" x14ac:dyDescent="0.25">
      <c r="U1346" s="2"/>
      <c r="W1346" s="5"/>
      <c r="X1346" s="5"/>
      <c r="Y1346" s="5"/>
      <c r="Z1346" s="5"/>
      <c r="AA1346" s="5"/>
      <c r="AB1346" s="5"/>
      <c r="AC1346" s="5"/>
      <c r="AD1346" s="5"/>
      <c r="AE1346" s="5"/>
      <c r="AQ1346" s="2"/>
      <c r="AR1346" s="2"/>
      <c r="AS1346" s="2"/>
      <c r="AT1346" s="2"/>
      <c r="AU1346" s="2"/>
      <c r="AV1346" s="2"/>
      <c r="AW1346" s="2"/>
      <c r="AX1346" s="2"/>
      <c r="AY1346" s="2"/>
    </row>
    <row r="1347" spans="21:51" x14ac:dyDescent="0.25">
      <c r="U1347" s="2"/>
      <c r="W1347" s="5"/>
      <c r="X1347" s="5"/>
      <c r="Y1347" s="5"/>
      <c r="Z1347" s="5"/>
      <c r="AA1347" s="5"/>
      <c r="AB1347" s="5"/>
      <c r="AC1347" s="5"/>
      <c r="AD1347" s="5"/>
      <c r="AE1347" s="5"/>
      <c r="AQ1347" s="2"/>
      <c r="AR1347" s="2"/>
      <c r="AS1347" s="2"/>
      <c r="AT1347" s="2"/>
      <c r="AU1347" s="2"/>
      <c r="AV1347" s="2"/>
      <c r="AW1347" s="2"/>
      <c r="AX1347" s="2"/>
      <c r="AY1347" s="2"/>
    </row>
    <row r="1348" spans="21:51" x14ac:dyDescent="0.25">
      <c r="U1348" s="2"/>
      <c r="W1348" s="5"/>
      <c r="X1348" s="5"/>
      <c r="Y1348" s="5"/>
      <c r="Z1348" s="5"/>
      <c r="AA1348" s="5"/>
      <c r="AB1348" s="5"/>
      <c r="AC1348" s="5"/>
      <c r="AD1348" s="5"/>
      <c r="AE1348" s="5"/>
      <c r="AQ1348" s="2"/>
      <c r="AR1348" s="2"/>
      <c r="AS1348" s="2"/>
      <c r="AT1348" s="2"/>
      <c r="AU1348" s="2"/>
      <c r="AV1348" s="2"/>
      <c r="AW1348" s="2"/>
      <c r="AX1348" s="2"/>
      <c r="AY1348" s="2"/>
    </row>
    <row r="1349" spans="21:51" x14ac:dyDescent="0.25">
      <c r="U1349" s="2"/>
      <c r="W1349" s="5"/>
      <c r="X1349" s="5"/>
      <c r="Y1349" s="5"/>
      <c r="Z1349" s="5"/>
      <c r="AA1349" s="5"/>
      <c r="AB1349" s="5"/>
      <c r="AC1349" s="5"/>
      <c r="AD1349" s="5"/>
      <c r="AE1349" s="5"/>
      <c r="AQ1349" s="2"/>
      <c r="AR1349" s="2"/>
      <c r="AS1349" s="2"/>
      <c r="AT1349" s="2"/>
      <c r="AU1349" s="2"/>
      <c r="AV1349" s="2"/>
      <c r="AW1349" s="2"/>
      <c r="AX1349" s="2"/>
      <c r="AY1349" s="2"/>
    </row>
    <row r="1350" spans="21:51" x14ac:dyDescent="0.25">
      <c r="U1350" s="2"/>
      <c r="W1350" s="5"/>
      <c r="X1350" s="5"/>
      <c r="Y1350" s="5"/>
      <c r="Z1350" s="5"/>
      <c r="AA1350" s="5"/>
      <c r="AB1350" s="5"/>
      <c r="AC1350" s="5"/>
      <c r="AD1350" s="5"/>
      <c r="AE1350" s="5"/>
      <c r="AQ1350" s="2"/>
      <c r="AR1350" s="2"/>
      <c r="AS1350" s="2"/>
      <c r="AT1350" s="2"/>
      <c r="AU1350" s="2"/>
      <c r="AV1350" s="2"/>
      <c r="AW1350" s="2"/>
      <c r="AX1350" s="2"/>
      <c r="AY1350" s="2"/>
    </row>
    <row r="1351" spans="21:51" x14ac:dyDescent="0.25">
      <c r="U1351" s="2"/>
      <c r="W1351" s="5"/>
      <c r="X1351" s="5"/>
      <c r="Y1351" s="5"/>
      <c r="Z1351" s="5"/>
      <c r="AA1351" s="5"/>
      <c r="AB1351" s="5"/>
      <c r="AC1351" s="5"/>
      <c r="AD1351" s="5"/>
      <c r="AE1351" s="5"/>
      <c r="AQ1351" s="2"/>
      <c r="AR1351" s="2"/>
      <c r="AS1351" s="2"/>
      <c r="AT1351" s="2"/>
      <c r="AU1351" s="2"/>
      <c r="AV1351" s="2"/>
      <c r="AW1351" s="2"/>
      <c r="AX1351" s="2"/>
      <c r="AY1351" s="2"/>
    </row>
    <row r="1352" spans="21:51" x14ac:dyDescent="0.25">
      <c r="U1352" s="2"/>
      <c r="W1352" s="5"/>
      <c r="X1352" s="5"/>
      <c r="Y1352" s="5"/>
      <c r="Z1352" s="5"/>
      <c r="AA1352" s="5"/>
      <c r="AB1352" s="5"/>
      <c r="AC1352" s="5"/>
      <c r="AD1352" s="5"/>
      <c r="AE1352" s="5"/>
      <c r="AQ1352" s="2"/>
      <c r="AR1352" s="2"/>
      <c r="AS1352" s="2"/>
      <c r="AT1352" s="2"/>
      <c r="AU1352" s="2"/>
      <c r="AV1352" s="2"/>
      <c r="AW1352" s="2"/>
      <c r="AX1352" s="2"/>
      <c r="AY1352" s="2"/>
    </row>
    <row r="1353" spans="21:51" x14ac:dyDescent="0.25">
      <c r="U1353" s="2"/>
      <c r="W1353" s="5"/>
      <c r="X1353" s="5"/>
      <c r="Y1353" s="5"/>
      <c r="Z1353" s="5"/>
      <c r="AA1353" s="5"/>
      <c r="AB1353" s="5"/>
      <c r="AC1353" s="5"/>
      <c r="AD1353" s="5"/>
      <c r="AE1353" s="5"/>
      <c r="AQ1353" s="2"/>
      <c r="AR1353" s="2"/>
      <c r="AS1353" s="2"/>
      <c r="AT1353" s="2"/>
      <c r="AU1353" s="2"/>
      <c r="AV1353" s="2"/>
      <c r="AW1353" s="2"/>
      <c r="AX1353" s="2"/>
      <c r="AY1353" s="2"/>
    </row>
    <row r="1354" spans="21:51" x14ac:dyDescent="0.25">
      <c r="U1354" s="2"/>
      <c r="W1354" s="5"/>
      <c r="X1354" s="5"/>
      <c r="Y1354" s="5"/>
      <c r="Z1354" s="5"/>
      <c r="AA1354" s="5"/>
      <c r="AB1354" s="5"/>
      <c r="AC1354" s="5"/>
      <c r="AD1354" s="5"/>
      <c r="AE1354" s="5"/>
      <c r="AQ1354" s="2"/>
      <c r="AR1354" s="2"/>
      <c r="AS1354" s="2"/>
      <c r="AT1354" s="2"/>
      <c r="AU1354" s="2"/>
      <c r="AV1354" s="2"/>
      <c r="AW1354" s="2"/>
      <c r="AX1354" s="2"/>
      <c r="AY1354" s="2"/>
    </row>
    <row r="1355" spans="21:51" x14ac:dyDescent="0.25">
      <c r="U1355" s="2"/>
      <c r="W1355" s="5"/>
      <c r="X1355" s="5"/>
      <c r="Y1355" s="5"/>
      <c r="Z1355" s="5"/>
      <c r="AA1355" s="5"/>
      <c r="AB1355" s="5"/>
      <c r="AC1355" s="5"/>
      <c r="AD1355" s="5"/>
      <c r="AE1355" s="5"/>
      <c r="AQ1355" s="2"/>
      <c r="AR1355" s="2"/>
      <c r="AS1355" s="2"/>
      <c r="AT1355" s="2"/>
      <c r="AU1355" s="2"/>
      <c r="AV1355" s="2"/>
      <c r="AW1355" s="2"/>
      <c r="AX1355" s="2"/>
      <c r="AY1355" s="2"/>
    </row>
    <row r="1356" spans="21:51" x14ac:dyDescent="0.25">
      <c r="U1356" s="2"/>
      <c r="W1356" s="5"/>
      <c r="X1356" s="5"/>
      <c r="Y1356" s="5"/>
      <c r="Z1356" s="5"/>
      <c r="AA1356" s="5"/>
      <c r="AB1356" s="5"/>
      <c r="AC1356" s="5"/>
      <c r="AD1356" s="5"/>
      <c r="AE1356" s="5"/>
      <c r="AQ1356" s="2"/>
      <c r="AR1356" s="2"/>
      <c r="AS1356" s="2"/>
      <c r="AT1356" s="2"/>
      <c r="AU1356" s="2"/>
      <c r="AV1356" s="2"/>
      <c r="AW1356" s="2"/>
      <c r="AX1356" s="2"/>
      <c r="AY1356" s="2"/>
    </row>
    <row r="1357" spans="21:51" x14ac:dyDescent="0.25">
      <c r="U1357" s="2"/>
      <c r="W1357" s="5"/>
      <c r="X1357" s="5"/>
      <c r="Y1357" s="5"/>
      <c r="Z1357" s="5"/>
      <c r="AA1357" s="5"/>
      <c r="AB1357" s="5"/>
      <c r="AC1357" s="5"/>
      <c r="AD1357" s="5"/>
      <c r="AE1357" s="5"/>
      <c r="AQ1357" s="2"/>
      <c r="AR1357" s="2"/>
      <c r="AS1357" s="2"/>
      <c r="AT1357" s="2"/>
      <c r="AU1357" s="2"/>
      <c r="AV1357" s="2"/>
      <c r="AW1357" s="2"/>
      <c r="AX1357" s="2"/>
      <c r="AY1357" s="2"/>
    </row>
    <row r="1358" spans="21:51" x14ac:dyDescent="0.25">
      <c r="U1358" s="2"/>
      <c r="W1358" s="5"/>
      <c r="X1358" s="5"/>
      <c r="Y1358" s="5"/>
      <c r="Z1358" s="5"/>
      <c r="AA1358" s="5"/>
      <c r="AB1358" s="5"/>
      <c r="AC1358" s="5"/>
      <c r="AD1358" s="5"/>
      <c r="AE1358" s="5"/>
      <c r="AQ1358" s="2"/>
      <c r="AR1358" s="2"/>
      <c r="AS1358" s="2"/>
      <c r="AT1358" s="2"/>
      <c r="AU1358" s="2"/>
      <c r="AV1358" s="2"/>
      <c r="AW1358" s="2"/>
      <c r="AX1358" s="2"/>
      <c r="AY1358" s="2"/>
    </row>
    <row r="1359" spans="21:51" x14ac:dyDescent="0.25">
      <c r="U1359" s="2"/>
      <c r="W1359" s="5"/>
      <c r="X1359" s="5"/>
      <c r="Y1359" s="5"/>
      <c r="Z1359" s="5"/>
      <c r="AA1359" s="5"/>
      <c r="AB1359" s="5"/>
      <c r="AC1359" s="5"/>
      <c r="AD1359" s="5"/>
      <c r="AE1359" s="5"/>
      <c r="AQ1359" s="2"/>
      <c r="AR1359" s="2"/>
      <c r="AS1359" s="2"/>
      <c r="AT1359" s="2"/>
      <c r="AU1359" s="2"/>
      <c r="AV1359" s="2"/>
      <c r="AW1359" s="2"/>
      <c r="AX1359" s="2"/>
      <c r="AY1359" s="2"/>
    </row>
    <row r="1360" spans="21:51" x14ac:dyDescent="0.25">
      <c r="U1360" s="2"/>
      <c r="W1360" s="5"/>
      <c r="X1360" s="5"/>
      <c r="Y1360" s="5"/>
      <c r="Z1360" s="5"/>
      <c r="AA1360" s="5"/>
      <c r="AB1360" s="5"/>
      <c r="AC1360" s="5"/>
      <c r="AD1360" s="5"/>
      <c r="AE1360" s="5"/>
      <c r="AQ1360" s="2"/>
      <c r="AR1360" s="2"/>
      <c r="AS1360" s="2"/>
      <c r="AT1360" s="2"/>
      <c r="AU1360" s="2"/>
      <c r="AV1360" s="2"/>
      <c r="AW1360" s="2"/>
      <c r="AX1360" s="2"/>
      <c r="AY1360" s="2"/>
    </row>
    <row r="1361" spans="21:51" x14ac:dyDescent="0.25">
      <c r="U1361" s="2"/>
      <c r="W1361" s="5"/>
      <c r="X1361" s="5"/>
      <c r="Y1361" s="5"/>
      <c r="Z1361" s="5"/>
      <c r="AA1361" s="5"/>
      <c r="AB1361" s="5"/>
      <c r="AC1361" s="5"/>
      <c r="AD1361" s="5"/>
      <c r="AE1361" s="5"/>
      <c r="AQ1361" s="2"/>
      <c r="AR1361" s="2"/>
      <c r="AS1361" s="2"/>
      <c r="AT1361" s="2"/>
      <c r="AU1361" s="2"/>
      <c r="AV1361" s="2"/>
      <c r="AW1361" s="2"/>
      <c r="AX1361" s="2"/>
      <c r="AY1361" s="2"/>
    </row>
    <row r="1362" spans="21:51" x14ac:dyDescent="0.25">
      <c r="U1362" s="2"/>
      <c r="W1362" s="5"/>
      <c r="X1362" s="5"/>
      <c r="Y1362" s="5"/>
      <c r="Z1362" s="5"/>
      <c r="AA1362" s="5"/>
      <c r="AB1362" s="5"/>
      <c r="AC1362" s="5"/>
      <c r="AD1362" s="5"/>
      <c r="AE1362" s="5"/>
      <c r="AQ1362" s="2"/>
      <c r="AR1362" s="2"/>
      <c r="AS1362" s="2"/>
      <c r="AT1362" s="2"/>
      <c r="AU1362" s="2"/>
      <c r="AV1362" s="2"/>
      <c r="AW1362" s="2"/>
      <c r="AX1362" s="2"/>
      <c r="AY1362" s="2"/>
    </row>
    <row r="1363" spans="21:51" x14ac:dyDescent="0.25">
      <c r="U1363" s="2"/>
      <c r="W1363" s="5"/>
      <c r="X1363" s="5"/>
      <c r="Y1363" s="5"/>
      <c r="Z1363" s="5"/>
      <c r="AA1363" s="5"/>
      <c r="AB1363" s="5"/>
      <c r="AC1363" s="5"/>
      <c r="AD1363" s="5"/>
      <c r="AE1363" s="5"/>
      <c r="AQ1363" s="2"/>
      <c r="AR1363" s="2"/>
      <c r="AS1363" s="2"/>
      <c r="AT1363" s="2"/>
      <c r="AU1363" s="2"/>
      <c r="AV1363" s="2"/>
      <c r="AW1363" s="2"/>
      <c r="AX1363" s="2"/>
      <c r="AY1363" s="2"/>
    </row>
    <row r="1364" spans="21:51" x14ac:dyDescent="0.25">
      <c r="U1364" s="2"/>
      <c r="W1364" s="5"/>
      <c r="X1364" s="5"/>
      <c r="Y1364" s="5"/>
      <c r="Z1364" s="5"/>
      <c r="AA1364" s="5"/>
      <c r="AB1364" s="5"/>
      <c r="AC1364" s="5"/>
      <c r="AD1364" s="5"/>
      <c r="AE1364" s="5"/>
      <c r="AQ1364" s="2"/>
      <c r="AR1364" s="2"/>
      <c r="AS1364" s="2"/>
      <c r="AT1364" s="2"/>
      <c r="AU1364" s="2"/>
      <c r="AV1364" s="2"/>
      <c r="AW1364" s="2"/>
      <c r="AX1364" s="2"/>
      <c r="AY1364" s="2"/>
    </row>
    <row r="1365" spans="21:51" x14ac:dyDescent="0.25">
      <c r="U1365" s="2"/>
      <c r="W1365" s="5"/>
      <c r="X1365" s="5"/>
      <c r="Y1365" s="5"/>
      <c r="Z1365" s="5"/>
      <c r="AA1365" s="5"/>
      <c r="AB1365" s="5"/>
      <c r="AC1365" s="5"/>
      <c r="AD1365" s="5"/>
      <c r="AE1365" s="5"/>
      <c r="AQ1365" s="2"/>
      <c r="AR1365" s="2"/>
      <c r="AS1365" s="2"/>
      <c r="AT1365" s="2"/>
      <c r="AU1365" s="2"/>
      <c r="AV1365" s="2"/>
      <c r="AW1365" s="2"/>
      <c r="AX1365" s="2"/>
      <c r="AY1365" s="2"/>
    </row>
    <row r="1366" spans="21:51" x14ac:dyDescent="0.25">
      <c r="U1366" s="2"/>
      <c r="W1366" s="5"/>
      <c r="X1366" s="5"/>
      <c r="Y1366" s="5"/>
      <c r="Z1366" s="5"/>
      <c r="AA1366" s="5"/>
      <c r="AB1366" s="5"/>
      <c r="AC1366" s="5"/>
      <c r="AD1366" s="5"/>
      <c r="AE1366" s="5"/>
      <c r="AQ1366" s="2"/>
      <c r="AR1366" s="2"/>
      <c r="AS1366" s="2"/>
      <c r="AT1366" s="2"/>
      <c r="AU1366" s="2"/>
      <c r="AV1366" s="2"/>
      <c r="AW1366" s="2"/>
      <c r="AX1366" s="2"/>
      <c r="AY1366" s="2"/>
    </row>
    <row r="1367" spans="21:51" x14ac:dyDescent="0.25">
      <c r="U1367" s="2"/>
      <c r="W1367" s="5"/>
      <c r="X1367" s="5"/>
      <c r="Y1367" s="5"/>
      <c r="Z1367" s="5"/>
      <c r="AA1367" s="5"/>
      <c r="AB1367" s="5"/>
      <c r="AC1367" s="5"/>
      <c r="AD1367" s="5"/>
      <c r="AE1367" s="5"/>
      <c r="AQ1367" s="2"/>
      <c r="AR1367" s="2"/>
      <c r="AS1367" s="2"/>
      <c r="AT1367" s="2"/>
      <c r="AU1367" s="2"/>
      <c r="AV1367" s="2"/>
      <c r="AW1367" s="2"/>
      <c r="AX1367" s="2"/>
      <c r="AY1367" s="2"/>
    </row>
    <row r="1368" spans="21:51" x14ac:dyDescent="0.25">
      <c r="U1368" s="2"/>
      <c r="W1368" s="5"/>
      <c r="X1368" s="5"/>
      <c r="Y1368" s="5"/>
      <c r="Z1368" s="5"/>
      <c r="AA1368" s="5"/>
      <c r="AB1368" s="5"/>
      <c r="AC1368" s="5"/>
      <c r="AD1368" s="5"/>
      <c r="AE1368" s="5"/>
      <c r="AQ1368" s="2"/>
      <c r="AR1368" s="2"/>
      <c r="AS1368" s="2"/>
      <c r="AT1368" s="2"/>
      <c r="AU1368" s="2"/>
      <c r="AV1368" s="2"/>
      <c r="AW1368" s="2"/>
      <c r="AX1368" s="2"/>
      <c r="AY1368" s="2"/>
    </row>
    <row r="1369" spans="21:51" x14ac:dyDescent="0.25">
      <c r="U1369" s="2"/>
      <c r="W1369" s="5"/>
      <c r="X1369" s="5"/>
      <c r="Y1369" s="5"/>
      <c r="Z1369" s="5"/>
      <c r="AA1369" s="5"/>
      <c r="AB1369" s="5"/>
      <c r="AC1369" s="5"/>
      <c r="AD1369" s="5"/>
      <c r="AE1369" s="5"/>
      <c r="AQ1369" s="2"/>
      <c r="AR1369" s="2"/>
      <c r="AS1369" s="2"/>
      <c r="AT1369" s="2"/>
      <c r="AU1369" s="2"/>
      <c r="AV1369" s="2"/>
      <c r="AW1369" s="2"/>
      <c r="AX1369" s="2"/>
      <c r="AY1369" s="2"/>
    </row>
    <row r="1370" spans="21:51" x14ac:dyDescent="0.25">
      <c r="U1370" s="2"/>
      <c r="W1370" s="5"/>
      <c r="X1370" s="5"/>
      <c r="Y1370" s="5"/>
      <c r="Z1370" s="5"/>
      <c r="AA1370" s="5"/>
      <c r="AB1370" s="5"/>
      <c r="AC1370" s="5"/>
      <c r="AD1370" s="5"/>
      <c r="AE1370" s="5"/>
      <c r="AQ1370" s="2"/>
      <c r="AR1370" s="2"/>
      <c r="AS1370" s="2"/>
      <c r="AT1370" s="2"/>
      <c r="AU1370" s="2"/>
      <c r="AV1370" s="2"/>
      <c r="AW1370" s="2"/>
      <c r="AX1370" s="2"/>
      <c r="AY1370" s="2"/>
    </row>
    <row r="1371" spans="21:51" x14ac:dyDescent="0.25">
      <c r="U1371" s="2"/>
      <c r="W1371" s="5"/>
      <c r="X1371" s="5"/>
      <c r="Y1371" s="5"/>
      <c r="Z1371" s="5"/>
      <c r="AA1371" s="5"/>
      <c r="AB1371" s="5"/>
      <c r="AC1371" s="5"/>
      <c r="AD1371" s="5"/>
      <c r="AE1371" s="5"/>
      <c r="AQ1371" s="2"/>
      <c r="AR1371" s="2"/>
      <c r="AS1371" s="2"/>
      <c r="AT1371" s="2"/>
      <c r="AU1371" s="2"/>
      <c r="AV1371" s="2"/>
      <c r="AW1371" s="2"/>
      <c r="AX1371" s="2"/>
      <c r="AY1371" s="2"/>
    </row>
    <row r="1372" spans="21:51" x14ac:dyDescent="0.25">
      <c r="U1372" s="2"/>
      <c r="W1372" s="5"/>
      <c r="X1372" s="5"/>
      <c r="Y1372" s="5"/>
      <c r="Z1372" s="5"/>
      <c r="AA1372" s="5"/>
      <c r="AB1372" s="5"/>
      <c r="AC1372" s="5"/>
      <c r="AD1372" s="5"/>
      <c r="AE1372" s="5"/>
      <c r="AQ1372" s="2"/>
      <c r="AR1372" s="2"/>
      <c r="AS1372" s="2"/>
      <c r="AT1372" s="2"/>
      <c r="AU1372" s="2"/>
      <c r="AV1372" s="2"/>
      <c r="AW1372" s="2"/>
      <c r="AX1372" s="2"/>
      <c r="AY1372" s="2"/>
    </row>
    <row r="1373" spans="21:51" x14ac:dyDescent="0.25">
      <c r="U1373" s="2"/>
      <c r="W1373" s="5"/>
      <c r="X1373" s="5"/>
      <c r="Y1373" s="5"/>
      <c r="Z1373" s="5"/>
      <c r="AA1373" s="5"/>
      <c r="AB1373" s="5"/>
      <c r="AC1373" s="5"/>
      <c r="AD1373" s="5"/>
      <c r="AE1373" s="5"/>
      <c r="AQ1373" s="2"/>
      <c r="AR1373" s="2"/>
      <c r="AS1373" s="2"/>
      <c r="AT1373" s="2"/>
      <c r="AU1373" s="2"/>
      <c r="AV1373" s="2"/>
      <c r="AW1373" s="2"/>
      <c r="AX1373" s="2"/>
      <c r="AY1373" s="2"/>
    </row>
    <row r="1374" spans="21:51" x14ac:dyDescent="0.25">
      <c r="U1374" s="2"/>
      <c r="W1374" s="5"/>
      <c r="X1374" s="5"/>
      <c r="Y1374" s="5"/>
      <c r="Z1374" s="5"/>
      <c r="AA1374" s="5"/>
      <c r="AB1374" s="5"/>
      <c r="AC1374" s="5"/>
      <c r="AD1374" s="5"/>
      <c r="AE1374" s="5"/>
      <c r="AQ1374" s="2"/>
      <c r="AR1374" s="2"/>
      <c r="AS1374" s="2"/>
      <c r="AT1374" s="2"/>
      <c r="AU1374" s="2"/>
      <c r="AV1374" s="2"/>
      <c r="AW1374" s="2"/>
      <c r="AX1374" s="2"/>
      <c r="AY1374" s="2"/>
    </row>
    <row r="1375" spans="21:51" x14ac:dyDescent="0.25">
      <c r="U1375" s="2"/>
      <c r="W1375" s="5"/>
      <c r="X1375" s="5"/>
      <c r="Y1375" s="5"/>
      <c r="Z1375" s="5"/>
      <c r="AA1375" s="5"/>
      <c r="AB1375" s="5"/>
      <c r="AC1375" s="5"/>
      <c r="AD1375" s="5"/>
      <c r="AE1375" s="5"/>
      <c r="AQ1375" s="2"/>
      <c r="AR1375" s="2"/>
      <c r="AS1375" s="2"/>
      <c r="AT1375" s="2"/>
      <c r="AU1375" s="2"/>
      <c r="AV1375" s="2"/>
      <c r="AW1375" s="2"/>
      <c r="AX1375" s="2"/>
      <c r="AY1375" s="2"/>
    </row>
    <row r="1376" spans="21:51" x14ac:dyDescent="0.25">
      <c r="U1376" s="2"/>
      <c r="W1376" s="5"/>
      <c r="X1376" s="5"/>
      <c r="Y1376" s="5"/>
      <c r="Z1376" s="5"/>
      <c r="AA1376" s="5"/>
      <c r="AB1376" s="5"/>
      <c r="AC1376" s="5"/>
      <c r="AD1376" s="5"/>
      <c r="AE1376" s="5"/>
      <c r="AQ1376" s="2"/>
      <c r="AR1376" s="2"/>
      <c r="AS1376" s="2"/>
      <c r="AT1376" s="2"/>
      <c r="AU1376" s="2"/>
      <c r="AV1376" s="2"/>
      <c r="AW1376" s="2"/>
      <c r="AX1376" s="2"/>
      <c r="AY1376" s="2"/>
    </row>
    <row r="1377" spans="21:51" x14ac:dyDescent="0.25">
      <c r="U1377" s="2"/>
      <c r="W1377" s="5"/>
      <c r="X1377" s="5"/>
      <c r="Y1377" s="5"/>
      <c r="Z1377" s="5"/>
      <c r="AA1377" s="5"/>
      <c r="AB1377" s="5"/>
      <c r="AC1377" s="5"/>
      <c r="AD1377" s="5"/>
      <c r="AE1377" s="5"/>
      <c r="AQ1377" s="2"/>
      <c r="AR1377" s="2"/>
      <c r="AS1377" s="2"/>
      <c r="AT1377" s="2"/>
      <c r="AU1377" s="2"/>
      <c r="AV1377" s="2"/>
      <c r="AW1377" s="2"/>
      <c r="AX1377" s="2"/>
      <c r="AY1377" s="2"/>
    </row>
    <row r="1378" spans="21:51" x14ac:dyDescent="0.25">
      <c r="U1378" s="2"/>
      <c r="W1378" s="5"/>
      <c r="X1378" s="5"/>
      <c r="Y1378" s="5"/>
      <c r="Z1378" s="5"/>
      <c r="AA1378" s="5"/>
      <c r="AB1378" s="5"/>
      <c r="AC1378" s="5"/>
      <c r="AD1378" s="5"/>
      <c r="AE1378" s="5"/>
      <c r="AQ1378" s="2"/>
      <c r="AR1378" s="2"/>
      <c r="AS1378" s="2"/>
      <c r="AT1378" s="2"/>
      <c r="AU1378" s="2"/>
      <c r="AV1378" s="2"/>
      <c r="AW1378" s="2"/>
      <c r="AX1378" s="2"/>
      <c r="AY1378" s="2"/>
    </row>
    <row r="1379" spans="21:51" x14ac:dyDescent="0.25">
      <c r="U1379" s="2"/>
      <c r="W1379" s="5"/>
      <c r="X1379" s="5"/>
      <c r="Y1379" s="5"/>
      <c r="Z1379" s="5"/>
      <c r="AA1379" s="5"/>
      <c r="AB1379" s="5"/>
      <c r="AC1379" s="5"/>
      <c r="AD1379" s="5"/>
      <c r="AE1379" s="5"/>
      <c r="AQ1379" s="2"/>
      <c r="AR1379" s="2"/>
      <c r="AS1379" s="2"/>
      <c r="AT1379" s="2"/>
      <c r="AU1379" s="2"/>
      <c r="AV1379" s="2"/>
      <c r="AW1379" s="2"/>
      <c r="AX1379" s="2"/>
      <c r="AY1379" s="2"/>
    </row>
    <row r="1380" spans="21:51" x14ac:dyDescent="0.25">
      <c r="U1380" s="2"/>
      <c r="W1380" s="5"/>
      <c r="X1380" s="5"/>
      <c r="Y1380" s="5"/>
      <c r="Z1380" s="5"/>
      <c r="AA1380" s="5"/>
      <c r="AB1380" s="5"/>
      <c r="AC1380" s="5"/>
      <c r="AD1380" s="5"/>
      <c r="AE1380" s="5"/>
      <c r="AQ1380" s="2"/>
      <c r="AR1380" s="2"/>
      <c r="AS1380" s="2"/>
      <c r="AT1380" s="2"/>
      <c r="AU1380" s="2"/>
      <c r="AV1380" s="2"/>
      <c r="AW1380" s="2"/>
      <c r="AX1380" s="2"/>
      <c r="AY1380" s="2"/>
    </row>
    <row r="1381" spans="21:51" x14ac:dyDescent="0.25">
      <c r="U1381" s="2"/>
      <c r="W1381" s="5"/>
      <c r="X1381" s="5"/>
      <c r="Y1381" s="5"/>
      <c r="Z1381" s="5"/>
      <c r="AA1381" s="5"/>
      <c r="AB1381" s="5"/>
      <c r="AC1381" s="5"/>
      <c r="AD1381" s="5"/>
      <c r="AE1381" s="5"/>
      <c r="AQ1381" s="2"/>
      <c r="AR1381" s="2"/>
      <c r="AS1381" s="2"/>
      <c r="AT1381" s="2"/>
      <c r="AU1381" s="2"/>
      <c r="AV1381" s="2"/>
      <c r="AW1381" s="2"/>
      <c r="AX1381" s="2"/>
      <c r="AY1381" s="2"/>
    </row>
    <row r="1382" spans="21:51" x14ac:dyDescent="0.25">
      <c r="U1382" s="2"/>
      <c r="W1382" s="5"/>
      <c r="X1382" s="5"/>
      <c r="Y1382" s="5"/>
      <c r="Z1382" s="5"/>
      <c r="AA1382" s="5"/>
      <c r="AB1382" s="5"/>
      <c r="AC1382" s="5"/>
      <c r="AD1382" s="5"/>
      <c r="AE1382" s="5"/>
      <c r="AQ1382" s="2"/>
      <c r="AR1382" s="2"/>
      <c r="AS1382" s="2"/>
      <c r="AT1382" s="2"/>
      <c r="AU1382" s="2"/>
      <c r="AV1382" s="2"/>
      <c r="AW1382" s="2"/>
      <c r="AX1382" s="2"/>
      <c r="AY1382" s="2"/>
    </row>
    <row r="1383" spans="21:51" x14ac:dyDescent="0.25">
      <c r="U1383" s="2"/>
      <c r="W1383" s="5"/>
      <c r="X1383" s="5"/>
      <c r="Y1383" s="5"/>
      <c r="Z1383" s="5"/>
      <c r="AA1383" s="5"/>
      <c r="AB1383" s="5"/>
      <c r="AC1383" s="5"/>
      <c r="AD1383" s="5"/>
      <c r="AE1383" s="5"/>
      <c r="AQ1383" s="2"/>
      <c r="AR1383" s="2"/>
      <c r="AS1383" s="2"/>
      <c r="AT1383" s="2"/>
      <c r="AU1383" s="2"/>
      <c r="AV1383" s="2"/>
      <c r="AW1383" s="2"/>
      <c r="AX1383" s="2"/>
      <c r="AY1383" s="2"/>
    </row>
    <row r="1384" spans="21:51" x14ac:dyDescent="0.25">
      <c r="U1384" s="2"/>
      <c r="W1384" s="5"/>
      <c r="X1384" s="5"/>
      <c r="Y1384" s="5"/>
      <c r="Z1384" s="5"/>
      <c r="AA1384" s="5"/>
      <c r="AB1384" s="5"/>
      <c r="AC1384" s="5"/>
      <c r="AD1384" s="5"/>
      <c r="AE1384" s="5"/>
      <c r="AQ1384" s="2"/>
      <c r="AR1384" s="2"/>
      <c r="AS1384" s="2"/>
      <c r="AT1384" s="2"/>
      <c r="AU1384" s="2"/>
      <c r="AV1384" s="2"/>
      <c r="AW1384" s="2"/>
      <c r="AX1384" s="2"/>
      <c r="AY1384" s="2"/>
    </row>
    <row r="1385" spans="21:51" x14ac:dyDescent="0.25">
      <c r="U1385" s="2"/>
      <c r="W1385" s="5"/>
      <c r="X1385" s="5"/>
      <c r="Y1385" s="5"/>
      <c r="Z1385" s="5"/>
      <c r="AA1385" s="5"/>
      <c r="AB1385" s="5"/>
      <c r="AC1385" s="5"/>
      <c r="AD1385" s="5"/>
      <c r="AE1385" s="5"/>
      <c r="AQ1385" s="2"/>
      <c r="AR1385" s="2"/>
      <c r="AS1385" s="2"/>
      <c r="AT1385" s="2"/>
      <c r="AU1385" s="2"/>
      <c r="AV1385" s="2"/>
      <c r="AW1385" s="2"/>
      <c r="AX1385" s="2"/>
      <c r="AY1385" s="2"/>
    </row>
    <row r="1386" spans="21:51" x14ac:dyDescent="0.25">
      <c r="U1386" s="2"/>
      <c r="W1386" s="5"/>
      <c r="X1386" s="5"/>
      <c r="Y1386" s="5"/>
      <c r="Z1386" s="5"/>
      <c r="AA1386" s="5"/>
      <c r="AB1386" s="5"/>
      <c r="AC1386" s="5"/>
      <c r="AD1386" s="5"/>
      <c r="AE1386" s="5"/>
      <c r="AQ1386" s="2"/>
      <c r="AR1386" s="2"/>
      <c r="AS1386" s="2"/>
      <c r="AT1386" s="2"/>
      <c r="AU1386" s="2"/>
      <c r="AV1386" s="2"/>
      <c r="AW1386" s="2"/>
      <c r="AX1386" s="2"/>
      <c r="AY1386" s="2"/>
    </row>
    <row r="1387" spans="21:51" x14ac:dyDescent="0.25">
      <c r="U1387" s="2"/>
      <c r="W1387" s="5"/>
      <c r="X1387" s="5"/>
      <c r="Y1387" s="5"/>
      <c r="Z1387" s="5"/>
      <c r="AA1387" s="5"/>
      <c r="AB1387" s="5"/>
      <c r="AC1387" s="5"/>
      <c r="AD1387" s="5"/>
      <c r="AE1387" s="5"/>
      <c r="AQ1387" s="2"/>
      <c r="AR1387" s="2"/>
      <c r="AS1387" s="2"/>
      <c r="AT1387" s="2"/>
      <c r="AU1387" s="2"/>
      <c r="AV1387" s="2"/>
      <c r="AW1387" s="2"/>
      <c r="AX1387" s="2"/>
      <c r="AY1387" s="2"/>
    </row>
    <row r="1388" spans="21:51" x14ac:dyDescent="0.25">
      <c r="U1388" s="2"/>
      <c r="W1388" s="5"/>
      <c r="X1388" s="5"/>
      <c r="Y1388" s="5"/>
      <c r="Z1388" s="5"/>
      <c r="AA1388" s="5"/>
      <c r="AB1388" s="5"/>
      <c r="AC1388" s="5"/>
      <c r="AD1388" s="5"/>
      <c r="AE1388" s="5"/>
      <c r="AQ1388" s="2"/>
      <c r="AR1388" s="2"/>
      <c r="AS1388" s="2"/>
      <c r="AT1388" s="2"/>
      <c r="AU1388" s="2"/>
      <c r="AV1388" s="2"/>
      <c r="AW1388" s="2"/>
      <c r="AX1388" s="2"/>
      <c r="AY1388" s="2"/>
    </row>
    <row r="1389" spans="21:51" x14ac:dyDescent="0.25">
      <c r="U1389" s="2"/>
      <c r="W1389" s="5"/>
      <c r="X1389" s="5"/>
      <c r="Y1389" s="5"/>
      <c r="Z1389" s="5"/>
      <c r="AA1389" s="5"/>
      <c r="AB1389" s="5"/>
      <c r="AC1389" s="5"/>
      <c r="AD1389" s="5"/>
      <c r="AE1389" s="5"/>
      <c r="AQ1389" s="2"/>
      <c r="AR1389" s="2"/>
      <c r="AS1389" s="2"/>
      <c r="AT1389" s="2"/>
      <c r="AU1389" s="2"/>
      <c r="AV1389" s="2"/>
      <c r="AW1389" s="2"/>
      <c r="AX1389" s="2"/>
      <c r="AY1389" s="2"/>
    </row>
    <row r="1390" spans="21:51" x14ac:dyDescent="0.25">
      <c r="U1390" s="2"/>
      <c r="W1390" s="5"/>
      <c r="X1390" s="5"/>
      <c r="Y1390" s="5"/>
      <c r="Z1390" s="5"/>
      <c r="AA1390" s="5"/>
      <c r="AB1390" s="5"/>
      <c r="AC1390" s="5"/>
      <c r="AD1390" s="5"/>
      <c r="AE1390" s="5"/>
      <c r="AQ1390" s="2"/>
      <c r="AR1390" s="2"/>
      <c r="AS1390" s="2"/>
      <c r="AT1390" s="2"/>
      <c r="AU1390" s="2"/>
      <c r="AV1390" s="2"/>
      <c r="AW1390" s="2"/>
      <c r="AX1390" s="2"/>
      <c r="AY1390" s="2"/>
    </row>
    <row r="1391" spans="21:51" x14ac:dyDescent="0.25">
      <c r="U1391" s="2"/>
      <c r="W1391" s="5"/>
      <c r="X1391" s="5"/>
      <c r="Y1391" s="5"/>
      <c r="Z1391" s="5"/>
      <c r="AA1391" s="5"/>
      <c r="AB1391" s="5"/>
      <c r="AC1391" s="5"/>
      <c r="AD1391" s="5"/>
      <c r="AE1391" s="5"/>
      <c r="AQ1391" s="2"/>
      <c r="AR1391" s="2"/>
      <c r="AS1391" s="2"/>
      <c r="AT1391" s="2"/>
      <c r="AU1391" s="2"/>
      <c r="AV1391" s="2"/>
      <c r="AW1391" s="2"/>
      <c r="AX1391" s="2"/>
      <c r="AY1391" s="2"/>
    </row>
    <row r="1392" spans="21:51" x14ac:dyDescent="0.25">
      <c r="U1392" s="2"/>
      <c r="W1392" s="5"/>
      <c r="X1392" s="5"/>
      <c r="Y1392" s="5"/>
      <c r="Z1392" s="5"/>
      <c r="AA1392" s="5"/>
      <c r="AB1392" s="5"/>
      <c r="AC1392" s="5"/>
      <c r="AD1392" s="5"/>
      <c r="AE1392" s="5"/>
      <c r="AQ1392" s="2"/>
      <c r="AR1392" s="2"/>
      <c r="AS1392" s="2"/>
      <c r="AT1392" s="2"/>
      <c r="AU1392" s="2"/>
      <c r="AV1392" s="2"/>
      <c r="AW1392" s="2"/>
      <c r="AX1392" s="2"/>
      <c r="AY1392" s="2"/>
    </row>
    <row r="1393" spans="21:51" x14ac:dyDescent="0.25">
      <c r="U1393" s="2"/>
      <c r="W1393" s="5"/>
      <c r="X1393" s="5"/>
      <c r="Y1393" s="5"/>
      <c r="Z1393" s="5"/>
      <c r="AA1393" s="5"/>
      <c r="AB1393" s="5"/>
      <c r="AC1393" s="5"/>
      <c r="AD1393" s="5"/>
      <c r="AE1393" s="5"/>
      <c r="AQ1393" s="2"/>
      <c r="AR1393" s="2"/>
      <c r="AS1393" s="2"/>
      <c r="AT1393" s="2"/>
      <c r="AU1393" s="2"/>
      <c r="AV1393" s="2"/>
      <c r="AW1393" s="2"/>
      <c r="AX1393" s="2"/>
      <c r="AY1393" s="2"/>
    </row>
    <row r="1394" spans="21:51" x14ac:dyDescent="0.25">
      <c r="U1394" s="2"/>
      <c r="W1394" s="5"/>
      <c r="X1394" s="5"/>
      <c r="Y1394" s="5"/>
      <c r="Z1394" s="5"/>
      <c r="AA1394" s="5"/>
      <c r="AB1394" s="5"/>
      <c r="AC1394" s="5"/>
      <c r="AD1394" s="5"/>
      <c r="AE1394" s="5"/>
      <c r="AQ1394" s="2"/>
      <c r="AR1394" s="2"/>
      <c r="AS1394" s="2"/>
      <c r="AT1394" s="2"/>
      <c r="AU1394" s="2"/>
      <c r="AV1394" s="2"/>
      <c r="AW1394" s="2"/>
      <c r="AX1394" s="2"/>
      <c r="AY1394" s="2"/>
    </row>
    <row r="1395" spans="21:51" x14ac:dyDescent="0.25">
      <c r="U1395" s="2"/>
      <c r="W1395" s="5"/>
      <c r="X1395" s="5"/>
      <c r="Y1395" s="5"/>
      <c r="Z1395" s="5"/>
      <c r="AA1395" s="5"/>
      <c r="AB1395" s="5"/>
      <c r="AC1395" s="5"/>
      <c r="AD1395" s="5"/>
      <c r="AE1395" s="5"/>
      <c r="AQ1395" s="2"/>
      <c r="AR1395" s="2"/>
      <c r="AS1395" s="2"/>
      <c r="AT1395" s="2"/>
      <c r="AU1395" s="2"/>
      <c r="AV1395" s="2"/>
      <c r="AW1395" s="2"/>
      <c r="AX1395" s="2"/>
      <c r="AY1395" s="2"/>
    </row>
    <row r="1396" spans="21:51" x14ac:dyDescent="0.25">
      <c r="U1396" s="2"/>
      <c r="W1396" s="5"/>
      <c r="X1396" s="5"/>
      <c r="Y1396" s="5"/>
      <c r="Z1396" s="5"/>
      <c r="AA1396" s="5"/>
      <c r="AB1396" s="5"/>
      <c r="AC1396" s="5"/>
      <c r="AD1396" s="5"/>
      <c r="AE1396" s="5"/>
      <c r="AQ1396" s="2"/>
      <c r="AR1396" s="2"/>
      <c r="AS1396" s="2"/>
      <c r="AT1396" s="2"/>
      <c r="AU1396" s="2"/>
      <c r="AV1396" s="2"/>
      <c r="AW1396" s="2"/>
      <c r="AX1396" s="2"/>
      <c r="AY1396" s="2"/>
    </row>
    <row r="1397" spans="21:51" x14ac:dyDescent="0.25">
      <c r="U1397" s="2"/>
      <c r="W1397" s="5"/>
      <c r="X1397" s="5"/>
      <c r="Y1397" s="5"/>
      <c r="Z1397" s="5"/>
      <c r="AA1397" s="5"/>
      <c r="AB1397" s="5"/>
      <c r="AC1397" s="5"/>
      <c r="AD1397" s="5"/>
      <c r="AE1397" s="5"/>
      <c r="AQ1397" s="2"/>
      <c r="AR1397" s="2"/>
      <c r="AS1397" s="2"/>
      <c r="AT1397" s="2"/>
      <c r="AU1397" s="2"/>
      <c r="AV1397" s="2"/>
      <c r="AW1397" s="2"/>
      <c r="AX1397" s="2"/>
      <c r="AY1397" s="2"/>
    </row>
    <row r="1398" spans="21:51" x14ac:dyDescent="0.25">
      <c r="U1398" s="2"/>
      <c r="W1398" s="5"/>
      <c r="X1398" s="5"/>
      <c r="Y1398" s="5"/>
      <c r="Z1398" s="5"/>
      <c r="AA1398" s="5"/>
      <c r="AB1398" s="5"/>
      <c r="AC1398" s="5"/>
      <c r="AD1398" s="5"/>
      <c r="AE1398" s="5"/>
      <c r="AQ1398" s="2"/>
      <c r="AR1398" s="2"/>
      <c r="AS1398" s="2"/>
      <c r="AT1398" s="2"/>
      <c r="AU1398" s="2"/>
      <c r="AV1398" s="2"/>
      <c r="AW1398" s="2"/>
      <c r="AX1398" s="2"/>
      <c r="AY1398" s="2"/>
    </row>
    <row r="1399" spans="21:51" x14ac:dyDescent="0.25">
      <c r="U1399" s="2"/>
      <c r="W1399" s="5"/>
      <c r="X1399" s="5"/>
      <c r="Y1399" s="5"/>
      <c r="Z1399" s="5"/>
      <c r="AA1399" s="5"/>
      <c r="AB1399" s="5"/>
      <c r="AC1399" s="5"/>
      <c r="AD1399" s="5"/>
      <c r="AE1399" s="5"/>
      <c r="AQ1399" s="2"/>
      <c r="AR1399" s="2"/>
      <c r="AS1399" s="2"/>
      <c r="AT1399" s="2"/>
      <c r="AU1399" s="2"/>
      <c r="AV1399" s="2"/>
      <c r="AW1399" s="2"/>
      <c r="AX1399" s="2"/>
      <c r="AY1399" s="2"/>
    </row>
    <row r="1400" spans="21:51" x14ac:dyDescent="0.25">
      <c r="U1400" s="2"/>
      <c r="W1400" s="5"/>
      <c r="X1400" s="5"/>
      <c r="Y1400" s="5"/>
      <c r="Z1400" s="5"/>
      <c r="AA1400" s="5"/>
      <c r="AB1400" s="5"/>
      <c r="AC1400" s="5"/>
      <c r="AD1400" s="5"/>
      <c r="AE1400" s="5"/>
      <c r="AQ1400" s="2"/>
      <c r="AR1400" s="2"/>
      <c r="AS1400" s="2"/>
      <c r="AT1400" s="2"/>
      <c r="AU1400" s="2"/>
      <c r="AV1400" s="2"/>
      <c r="AW1400" s="2"/>
      <c r="AX1400" s="2"/>
      <c r="AY1400" s="2"/>
    </row>
    <row r="1401" spans="21:51" x14ac:dyDescent="0.25">
      <c r="U1401" s="2"/>
      <c r="W1401" s="5"/>
      <c r="X1401" s="5"/>
      <c r="Y1401" s="5"/>
      <c r="Z1401" s="5"/>
      <c r="AA1401" s="5"/>
      <c r="AB1401" s="5"/>
      <c r="AC1401" s="5"/>
      <c r="AD1401" s="5"/>
      <c r="AE1401" s="5"/>
      <c r="AQ1401" s="2"/>
      <c r="AR1401" s="2"/>
      <c r="AS1401" s="2"/>
      <c r="AT1401" s="2"/>
      <c r="AU1401" s="2"/>
      <c r="AV1401" s="2"/>
      <c r="AW1401" s="2"/>
      <c r="AX1401" s="2"/>
      <c r="AY1401" s="2"/>
    </row>
    <row r="1402" spans="21:51" x14ac:dyDescent="0.25">
      <c r="U1402" s="2"/>
      <c r="W1402" s="5"/>
      <c r="X1402" s="5"/>
      <c r="Y1402" s="5"/>
      <c r="Z1402" s="5"/>
      <c r="AA1402" s="5"/>
      <c r="AB1402" s="5"/>
      <c r="AC1402" s="5"/>
      <c r="AD1402" s="5"/>
      <c r="AE1402" s="5"/>
      <c r="AQ1402" s="2"/>
      <c r="AR1402" s="2"/>
      <c r="AS1402" s="2"/>
      <c r="AT1402" s="2"/>
      <c r="AU1402" s="2"/>
      <c r="AV1402" s="2"/>
      <c r="AW1402" s="2"/>
      <c r="AX1402" s="2"/>
      <c r="AY1402" s="2"/>
    </row>
    <row r="1403" spans="21:51" x14ac:dyDescent="0.25">
      <c r="U1403" s="2"/>
      <c r="W1403" s="5"/>
      <c r="X1403" s="5"/>
      <c r="Y1403" s="5"/>
      <c r="Z1403" s="5"/>
      <c r="AA1403" s="5"/>
      <c r="AB1403" s="5"/>
      <c r="AC1403" s="5"/>
      <c r="AD1403" s="5"/>
      <c r="AE1403" s="5"/>
      <c r="AQ1403" s="2"/>
      <c r="AR1403" s="2"/>
      <c r="AS1403" s="2"/>
      <c r="AT1403" s="2"/>
      <c r="AU1403" s="2"/>
      <c r="AV1403" s="2"/>
      <c r="AW1403" s="2"/>
      <c r="AX1403" s="2"/>
      <c r="AY1403" s="2"/>
    </row>
    <row r="1404" spans="21:51" x14ac:dyDescent="0.25">
      <c r="U1404" s="2"/>
      <c r="W1404" s="5"/>
      <c r="X1404" s="5"/>
      <c r="Y1404" s="5"/>
      <c r="Z1404" s="5"/>
      <c r="AA1404" s="5"/>
      <c r="AB1404" s="5"/>
      <c r="AC1404" s="5"/>
      <c r="AD1404" s="5"/>
      <c r="AE1404" s="5"/>
      <c r="AQ1404" s="2"/>
      <c r="AR1404" s="2"/>
      <c r="AS1404" s="2"/>
      <c r="AT1404" s="2"/>
      <c r="AU1404" s="2"/>
      <c r="AV1404" s="2"/>
      <c r="AW1404" s="2"/>
      <c r="AX1404" s="2"/>
      <c r="AY1404" s="2"/>
    </row>
    <row r="1405" spans="21:51" x14ac:dyDescent="0.25">
      <c r="U1405" s="2"/>
      <c r="W1405" s="5"/>
      <c r="X1405" s="5"/>
      <c r="Y1405" s="5"/>
      <c r="Z1405" s="5"/>
      <c r="AA1405" s="5"/>
      <c r="AB1405" s="5"/>
      <c r="AC1405" s="5"/>
      <c r="AD1405" s="5"/>
      <c r="AE1405" s="5"/>
      <c r="AQ1405" s="2"/>
      <c r="AR1405" s="2"/>
      <c r="AS1405" s="2"/>
      <c r="AT1405" s="2"/>
      <c r="AU1405" s="2"/>
      <c r="AV1405" s="2"/>
      <c r="AW1405" s="2"/>
      <c r="AX1405" s="2"/>
      <c r="AY1405" s="2"/>
    </row>
    <row r="1406" spans="21:51" x14ac:dyDescent="0.25">
      <c r="U1406" s="2"/>
      <c r="W1406" s="5"/>
      <c r="X1406" s="5"/>
      <c r="Y1406" s="5"/>
      <c r="Z1406" s="5"/>
      <c r="AA1406" s="5"/>
      <c r="AB1406" s="5"/>
      <c r="AC1406" s="5"/>
      <c r="AD1406" s="5"/>
      <c r="AE1406" s="5"/>
      <c r="AQ1406" s="2"/>
      <c r="AR1406" s="2"/>
      <c r="AS1406" s="2"/>
      <c r="AT1406" s="2"/>
      <c r="AU1406" s="2"/>
      <c r="AV1406" s="2"/>
      <c r="AW1406" s="2"/>
      <c r="AX1406" s="2"/>
      <c r="AY1406" s="2"/>
    </row>
    <row r="1407" spans="21:51" x14ac:dyDescent="0.25">
      <c r="U1407" s="2"/>
      <c r="W1407" s="5"/>
      <c r="X1407" s="5"/>
      <c r="Y1407" s="5"/>
      <c r="Z1407" s="5"/>
      <c r="AA1407" s="5"/>
      <c r="AB1407" s="5"/>
      <c r="AC1407" s="5"/>
      <c r="AD1407" s="5"/>
      <c r="AE1407" s="5"/>
      <c r="AQ1407" s="2"/>
      <c r="AR1407" s="2"/>
      <c r="AS1407" s="2"/>
      <c r="AT1407" s="2"/>
      <c r="AU1407" s="2"/>
      <c r="AV1407" s="2"/>
      <c r="AW1407" s="2"/>
      <c r="AX1407" s="2"/>
      <c r="AY1407" s="2"/>
    </row>
    <row r="1408" spans="21:51" x14ac:dyDescent="0.25">
      <c r="U1408" s="2"/>
      <c r="W1408" s="5"/>
      <c r="X1408" s="5"/>
      <c r="Y1408" s="5"/>
      <c r="Z1408" s="5"/>
      <c r="AA1408" s="5"/>
      <c r="AB1408" s="5"/>
      <c r="AC1408" s="5"/>
      <c r="AD1408" s="5"/>
      <c r="AE1408" s="5"/>
      <c r="AQ1408" s="2"/>
      <c r="AR1408" s="2"/>
      <c r="AS1408" s="2"/>
      <c r="AT1408" s="2"/>
      <c r="AU1408" s="2"/>
      <c r="AV1408" s="2"/>
      <c r="AW1408" s="2"/>
      <c r="AX1408" s="2"/>
      <c r="AY1408" s="2"/>
    </row>
    <row r="1409" spans="21:51" x14ac:dyDescent="0.25">
      <c r="U1409" s="2"/>
      <c r="W1409" s="5"/>
      <c r="X1409" s="5"/>
      <c r="Y1409" s="5"/>
      <c r="Z1409" s="5"/>
      <c r="AA1409" s="5"/>
      <c r="AB1409" s="5"/>
      <c r="AC1409" s="5"/>
      <c r="AD1409" s="5"/>
      <c r="AE1409" s="5"/>
      <c r="AQ1409" s="2"/>
      <c r="AR1409" s="2"/>
      <c r="AS1409" s="2"/>
      <c r="AT1409" s="2"/>
      <c r="AU1409" s="2"/>
      <c r="AV1409" s="2"/>
      <c r="AW1409" s="2"/>
      <c r="AX1409" s="2"/>
      <c r="AY1409" s="2"/>
    </row>
    <row r="1410" spans="21:51" x14ac:dyDescent="0.25">
      <c r="U1410" s="2"/>
      <c r="W1410" s="5"/>
      <c r="X1410" s="5"/>
      <c r="Y1410" s="5"/>
      <c r="Z1410" s="5"/>
      <c r="AA1410" s="5"/>
      <c r="AB1410" s="5"/>
      <c r="AC1410" s="5"/>
      <c r="AD1410" s="5"/>
      <c r="AE1410" s="5"/>
      <c r="AQ1410" s="2"/>
      <c r="AR1410" s="2"/>
      <c r="AS1410" s="2"/>
      <c r="AT1410" s="2"/>
      <c r="AU1410" s="2"/>
      <c r="AV1410" s="2"/>
      <c r="AW1410" s="2"/>
      <c r="AX1410" s="2"/>
      <c r="AY1410" s="2"/>
    </row>
    <row r="1411" spans="21:51" x14ac:dyDescent="0.25">
      <c r="U1411" s="2"/>
      <c r="W1411" s="5"/>
      <c r="X1411" s="5"/>
      <c r="Y1411" s="5"/>
      <c r="Z1411" s="5"/>
      <c r="AA1411" s="5"/>
      <c r="AB1411" s="5"/>
      <c r="AC1411" s="5"/>
      <c r="AD1411" s="5"/>
      <c r="AE1411" s="5"/>
      <c r="AQ1411" s="2"/>
      <c r="AR1411" s="2"/>
      <c r="AS1411" s="2"/>
      <c r="AT1411" s="2"/>
      <c r="AU1411" s="2"/>
      <c r="AV1411" s="2"/>
      <c r="AW1411" s="2"/>
      <c r="AX1411" s="2"/>
      <c r="AY1411" s="2"/>
    </row>
    <row r="1412" spans="21:51" x14ac:dyDescent="0.25">
      <c r="U1412" s="2"/>
      <c r="W1412" s="5"/>
      <c r="X1412" s="5"/>
      <c r="Y1412" s="5"/>
      <c r="Z1412" s="5"/>
      <c r="AA1412" s="5"/>
      <c r="AB1412" s="5"/>
      <c r="AC1412" s="5"/>
      <c r="AD1412" s="5"/>
      <c r="AE1412" s="5"/>
      <c r="AQ1412" s="2"/>
      <c r="AR1412" s="2"/>
      <c r="AS1412" s="2"/>
      <c r="AT1412" s="2"/>
      <c r="AU1412" s="2"/>
      <c r="AV1412" s="2"/>
      <c r="AW1412" s="2"/>
      <c r="AX1412" s="2"/>
      <c r="AY1412" s="2"/>
    </row>
    <row r="1413" spans="21:51" x14ac:dyDescent="0.25">
      <c r="U1413" s="2"/>
      <c r="W1413" s="5"/>
      <c r="X1413" s="5"/>
      <c r="Y1413" s="5"/>
      <c r="Z1413" s="5"/>
      <c r="AA1413" s="5"/>
      <c r="AB1413" s="5"/>
      <c r="AC1413" s="5"/>
      <c r="AD1413" s="5"/>
      <c r="AE1413" s="5"/>
      <c r="AQ1413" s="2"/>
      <c r="AR1413" s="2"/>
      <c r="AS1413" s="2"/>
      <c r="AT1413" s="2"/>
      <c r="AU1413" s="2"/>
      <c r="AV1413" s="2"/>
      <c r="AW1413" s="2"/>
      <c r="AX1413" s="2"/>
      <c r="AY1413" s="2"/>
    </row>
    <row r="1414" spans="21:51" x14ac:dyDescent="0.25">
      <c r="U1414" s="2"/>
      <c r="W1414" s="5"/>
      <c r="X1414" s="5"/>
      <c r="Y1414" s="5"/>
      <c r="Z1414" s="5"/>
      <c r="AA1414" s="5"/>
      <c r="AB1414" s="5"/>
      <c r="AC1414" s="5"/>
      <c r="AD1414" s="5"/>
      <c r="AE1414" s="5"/>
      <c r="AQ1414" s="2"/>
      <c r="AR1414" s="2"/>
      <c r="AS1414" s="2"/>
      <c r="AT1414" s="2"/>
      <c r="AU1414" s="2"/>
      <c r="AV1414" s="2"/>
      <c r="AW1414" s="2"/>
      <c r="AX1414" s="2"/>
      <c r="AY1414" s="2"/>
    </row>
    <row r="1415" spans="21:51" x14ac:dyDescent="0.25">
      <c r="U1415" s="2"/>
      <c r="W1415" s="5"/>
      <c r="X1415" s="5"/>
      <c r="Y1415" s="5"/>
      <c r="Z1415" s="5"/>
      <c r="AA1415" s="5"/>
      <c r="AB1415" s="5"/>
      <c r="AC1415" s="5"/>
      <c r="AD1415" s="5"/>
      <c r="AE1415" s="5"/>
      <c r="AQ1415" s="2"/>
      <c r="AR1415" s="2"/>
      <c r="AS1415" s="2"/>
      <c r="AT1415" s="2"/>
      <c r="AU1415" s="2"/>
      <c r="AV1415" s="2"/>
      <c r="AW1415" s="2"/>
      <c r="AX1415" s="2"/>
      <c r="AY1415" s="2"/>
    </row>
    <row r="1416" spans="21:51" x14ac:dyDescent="0.25">
      <c r="U1416" s="2"/>
      <c r="W1416" s="5"/>
      <c r="X1416" s="5"/>
      <c r="Y1416" s="5"/>
      <c r="Z1416" s="5"/>
      <c r="AA1416" s="5"/>
      <c r="AB1416" s="5"/>
      <c r="AC1416" s="5"/>
      <c r="AD1416" s="5"/>
      <c r="AE1416" s="5"/>
      <c r="AQ1416" s="2"/>
      <c r="AR1416" s="2"/>
      <c r="AS1416" s="2"/>
      <c r="AT1416" s="2"/>
      <c r="AU1416" s="2"/>
      <c r="AV1416" s="2"/>
      <c r="AW1416" s="2"/>
      <c r="AX1416" s="2"/>
      <c r="AY1416" s="2"/>
    </row>
    <row r="1417" spans="21:51" x14ac:dyDescent="0.25">
      <c r="U1417" s="2"/>
      <c r="W1417" s="5"/>
      <c r="X1417" s="5"/>
      <c r="Y1417" s="5"/>
      <c r="Z1417" s="5"/>
      <c r="AA1417" s="5"/>
      <c r="AB1417" s="5"/>
      <c r="AC1417" s="5"/>
      <c r="AD1417" s="5"/>
      <c r="AE1417" s="5"/>
      <c r="AQ1417" s="2"/>
      <c r="AR1417" s="2"/>
      <c r="AS1417" s="2"/>
      <c r="AT1417" s="2"/>
      <c r="AU1417" s="2"/>
      <c r="AV1417" s="2"/>
      <c r="AW1417" s="2"/>
      <c r="AX1417" s="2"/>
      <c r="AY1417" s="2"/>
    </row>
    <row r="1418" spans="21:51" x14ac:dyDescent="0.25">
      <c r="U1418" s="2"/>
      <c r="W1418" s="5"/>
      <c r="X1418" s="5"/>
      <c r="Y1418" s="5"/>
      <c r="Z1418" s="5"/>
      <c r="AA1418" s="5"/>
      <c r="AB1418" s="5"/>
      <c r="AC1418" s="5"/>
      <c r="AD1418" s="5"/>
      <c r="AE1418" s="5"/>
      <c r="AQ1418" s="2"/>
      <c r="AR1418" s="2"/>
      <c r="AS1418" s="2"/>
      <c r="AT1418" s="2"/>
      <c r="AU1418" s="2"/>
      <c r="AV1418" s="2"/>
      <c r="AW1418" s="2"/>
      <c r="AX1418" s="2"/>
      <c r="AY1418" s="2"/>
    </row>
    <row r="1419" spans="21:51" x14ac:dyDescent="0.25">
      <c r="U1419" s="2"/>
      <c r="W1419" s="5"/>
      <c r="X1419" s="5"/>
      <c r="Y1419" s="5"/>
      <c r="Z1419" s="5"/>
      <c r="AA1419" s="5"/>
      <c r="AB1419" s="5"/>
      <c r="AC1419" s="5"/>
      <c r="AD1419" s="5"/>
      <c r="AE1419" s="5"/>
      <c r="AQ1419" s="2"/>
      <c r="AR1419" s="2"/>
      <c r="AS1419" s="2"/>
      <c r="AT1419" s="2"/>
      <c r="AU1419" s="2"/>
      <c r="AV1419" s="2"/>
      <c r="AW1419" s="2"/>
      <c r="AX1419" s="2"/>
      <c r="AY1419" s="2"/>
    </row>
    <row r="1420" spans="21:51" x14ac:dyDescent="0.25">
      <c r="U1420" s="2"/>
      <c r="W1420" s="5"/>
      <c r="X1420" s="5"/>
      <c r="Y1420" s="5"/>
      <c r="Z1420" s="5"/>
      <c r="AA1420" s="5"/>
      <c r="AB1420" s="5"/>
      <c r="AC1420" s="5"/>
      <c r="AD1420" s="5"/>
      <c r="AE1420" s="5"/>
      <c r="AQ1420" s="2"/>
      <c r="AR1420" s="2"/>
      <c r="AS1420" s="2"/>
      <c r="AT1420" s="2"/>
      <c r="AU1420" s="2"/>
      <c r="AV1420" s="2"/>
      <c r="AW1420" s="2"/>
      <c r="AX1420" s="2"/>
      <c r="AY1420" s="2"/>
    </row>
    <row r="1421" spans="21:51" x14ac:dyDescent="0.25">
      <c r="U1421" s="2"/>
      <c r="W1421" s="5"/>
      <c r="X1421" s="5"/>
      <c r="Y1421" s="5"/>
      <c r="Z1421" s="5"/>
      <c r="AA1421" s="5"/>
      <c r="AB1421" s="5"/>
      <c r="AC1421" s="5"/>
      <c r="AD1421" s="5"/>
      <c r="AE1421" s="5"/>
      <c r="AQ1421" s="2"/>
      <c r="AR1421" s="2"/>
      <c r="AS1421" s="2"/>
      <c r="AT1421" s="2"/>
      <c r="AU1421" s="2"/>
      <c r="AV1421" s="2"/>
      <c r="AW1421" s="2"/>
      <c r="AX1421" s="2"/>
      <c r="AY1421" s="2"/>
    </row>
    <row r="1422" spans="21:51" x14ac:dyDescent="0.25">
      <c r="U1422" s="2"/>
      <c r="W1422" s="5"/>
      <c r="X1422" s="5"/>
      <c r="Y1422" s="5"/>
      <c r="Z1422" s="5"/>
      <c r="AA1422" s="5"/>
      <c r="AB1422" s="5"/>
      <c r="AC1422" s="5"/>
      <c r="AD1422" s="5"/>
      <c r="AE1422" s="5"/>
      <c r="AQ1422" s="2"/>
      <c r="AR1422" s="2"/>
      <c r="AS1422" s="2"/>
      <c r="AT1422" s="2"/>
      <c r="AU1422" s="2"/>
      <c r="AV1422" s="2"/>
      <c r="AW1422" s="2"/>
      <c r="AX1422" s="2"/>
      <c r="AY1422" s="2"/>
    </row>
    <row r="1423" spans="21:51" x14ac:dyDescent="0.25">
      <c r="U1423" s="2"/>
      <c r="W1423" s="5"/>
      <c r="X1423" s="5"/>
      <c r="Y1423" s="5"/>
      <c r="Z1423" s="5"/>
      <c r="AA1423" s="5"/>
      <c r="AB1423" s="5"/>
      <c r="AC1423" s="5"/>
      <c r="AD1423" s="5"/>
      <c r="AE1423" s="5"/>
      <c r="AQ1423" s="2"/>
      <c r="AR1423" s="2"/>
      <c r="AS1423" s="2"/>
      <c r="AT1423" s="2"/>
      <c r="AU1423" s="2"/>
      <c r="AV1423" s="2"/>
      <c r="AW1423" s="2"/>
      <c r="AX1423" s="2"/>
      <c r="AY1423" s="2"/>
    </row>
    <row r="1424" spans="21:51" x14ac:dyDescent="0.25">
      <c r="U1424" s="2"/>
      <c r="W1424" s="5"/>
      <c r="X1424" s="5"/>
      <c r="Y1424" s="5"/>
      <c r="Z1424" s="5"/>
      <c r="AA1424" s="5"/>
      <c r="AB1424" s="5"/>
      <c r="AC1424" s="5"/>
      <c r="AD1424" s="5"/>
      <c r="AE1424" s="5"/>
      <c r="AQ1424" s="2"/>
      <c r="AR1424" s="2"/>
      <c r="AS1424" s="2"/>
      <c r="AT1424" s="2"/>
      <c r="AU1424" s="2"/>
      <c r="AV1424" s="2"/>
      <c r="AW1424" s="2"/>
      <c r="AX1424" s="2"/>
      <c r="AY1424" s="2"/>
    </row>
    <row r="1425" spans="21:51" x14ac:dyDescent="0.25">
      <c r="U1425" s="2"/>
      <c r="W1425" s="5"/>
      <c r="X1425" s="5"/>
      <c r="Y1425" s="5"/>
      <c r="Z1425" s="5"/>
      <c r="AA1425" s="5"/>
      <c r="AB1425" s="5"/>
      <c r="AC1425" s="5"/>
      <c r="AD1425" s="5"/>
      <c r="AE1425" s="5"/>
      <c r="AQ1425" s="2"/>
      <c r="AR1425" s="2"/>
      <c r="AS1425" s="2"/>
      <c r="AT1425" s="2"/>
      <c r="AU1425" s="2"/>
      <c r="AV1425" s="2"/>
      <c r="AW1425" s="2"/>
      <c r="AX1425" s="2"/>
      <c r="AY1425" s="2"/>
    </row>
    <row r="1426" spans="21:51" x14ac:dyDescent="0.25">
      <c r="U1426" s="2"/>
      <c r="W1426" s="5"/>
      <c r="X1426" s="5"/>
      <c r="Y1426" s="5"/>
      <c r="Z1426" s="5"/>
      <c r="AA1426" s="5"/>
      <c r="AB1426" s="5"/>
      <c r="AC1426" s="5"/>
      <c r="AD1426" s="5"/>
      <c r="AE1426" s="5"/>
      <c r="AQ1426" s="2"/>
      <c r="AR1426" s="2"/>
      <c r="AS1426" s="2"/>
      <c r="AT1426" s="2"/>
      <c r="AU1426" s="2"/>
      <c r="AV1426" s="2"/>
      <c r="AW1426" s="2"/>
      <c r="AX1426" s="2"/>
      <c r="AY1426" s="2"/>
    </row>
    <row r="1427" spans="21:51" x14ac:dyDescent="0.25">
      <c r="U1427" s="2"/>
      <c r="W1427" s="5"/>
      <c r="X1427" s="5"/>
      <c r="Y1427" s="5"/>
      <c r="Z1427" s="5"/>
      <c r="AA1427" s="5"/>
      <c r="AB1427" s="5"/>
      <c r="AC1427" s="5"/>
      <c r="AD1427" s="5"/>
      <c r="AE1427" s="5"/>
      <c r="AQ1427" s="2"/>
      <c r="AR1427" s="2"/>
      <c r="AS1427" s="2"/>
      <c r="AT1427" s="2"/>
      <c r="AU1427" s="2"/>
      <c r="AV1427" s="2"/>
      <c r="AW1427" s="2"/>
      <c r="AX1427" s="2"/>
      <c r="AY1427" s="2"/>
    </row>
    <row r="1428" spans="21:51" x14ac:dyDescent="0.25">
      <c r="U1428" s="2"/>
      <c r="W1428" s="5"/>
      <c r="X1428" s="5"/>
      <c r="Y1428" s="5"/>
      <c r="Z1428" s="5"/>
      <c r="AA1428" s="5"/>
      <c r="AB1428" s="5"/>
      <c r="AC1428" s="5"/>
      <c r="AD1428" s="5"/>
      <c r="AE1428" s="5"/>
      <c r="AQ1428" s="2"/>
      <c r="AR1428" s="2"/>
      <c r="AS1428" s="2"/>
      <c r="AT1428" s="2"/>
      <c r="AU1428" s="2"/>
      <c r="AV1428" s="2"/>
      <c r="AW1428" s="2"/>
      <c r="AX1428" s="2"/>
      <c r="AY1428" s="2"/>
    </row>
    <row r="1429" spans="21:51" x14ac:dyDescent="0.25">
      <c r="U1429" s="2"/>
      <c r="W1429" s="5"/>
      <c r="X1429" s="5"/>
      <c r="Y1429" s="5"/>
      <c r="Z1429" s="5"/>
      <c r="AA1429" s="5"/>
      <c r="AB1429" s="5"/>
      <c r="AC1429" s="5"/>
      <c r="AD1429" s="5"/>
      <c r="AE1429" s="5"/>
      <c r="AQ1429" s="2"/>
      <c r="AR1429" s="2"/>
      <c r="AS1429" s="2"/>
      <c r="AT1429" s="2"/>
      <c r="AU1429" s="2"/>
      <c r="AV1429" s="2"/>
      <c r="AW1429" s="2"/>
      <c r="AX1429" s="2"/>
      <c r="AY1429" s="2"/>
    </row>
    <row r="1430" spans="21:51" x14ac:dyDescent="0.25">
      <c r="U1430" s="2"/>
      <c r="W1430" s="5"/>
      <c r="X1430" s="5"/>
      <c r="Y1430" s="5"/>
      <c r="Z1430" s="5"/>
      <c r="AA1430" s="5"/>
      <c r="AB1430" s="5"/>
      <c r="AC1430" s="5"/>
      <c r="AD1430" s="5"/>
      <c r="AE1430" s="5"/>
      <c r="AQ1430" s="2"/>
      <c r="AR1430" s="2"/>
      <c r="AS1430" s="2"/>
      <c r="AT1430" s="2"/>
      <c r="AU1430" s="2"/>
      <c r="AV1430" s="2"/>
      <c r="AW1430" s="2"/>
      <c r="AX1430" s="2"/>
      <c r="AY1430" s="2"/>
    </row>
    <row r="1431" spans="21:51" x14ac:dyDescent="0.25">
      <c r="U1431" s="2"/>
      <c r="W1431" s="5"/>
      <c r="X1431" s="5"/>
      <c r="Y1431" s="5"/>
      <c r="Z1431" s="5"/>
      <c r="AA1431" s="5"/>
      <c r="AB1431" s="5"/>
      <c r="AC1431" s="5"/>
      <c r="AD1431" s="5"/>
      <c r="AE1431" s="5"/>
      <c r="AQ1431" s="2"/>
      <c r="AR1431" s="2"/>
      <c r="AS1431" s="2"/>
      <c r="AT1431" s="2"/>
      <c r="AU1431" s="2"/>
      <c r="AV1431" s="2"/>
      <c r="AW1431" s="2"/>
      <c r="AX1431" s="2"/>
      <c r="AY1431" s="2"/>
    </row>
    <row r="1432" spans="21:51" x14ac:dyDescent="0.25">
      <c r="U1432" s="2"/>
      <c r="W1432" s="5"/>
      <c r="X1432" s="5"/>
      <c r="Y1432" s="5"/>
      <c r="Z1432" s="5"/>
      <c r="AA1432" s="5"/>
      <c r="AB1432" s="5"/>
      <c r="AC1432" s="5"/>
      <c r="AD1432" s="5"/>
      <c r="AE1432" s="5"/>
      <c r="AQ1432" s="2"/>
      <c r="AR1432" s="2"/>
      <c r="AS1432" s="2"/>
      <c r="AT1432" s="2"/>
      <c r="AU1432" s="2"/>
      <c r="AV1432" s="2"/>
      <c r="AW1432" s="2"/>
      <c r="AX1432" s="2"/>
      <c r="AY1432" s="2"/>
    </row>
    <row r="1433" spans="21:51" x14ac:dyDescent="0.25">
      <c r="U1433" s="2"/>
      <c r="W1433" s="5"/>
      <c r="X1433" s="5"/>
      <c r="Y1433" s="5"/>
      <c r="Z1433" s="5"/>
      <c r="AA1433" s="5"/>
      <c r="AB1433" s="5"/>
      <c r="AC1433" s="5"/>
      <c r="AD1433" s="5"/>
      <c r="AE1433" s="5"/>
      <c r="AQ1433" s="2"/>
      <c r="AR1433" s="2"/>
      <c r="AS1433" s="2"/>
      <c r="AT1433" s="2"/>
      <c r="AU1433" s="2"/>
      <c r="AV1433" s="2"/>
      <c r="AW1433" s="2"/>
      <c r="AX1433" s="2"/>
      <c r="AY1433" s="2"/>
    </row>
    <row r="1434" spans="21:51" x14ac:dyDescent="0.25">
      <c r="U1434" s="2"/>
      <c r="W1434" s="5"/>
      <c r="X1434" s="5"/>
      <c r="Y1434" s="5"/>
      <c r="Z1434" s="5"/>
      <c r="AA1434" s="5"/>
      <c r="AB1434" s="5"/>
      <c r="AC1434" s="5"/>
      <c r="AD1434" s="5"/>
      <c r="AE1434" s="5"/>
      <c r="AQ1434" s="2"/>
      <c r="AR1434" s="2"/>
      <c r="AS1434" s="2"/>
      <c r="AT1434" s="2"/>
      <c r="AU1434" s="2"/>
      <c r="AV1434" s="2"/>
      <c r="AW1434" s="2"/>
      <c r="AX1434" s="2"/>
      <c r="AY1434" s="2"/>
    </row>
    <row r="1435" spans="21:51" x14ac:dyDescent="0.25">
      <c r="U1435" s="2"/>
      <c r="W1435" s="5"/>
      <c r="X1435" s="5"/>
      <c r="Y1435" s="5"/>
      <c r="Z1435" s="5"/>
      <c r="AA1435" s="5"/>
      <c r="AB1435" s="5"/>
      <c r="AC1435" s="5"/>
      <c r="AD1435" s="5"/>
      <c r="AE1435" s="5"/>
      <c r="AQ1435" s="2"/>
      <c r="AR1435" s="2"/>
      <c r="AS1435" s="2"/>
      <c r="AT1435" s="2"/>
      <c r="AU1435" s="2"/>
      <c r="AV1435" s="2"/>
      <c r="AW1435" s="2"/>
      <c r="AX1435" s="2"/>
      <c r="AY1435" s="2"/>
    </row>
    <row r="1436" spans="21:51" x14ac:dyDescent="0.25">
      <c r="U1436" s="2"/>
      <c r="W1436" s="5"/>
      <c r="X1436" s="5"/>
      <c r="Y1436" s="5"/>
      <c r="Z1436" s="5"/>
      <c r="AA1436" s="5"/>
      <c r="AB1436" s="5"/>
      <c r="AC1436" s="5"/>
      <c r="AD1436" s="5"/>
      <c r="AE1436" s="5"/>
      <c r="AQ1436" s="2"/>
      <c r="AR1436" s="2"/>
      <c r="AS1436" s="2"/>
      <c r="AT1436" s="2"/>
      <c r="AU1436" s="2"/>
      <c r="AV1436" s="2"/>
      <c r="AW1436" s="2"/>
      <c r="AX1436" s="2"/>
      <c r="AY1436" s="2"/>
    </row>
    <row r="1437" spans="21:51" x14ac:dyDescent="0.25">
      <c r="U1437" s="2"/>
      <c r="W1437" s="5"/>
      <c r="X1437" s="5"/>
      <c r="Y1437" s="5"/>
      <c r="Z1437" s="5"/>
      <c r="AA1437" s="5"/>
      <c r="AB1437" s="5"/>
      <c r="AC1437" s="5"/>
      <c r="AD1437" s="5"/>
      <c r="AE1437" s="5"/>
      <c r="AQ1437" s="2"/>
      <c r="AR1437" s="2"/>
      <c r="AS1437" s="2"/>
      <c r="AT1437" s="2"/>
      <c r="AU1437" s="2"/>
      <c r="AV1437" s="2"/>
      <c r="AW1437" s="2"/>
      <c r="AX1437" s="2"/>
      <c r="AY1437" s="2"/>
    </row>
    <row r="1438" spans="21:51" x14ac:dyDescent="0.25">
      <c r="U1438" s="2"/>
      <c r="W1438" s="5"/>
      <c r="X1438" s="5"/>
      <c r="Y1438" s="5"/>
      <c r="Z1438" s="5"/>
      <c r="AA1438" s="5"/>
      <c r="AB1438" s="5"/>
      <c r="AC1438" s="5"/>
      <c r="AD1438" s="5"/>
      <c r="AE1438" s="5"/>
      <c r="AQ1438" s="2"/>
      <c r="AR1438" s="2"/>
      <c r="AS1438" s="2"/>
      <c r="AT1438" s="2"/>
      <c r="AU1438" s="2"/>
      <c r="AV1438" s="2"/>
      <c r="AW1438" s="2"/>
      <c r="AX1438" s="2"/>
      <c r="AY1438" s="2"/>
    </row>
    <row r="1439" spans="21:51" x14ac:dyDescent="0.25">
      <c r="U1439" s="2"/>
      <c r="W1439" s="5"/>
      <c r="X1439" s="5"/>
      <c r="Y1439" s="5"/>
      <c r="Z1439" s="5"/>
      <c r="AA1439" s="5"/>
      <c r="AB1439" s="5"/>
      <c r="AC1439" s="5"/>
      <c r="AD1439" s="5"/>
      <c r="AE1439" s="5"/>
      <c r="AQ1439" s="2"/>
      <c r="AR1439" s="2"/>
      <c r="AS1439" s="2"/>
      <c r="AT1439" s="2"/>
      <c r="AU1439" s="2"/>
      <c r="AV1439" s="2"/>
      <c r="AW1439" s="2"/>
      <c r="AX1439" s="2"/>
      <c r="AY1439" s="2"/>
    </row>
    <row r="1440" spans="21:51" x14ac:dyDescent="0.25">
      <c r="U1440" s="2"/>
      <c r="W1440" s="5"/>
      <c r="X1440" s="5"/>
      <c r="Y1440" s="5"/>
      <c r="Z1440" s="5"/>
      <c r="AA1440" s="5"/>
      <c r="AB1440" s="5"/>
      <c r="AC1440" s="5"/>
      <c r="AD1440" s="5"/>
      <c r="AE1440" s="5"/>
      <c r="AQ1440" s="2"/>
      <c r="AR1440" s="2"/>
      <c r="AS1440" s="2"/>
      <c r="AT1440" s="2"/>
      <c r="AU1440" s="2"/>
      <c r="AV1440" s="2"/>
      <c r="AW1440" s="2"/>
      <c r="AX1440" s="2"/>
      <c r="AY1440" s="2"/>
    </row>
    <row r="1441" spans="21:51" x14ac:dyDescent="0.25">
      <c r="U1441" s="2"/>
      <c r="W1441" s="5"/>
      <c r="X1441" s="5"/>
      <c r="Y1441" s="5"/>
      <c r="Z1441" s="5"/>
      <c r="AA1441" s="5"/>
      <c r="AB1441" s="5"/>
      <c r="AC1441" s="5"/>
      <c r="AD1441" s="5"/>
      <c r="AE1441" s="5"/>
      <c r="AQ1441" s="2"/>
      <c r="AR1441" s="2"/>
      <c r="AS1441" s="2"/>
      <c r="AT1441" s="2"/>
      <c r="AU1441" s="2"/>
      <c r="AV1441" s="2"/>
      <c r="AW1441" s="2"/>
      <c r="AX1441" s="2"/>
      <c r="AY1441" s="2"/>
    </row>
    <row r="1442" spans="21:51" x14ac:dyDescent="0.25">
      <c r="U1442" s="2"/>
      <c r="W1442" s="5"/>
      <c r="X1442" s="5"/>
      <c r="Y1442" s="5"/>
      <c r="Z1442" s="5"/>
      <c r="AA1442" s="5"/>
      <c r="AB1442" s="5"/>
      <c r="AC1442" s="5"/>
      <c r="AD1442" s="5"/>
      <c r="AE1442" s="5"/>
      <c r="AQ1442" s="2"/>
      <c r="AR1442" s="2"/>
      <c r="AS1442" s="2"/>
      <c r="AT1442" s="2"/>
      <c r="AU1442" s="2"/>
      <c r="AV1442" s="2"/>
      <c r="AW1442" s="2"/>
      <c r="AX1442" s="2"/>
      <c r="AY1442" s="2"/>
    </row>
    <row r="1443" spans="21:51" x14ac:dyDescent="0.25">
      <c r="U1443" s="2"/>
      <c r="W1443" s="5"/>
      <c r="X1443" s="5"/>
      <c r="Y1443" s="5"/>
      <c r="Z1443" s="5"/>
      <c r="AA1443" s="5"/>
      <c r="AB1443" s="5"/>
      <c r="AC1443" s="5"/>
      <c r="AD1443" s="5"/>
      <c r="AE1443" s="5"/>
      <c r="AQ1443" s="2"/>
      <c r="AR1443" s="2"/>
      <c r="AS1443" s="2"/>
      <c r="AT1443" s="2"/>
      <c r="AU1443" s="2"/>
      <c r="AV1443" s="2"/>
      <c r="AW1443" s="2"/>
      <c r="AX1443" s="2"/>
      <c r="AY1443" s="2"/>
    </row>
    <row r="1444" spans="21:51" x14ac:dyDescent="0.25">
      <c r="U1444" s="2"/>
      <c r="W1444" s="5"/>
      <c r="X1444" s="5"/>
      <c r="Y1444" s="5"/>
      <c r="Z1444" s="5"/>
      <c r="AA1444" s="5"/>
      <c r="AB1444" s="5"/>
      <c r="AC1444" s="5"/>
      <c r="AD1444" s="5"/>
      <c r="AE1444" s="5"/>
      <c r="AQ1444" s="2"/>
      <c r="AR1444" s="2"/>
      <c r="AS1444" s="2"/>
      <c r="AT1444" s="2"/>
      <c r="AU1444" s="2"/>
      <c r="AV1444" s="2"/>
      <c r="AW1444" s="2"/>
      <c r="AX1444" s="2"/>
      <c r="AY1444" s="2"/>
    </row>
    <row r="1445" spans="21:51" x14ac:dyDescent="0.25">
      <c r="U1445" s="2"/>
      <c r="W1445" s="5"/>
      <c r="X1445" s="5"/>
      <c r="Y1445" s="5"/>
      <c r="Z1445" s="5"/>
      <c r="AA1445" s="5"/>
      <c r="AB1445" s="5"/>
      <c r="AC1445" s="5"/>
      <c r="AD1445" s="5"/>
      <c r="AE1445" s="5"/>
      <c r="AQ1445" s="2"/>
      <c r="AR1445" s="2"/>
      <c r="AS1445" s="2"/>
      <c r="AT1445" s="2"/>
      <c r="AU1445" s="2"/>
      <c r="AV1445" s="2"/>
      <c r="AW1445" s="2"/>
      <c r="AX1445" s="2"/>
      <c r="AY1445" s="2"/>
    </row>
    <row r="1446" spans="21:51" x14ac:dyDescent="0.25">
      <c r="U1446" s="2"/>
      <c r="W1446" s="5"/>
      <c r="X1446" s="5"/>
      <c r="Y1446" s="5"/>
      <c r="Z1446" s="5"/>
      <c r="AA1446" s="5"/>
      <c r="AB1446" s="5"/>
      <c r="AC1446" s="5"/>
      <c r="AD1446" s="5"/>
      <c r="AE1446" s="5"/>
      <c r="AQ1446" s="2"/>
      <c r="AR1446" s="2"/>
      <c r="AS1446" s="2"/>
      <c r="AT1446" s="2"/>
      <c r="AU1446" s="2"/>
      <c r="AV1446" s="2"/>
      <c r="AW1446" s="2"/>
      <c r="AX1446" s="2"/>
      <c r="AY1446" s="2"/>
    </row>
    <row r="1447" spans="21:51" x14ac:dyDescent="0.25">
      <c r="U1447" s="2"/>
      <c r="W1447" s="5"/>
      <c r="X1447" s="5"/>
      <c r="Y1447" s="5"/>
      <c r="Z1447" s="5"/>
      <c r="AA1447" s="5"/>
      <c r="AB1447" s="5"/>
      <c r="AC1447" s="5"/>
      <c r="AD1447" s="5"/>
      <c r="AE1447" s="5"/>
      <c r="AQ1447" s="2"/>
      <c r="AR1447" s="2"/>
      <c r="AS1447" s="2"/>
      <c r="AT1447" s="2"/>
      <c r="AU1447" s="2"/>
      <c r="AV1447" s="2"/>
      <c r="AW1447" s="2"/>
      <c r="AX1447" s="2"/>
      <c r="AY1447" s="2"/>
    </row>
    <row r="1448" spans="21:51" x14ac:dyDescent="0.25">
      <c r="U1448" s="2"/>
      <c r="W1448" s="5"/>
      <c r="X1448" s="5"/>
      <c r="Y1448" s="5"/>
      <c r="Z1448" s="5"/>
      <c r="AA1448" s="5"/>
      <c r="AB1448" s="5"/>
      <c r="AC1448" s="5"/>
      <c r="AD1448" s="5"/>
      <c r="AE1448" s="5"/>
      <c r="AQ1448" s="2"/>
      <c r="AR1448" s="2"/>
      <c r="AS1448" s="2"/>
      <c r="AT1448" s="2"/>
      <c r="AU1448" s="2"/>
      <c r="AV1448" s="2"/>
      <c r="AW1448" s="2"/>
      <c r="AX1448" s="2"/>
      <c r="AY1448" s="2"/>
    </row>
    <row r="1449" spans="21:51" x14ac:dyDescent="0.25">
      <c r="U1449" s="2"/>
      <c r="W1449" s="5"/>
      <c r="X1449" s="5"/>
      <c r="Y1449" s="5"/>
      <c r="Z1449" s="5"/>
      <c r="AA1449" s="5"/>
      <c r="AB1449" s="5"/>
      <c r="AC1449" s="5"/>
      <c r="AD1449" s="5"/>
      <c r="AE1449" s="5"/>
      <c r="AQ1449" s="2"/>
      <c r="AR1449" s="2"/>
      <c r="AS1449" s="2"/>
      <c r="AT1449" s="2"/>
      <c r="AU1449" s="2"/>
      <c r="AV1449" s="2"/>
      <c r="AW1449" s="2"/>
      <c r="AX1449" s="2"/>
      <c r="AY1449" s="2"/>
    </row>
    <row r="1450" spans="21:51" x14ac:dyDescent="0.25">
      <c r="U1450" s="2"/>
      <c r="W1450" s="5"/>
      <c r="X1450" s="5"/>
      <c r="Y1450" s="5"/>
      <c r="Z1450" s="5"/>
      <c r="AA1450" s="5"/>
      <c r="AB1450" s="5"/>
      <c r="AC1450" s="5"/>
      <c r="AD1450" s="5"/>
      <c r="AE1450" s="5"/>
      <c r="AQ1450" s="2"/>
      <c r="AR1450" s="2"/>
      <c r="AS1450" s="2"/>
      <c r="AT1450" s="2"/>
      <c r="AU1450" s="2"/>
      <c r="AV1450" s="2"/>
      <c r="AW1450" s="2"/>
      <c r="AX1450" s="2"/>
      <c r="AY1450" s="2"/>
    </row>
    <row r="1451" spans="21:51" x14ac:dyDescent="0.25">
      <c r="U1451" s="2"/>
      <c r="W1451" s="5"/>
      <c r="X1451" s="5"/>
      <c r="Y1451" s="5"/>
      <c r="Z1451" s="5"/>
      <c r="AA1451" s="5"/>
      <c r="AB1451" s="5"/>
      <c r="AC1451" s="5"/>
      <c r="AD1451" s="5"/>
      <c r="AE1451" s="5"/>
      <c r="AQ1451" s="2"/>
      <c r="AR1451" s="2"/>
      <c r="AS1451" s="2"/>
      <c r="AT1451" s="2"/>
      <c r="AU1451" s="2"/>
      <c r="AV1451" s="2"/>
      <c r="AW1451" s="2"/>
      <c r="AX1451" s="2"/>
      <c r="AY1451" s="2"/>
    </row>
    <row r="1452" spans="21:51" x14ac:dyDescent="0.25">
      <c r="U1452" s="2"/>
      <c r="W1452" s="5"/>
      <c r="X1452" s="5"/>
      <c r="Y1452" s="5"/>
      <c r="Z1452" s="5"/>
      <c r="AA1452" s="5"/>
      <c r="AB1452" s="5"/>
      <c r="AC1452" s="5"/>
      <c r="AD1452" s="5"/>
      <c r="AE1452" s="5"/>
      <c r="AQ1452" s="2"/>
      <c r="AR1452" s="2"/>
      <c r="AS1452" s="2"/>
      <c r="AT1452" s="2"/>
      <c r="AU1452" s="2"/>
      <c r="AV1452" s="2"/>
      <c r="AW1452" s="2"/>
      <c r="AX1452" s="2"/>
      <c r="AY1452" s="2"/>
    </row>
    <row r="1453" spans="21:51" x14ac:dyDescent="0.25">
      <c r="U1453" s="2"/>
      <c r="W1453" s="5"/>
      <c r="X1453" s="5"/>
      <c r="Y1453" s="5"/>
      <c r="Z1453" s="5"/>
      <c r="AA1453" s="5"/>
      <c r="AB1453" s="5"/>
      <c r="AC1453" s="5"/>
      <c r="AD1453" s="5"/>
      <c r="AE1453" s="5"/>
      <c r="AQ1453" s="2"/>
      <c r="AR1453" s="2"/>
      <c r="AS1453" s="2"/>
      <c r="AT1453" s="2"/>
      <c r="AU1453" s="2"/>
      <c r="AV1453" s="2"/>
      <c r="AW1453" s="2"/>
      <c r="AX1453" s="2"/>
      <c r="AY1453" s="2"/>
    </row>
    <row r="1454" spans="21:51" x14ac:dyDescent="0.25">
      <c r="U1454" s="2"/>
      <c r="W1454" s="5"/>
      <c r="X1454" s="5"/>
      <c r="Y1454" s="5"/>
      <c r="Z1454" s="5"/>
      <c r="AA1454" s="5"/>
      <c r="AB1454" s="5"/>
      <c r="AC1454" s="5"/>
      <c r="AD1454" s="5"/>
      <c r="AE1454" s="5"/>
      <c r="AQ1454" s="2"/>
      <c r="AR1454" s="2"/>
      <c r="AS1454" s="2"/>
      <c r="AT1454" s="2"/>
      <c r="AU1454" s="2"/>
      <c r="AV1454" s="2"/>
      <c r="AW1454" s="2"/>
      <c r="AX1454" s="2"/>
      <c r="AY1454" s="2"/>
    </row>
    <row r="1455" spans="21:51" x14ac:dyDescent="0.25">
      <c r="U1455" s="2"/>
      <c r="W1455" s="5"/>
      <c r="X1455" s="5"/>
      <c r="Y1455" s="5"/>
      <c r="Z1455" s="5"/>
      <c r="AA1455" s="5"/>
      <c r="AB1455" s="5"/>
      <c r="AC1455" s="5"/>
      <c r="AD1455" s="5"/>
      <c r="AE1455" s="5"/>
      <c r="AQ1455" s="2"/>
      <c r="AR1455" s="2"/>
      <c r="AS1455" s="2"/>
      <c r="AT1455" s="2"/>
      <c r="AU1455" s="2"/>
      <c r="AV1455" s="2"/>
      <c r="AW1455" s="2"/>
      <c r="AX1455" s="2"/>
      <c r="AY1455" s="2"/>
    </row>
    <row r="1456" spans="21:51" x14ac:dyDescent="0.25">
      <c r="U1456" s="2"/>
      <c r="W1456" s="5"/>
      <c r="X1456" s="5"/>
      <c r="Y1456" s="5"/>
      <c r="Z1456" s="5"/>
      <c r="AA1456" s="5"/>
      <c r="AB1456" s="5"/>
      <c r="AC1456" s="5"/>
      <c r="AD1456" s="5"/>
      <c r="AE1456" s="5"/>
      <c r="AQ1456" s="2"/>
      <c r="AR1456" s="2"/>
      <c r="AS1456" s="2"/>
      <c r="AT1456" s="2"/>
      <c r="AU1456" s="2"/>
      <c r="AV1456" s="2"/>
      <c r="AW1456" s="2"/>
      <c r="AX1456" s="2"/>
      <c r="AY1456" s="2"/>
    </row>
    <row r="1457" spans="21:51" x14ac:dyDescent="0.25">
      <c r="U1457" s="2"/>
      <c r="W1457" s="5"/>
      <c r="X1457" s="5"/>
      <c r="Y1457" s="5"/>
      <c r="Z1457" s="5"/>
      <c r="AA1457" s="5"/>
      <c r="AB1457" s="5"/>
      <c r="AC1457" s="5"/>
      <c r="AD1457" s="5"/>
      <c r="AE1457" s="5"/>
      <c r="AQ1457" s="2"/>
      <c r="AR1457" s="2"/>
      <c r="AS1457" s="2"/>
      <c r="AT1457" s="2"/>
      <c r="AU1457" s="2"/>
      <c r="AV1457" s="2"/>
      <c r="AW1457" s="2"/>
      <c r="AX1457" s="2"/>
      <c r="AY1457" s="2"/>
    </row>
    <row r="1458" spans="21:51" x14ac:dyDescent="0.25">
      <c r="U1458" s="2"/>
      <c r="W1458" s="5"/>
      <c r="X1458" s="5"/>
      <c r="Y1458" s="5"/>
      <c r="Z1458" s="5"/>
      <c r="AA1458" s="5"/>
      <c r="AB1458" s="5"/>
      <c r="AC1458" s="5"/>
      <c r="AD1458" s="5"/>
      <c r="AE1458" s="5"/>
      <c r="AQ1458" s="2"/>
      <c r="AR1458" s="2"/>
      <c r="AS1458" s="2"/>
      <c r="AT1458" s="2"/>
      <c r="AU1458" s="2"/>
      <c r="AV1458" s="2"/>
      <c r="AW1458" s="2"/>
      <c r="AX1458" s="2"/>
      <c r="AY1458" s="2"/>
    </row>
    <row r="1459" spans="21:51" x14ac:dyDescent="0.25">
      <c r="U1459" s="2"/>
      <c r="W1459" s="5"/>
      <c r="X1459" s="5"/>
      <c r="Y1459" s="5"/>
      <c r="Z1459" s="5"/>
      <c r="AA1459" s="5"/>
      <c r="AB1459" s="5"/>
      <c r="AC1459" s="5"/>
      <c r="AD1459" s="5"/>
      <c r="AE1459" s="5"/>
      <c r="AQ1459" s="2"/>
      <c r="AR1459" s="2"/>
      <c r="AS1459" s="2"/>
      <c r="AT1459" s="2"/>
      <c r="AU1459" s="2"/>
      <c r="AV1459" s="2"/>
      <c r="AW1459" s="2"/>
      <c r="AX1459" s="2"/>
      <c r="AY1459" s="2"/>
    </row>
    <row r="1460" spans="21:51" x14ac:dyDescent="0.25">
      <c r="U1460" s="2"/>
      <c r="W1460" s="5"/>
      <c r="X1460" s="5"/>
      <c r="Y1460" s="5"/>
      <c r="Z1460" s="5"/>
      <c r="AA1460" s="5"/>
      <c r="AB1460" s="5"/>
      <c r="AC1460" s="5"/>
      <c r="AD1460" s="5"/>
      <c r="AE1460" s="5"/>
      <c r="AQ1460" s="2"/>
      <c r="AR1460" s="2"/>
      <c r="AS1460" s="2"/>
      <c r="AT1460" s="2"/>
      <c r="AU1460" s="2"/>
      <c r="AV1460" s="2"/>
      <c r="AW1460" s="2"/>
      <c r="AX1460" s="2"/>
      <c r="AY1460" s="2"/>
    </row>
    <row r="1461" spans="21:51" x14ac:dyDescent="0.25">
      <c r="U1461" s="2"/>
      <c r="W1461" s="5"/>
      <c r="X1461" s="5"/>
      <c r="Y1461" s="5"/>
      <c r="Z1461" s="5"/>
      <c r="AA1461" s="5"/>
      <c r="AB1461" s="5"/>
      <c r="AC1461" s="5"/>
      <c r="AD1461" s="5"/>
      <c r="AE1461" s="5"/>
      <c r="AQ1461" s="2"/>
      <c r="AR1461" s="2"/>
      <c r="AS1461" s="2"/>
      <c r="AT1461" s="2"/>
      <c r="AU1461" s="2"/>
      <c r="AV1461" s="2"/>
      <c r="AW1461" s="2"/>
      <c r="AX1461" s="2"/>
      <c r="AY1461" s="2"/>
    </row>
    <row r="1462" spans="21:51" x14ac:dyDescent="0.25">
      <c r="U1462" s="2"/>
      <c r="W1462" s="5"/>
      <c r="X1462" s="5"/>
      <c r="Y1462" s="5"/>
      <c r="Z1462" s="5"/>
      <c r="AA1462" s="5"/>
      <c r="AB1462" s="5"/>
      <c r="AC1462" s="5"/>
      <c r="AD1462" s="5"/>
      <c r="AE1462" s="5"/>
      <c r="AQ1462" s="2"/>
      <c r="AR1462" s="2"/>
      <c r="AS1462" s="2"/>
      <c r="AT1462" s="2"/>
      <c r="AU1462" s="2"/>
      <c r="AV1462" s="2"/>
      <c r="AW1462" s="2"/>
      <c r="AX1462" s="2"/>
      <c r="AY1462" s="2"/>
    </row>
    <row r="1463" spans="21:51" x14ac:dyDescent="0.25">
      <c r="U1463" s="2"/>
      <c r="W1463" s="5"/>
      <c r="X1463" s="5"/>
      <c r="Y1463" s="5"/>
      <c r="Z1463" s="5"/>
      <c r="AA1463" s="5"/>
      <c r="AB1463" s="5"/>
      <c r="AC1463" s="5"/>
      <c r="AD1463" s="5"/>
      <c r="AE1463" s="5"/>
      <c r="AQ1463" s="2"/>
      <c r="AR1463" s="2"/>
      <c r="AS1463" s="2"/>
      <c r="AT1463" s="2"/>
      <c r="AU1463" s="2"/>
      <c r="AV1463" s="2"/>
      <c r="AW1463" s="2"/>
      <c r="AX1463" s="2"/>
      <c r="AY1463" s="2"/>
    </row>
    <row r="1464" spans="21:51" x14ac:dyDescent="0.25">
      <c r="U1464" s="2"/>
      <c r="W1464" s="5"/>
      <c r="X1464" s="5"/>
      <c r="Y1464" s="5"/>
      <c r="Z1464" s="5"/>
      <c r="AA1464" s="5"/>
      <c r="AB1464" s="5"/>
      <c r="AC1464" s="5"/>
      <c r="AD1464" s="5"/>
      <c r="AE1464" s="5"/>
      <c r="AQ1464" s="2"/>
      <c r="AR1464" s="2"/>
      <c r="AS1464" s="2"/>
      <c r="AT1464" s="2"/>
      <c r="AU1464" s="2"/>
      <c r="AV1464" s="2"/>
      <c r="AW1464" s="2"/>
      <c r="AX1464" s="2"/>
      <c r="AY1464" s="2"/>
    </row>
    <row r="1465" spans="21:51" x14ac:dyDescent="0.25">
      <c r="U1465" s="2"/>
      <c r="W1465" s="5"/>
      <c r="X1465" s="5"/>
      <c r="Y1465" s="5"/>
      <c r="Z1465" s="5"/>
      <c r="AA1465" s="5"/>
      <c r="AB1465" s="5"/>
      <c r="AC1465" s="5"/>
      <c r="AD1465" s="5"/>
      <c r="AE1465" s="5"/>
      <c r="AQ1465" s="2"/>
      <c r="AR1465" s="2"/>
      <c r="AS1465" s="2"/>
      <c r="AT1465" s="2"/>
      <c r="AU1465" s="2"/>
      <c r="AV1465" s="2"/>
      <c r="AW1465" s="2"/>
      <c r="AX1465" s="2"/>
      <c r="AY1465" s="2"/>
    </row>
    <row r="1466" spans="21:51" x14ac:dyDescent="0.25">
      <c r="U1466" s="2"/>
      <c r="W1466" s="5"/>
      <c r="X1466" s="5"/>
      <c r="Y1466" s="5"/>
      <c r="Z1466" s="5"/>
      <c r="AA1466" s="5"/>
      <c r="AB1466" s="5"/>
      <c r="AC1466" s="5"/>
      <c r="AD1466" s="5"/>
      <c r="AE1466" s="5"/>
      <c r="AQ1466" s="2"/>
      <c r="AR1466" s="2"/>
      <c r="AS1466" s="2"/>
      <c r="AT1466" s="2"/>
      <c r="AU1466" s="2"/>
      <c r="AV1466" s="2"/>
      <c r="AW1466" s="2"/>
      <c r="AX1466" s="2"/>
      <c r="AY1466" s="2"/>
    </row>
    <row r="1467" spans="21:51" x14ac:dyDescent="0.25">
      <c r="U1467" s="2"/>
      <c r="W1467" s="5"/>
      <c r="X1467" s="5"/>
      <c r="Y1467" s="5"/>
      <c r="Z1467" s="5"/>
      <c r="AA1467" s="5"/>
      <c r="AB1467" s="5"/>
      <c r="AC1467" s="5"/>
      <c r="AD1467" s="5"/>
      <c r="AE1467" s="5"/>
      <c r="AQ1467" s="2"/>
      <c r="AR1467" s="2"/>
      <c r="AS1467" s="2"/>
      <c r="AT1467" s="2"/>
      <c r="AU1467" s="2"/>
      <c r="AV1467" s="2"/>
      <c r="AW1467" s="2"/>
      <c r="AX1467" s="2"/>
      <c r="AY1467" s="2"/>
    </row>
    <row r="1468" spans="21:51" x14ac:dyDescent="0.25">
      <c r="U1468" s="2"/>
      <c r="W1468" s="5"/>
      <c r="X1468" s="5"/>
      <c r="Y1468" s="5"/>
      <c r="Z1468" s="5"/>
      <c r="AA1468" s="5"/>
      <c r="AB1468" s="5"/>
      <c r="AC1468" s="5"/>
      <c r="AD1468" s="5"/>
      <c r="AE1468" s="5"/>
      <c r="AQ1468" s="2"/>
      <c r="AR1468" s="2"/>
      <c r="AS1468" s="2"/>
      <c r="AT1468" s="2"/>
      <c r="AU1468" s="2"/>
      <c r="AV1468" s="2"/>
      <c r="AW1468" s="2"/>
      <c r="AX1468" s="2"/>
      <c r="AY1468" s="2"/>
    </row>
    <row r="1469" spans="21:51" x14ac:dyDescent="0.25">
      <c r="U1469" s="2"/>
      <c r="W1469" s="5"/>
      <c r="X1469" s="5"/>
      <c r="Y1469" s="5"/>
      <c r="Z1469" s="5"/>
      <c r="AA1469" s="5"/>
      <c r="AB1469" s="5"/>
      <c r="AC1469" s="5"/>
      <c r="AD1469" s="5"/>
      <c r="AE1469" s="5"/>
      <c r="AQ1469" s="2"/>
      <c r="AR1469" s="2"/>
      <c r="AS1469" s="2"/>
      <c r="AT1469" s="2"/>
      <c r="AU1469" s="2"/>
      <c r="AV1469" s="2"/>
      <c r="AW1469" s="2"/>
      <c r="AX1469" s="2"/>
      <c r="AY1469" s="2"/>
    </row>
    <row r="1470" spans="21:51" x14ac:dyDescent="0.25">
      <c r="U1470" s="2"/>
      <c r="W1470" s="5"/>
      <c r="X1470" s="5"/>
      <c r="Y1470" s="5"/>
      <c r="Z1470" s="5"/>
      <c r="AA1470" s="5"/>
      <c r="AB1470" s="5"/>
      <c r="AC1470" s="5"/>
      <c r="AD1470" s="5"/>
      <c r="AE1470" s="5"/>
      <c r="AQ1470" s="2"/>
      <c r="AR1470" s="2"/>
      <c r="AS1470" s="2"/>
      <c r="AT1470" s="2"/>
      <c r="AU1470" s="2"/>
      <c r="AV1470" s="2"/>
      <c r="AW1470" s="2"/>
      <c r="AX1470" s="2"/>
      <c r="AY1470" s="2"/>
    </row>
    <row r="1471" spans="21:51" x14ac:dyDescent="0.25">
      <c r="U1471" s="2"/>
      <c r="W1471" s="5"/>
      <c r="X1471" s="5"/>
      <c r="Y1471" s="5"/>
      <c r="Z1471" s="5"/>
      <c r="AA1471" s="5"/>
      <c r="AB1471" s="5"/>
      <c r="AC1471" s="5"/>
      <c r="AD1471" s="5"/>
      <c r="AE1471" s="5"/>
      <c r="AQ1471" s="2"/>
      <c r="AR1471" s="2"/>
      <c r="AS1471" s="2"/>
      <c r="AT1471" s="2"/>
      <c r="AU1471" s="2"/>
      <c r="AV1471" s="2"/>
      <c r="AW1471" s="2"/>
      <c r="AX1471" s="2"/>
      <c r="AY1471" s="2"/>
    </row>
    <row r="1472" spans="21:51" x14ac:dyDescent="0.25">
      <c r="U1472" s="2"/>
      <c r="W1472" s="5"/>
      <c r="X1472" s="5"/>
      <c r="Y1472" s="5"/>
      <c r="Z1472" s="5"/>
      <c r="AA1472" s="5"/>
      <c r="AB1472" s="5"/>
      <c r="AC1472" s="5"/>
      <c r="AD1472" s="5"/>
      <c r="AE1472" s="5"/>
      <c r="AQ1472" s="2"/>
      <c r="AR1472" s="2"/>
      <c r="AS1472" s="2"/>
      <c r="AT1472" s="2"/>
      <c r="AU1472" s="2"/>
      <c r="AV1472" s="2"/>
      <c r="AW1472" s="2"/>
      <c r="AX1472" s="2"/>
      <c r="AY1472" s="2"/>
    </row>
    <row r="1473" spans="21:51" x14ac:dyDescent="0.25">
      <c r="U1473" s="2"/>
      <c r="W1473" s="5"/>
      <c r="X1473" s="5"/>
      <c r="Y1473" s="5"/>
      <c r="Z1473" s="5"/>
      <c r="AA1473" s="5"/>
      <c r="AB1473" s="5"/>
      <c r="AC1473" s="5"/>
      <c r="AD1473" s="5"/>
      <c r="AE1473" s="5"/>
      <c r="AQ1473" s="2"/>
      <c r="AR1473" s="2"/>
      <c r="AS1473" s="2"/>
      <c r="AT1473" s="2"/>
      <c r="AU1473" s="2"/>
      <c r="AV1473" s="2"/>
      <c r="AW1473" s="2"/>
      <c r="AX1473" s="2"/>
      <c r="AY1473" s="2"/>
    </row>
    <row r="1474" spans="21:51" x14ac:dyDescent="0.25">
      <c r="U1474" s="2"/>
      <c r="W1474" s="5"/>
      <c r="X1474" s="5"/>
      <c r="Y1474" s="5"/>
      <c r="Z1474" s="5"/>
      <c r="AA1474" s="5"/>
      <c r="AB1474" s="5"/>
      <c r="AC1474" s="5"/>
      <c r="AD1474" s="5"/>
      <c r="AE1474" s="5"/>
      <c r="AQ1474" s="2"/>
      <c r="AR1474" s="2"/>
      <c r="AS1474" s="2"/>
      <c r="AT1474" s="2"/>
      <c r="AU1474" s="2"/>
      <c r="AV1474" s="2"/>
      <c r="AW1474" s="2"/>
      <c r="AX1474" s="2"/>
      <c r="AY1474" s="2"/>
    </row>
    <row r="1475" spans="21:51" x14ac:dyDescent="0.25">
      <c r="U1475" s="2"/>
      <c r="W1475" s="5"/>
      <c r="X1475" s="5"/>
      <c r="Y1475" s="5"/>
      <c r="Z1475" s="5"/>
      <c r="AA1475" s="5"/>
      <c r="AB1475" s="5"/>
      <c r="AC1475" s="5"/>
      <c r="AD1475" s="5"/>
      <c r="AE1475" s="5"/>
      <c r="AQ1475" s="2"/>
      <c r="AR1475" s="2"/>
      <c r="AS1475" s="2"/>
      <c r="AT1475" s="2"/>
      <c r="AU1475" s="2"/>
      <c r="AV1475" s="2"/>
      <c r="AW1475" s="2"/>
      <c r="AX1475" s="2"/>
      <c r="AY1475" s="2"/>
    </row>
    <row r="1476" spans="21:51" x14ac:dyDescent="0.25">
      <c r="U1476" s="2"/>
      <c r="W1476" s="5"/>
      <c r="X1476" s="5"/>
      <c r="Y1476" s="5"/>
      <c r="Z1476" s="5"/>
      <c r="AA1476" s="5"/>
      <c r="AB1476" s="5"/>
      <c r="AC1476" s="5"/>
      <c r="AD1476" s="5"/>
      <c r="AE1476" s="5"/>
      <c r="AQ1476" s="2"/>
      <c r="AR1476" s="2"/>
      <c r="AS1476" s="2"/>
      <c r="AT1476" s="2"/>
      <c r="AU1476" s="2"/>
      <c r="AV1476" s="2"/>
      <c r="AW1476" s="2"/>
      <c r="AX1476" s="2"/>
      <c r="AY1476" s="2"/>
    </row>
    <row r="1477" spans="21:51" x14ac:dyDescent="0.25">
      <c r="U1477" s="2"/>
      <c r="W1477" s="5"/>
      <c r="X1477" s="5"/>
      <c r="Y1477" s="5"/>
      <c r="Z1477" s="5"/>
      <c r="AA1477" s="5"/>
      <c r="AB1477" s="5"/>
      <c r="AC1477" s="5"/>
      <c r="AD1477" s="5"/>
      <c r="AE1477" s="5"/>
      <c r="AQ1477" s="2"/>
      <c r="AR1477" s="2"/>
      <c r="AS1477" s="2"/>
      <c r="AT1477" s="2"/>
      <c r="AU1477" s="2"/>
      <c r="AV1477" s="2"/>
      <c r="AW1477" s="2"/>
      <c r="AX1477" s="2"/>
      <c r="AY1477" s="2"/>
    </row>
    <row r="1478" spans="21:51" x14ac:dyDescent="0.25">
      <c r="U1478" s="2"/>
      <c r="W1478" s="5"/>
      <c r="X1478" s="5"/>
      <c r="Y1478" s="5"/>
      <c r="Z1478" s="5"/>
      <c r="AA1478" s="5"/>
      <c r="AB1478" s="5"/>
      <c r="AC1478" s="5"/>
      <c r="AD1478" s="5"/>
      <c r="AE1478" s="5"/>
      <c r="AQ1478" s="2"/>
      <c r="AR1478" s="2"/>
      <c r="AS1478" s="2"/>
      <c r="AT1478" s="2"/>
      <c r="AU1478" s="2"/>
      <c r="AV1478" s="2"/>
      <c r="AW1478" s="2"/>
      <c r="AX1478" s="2"/>
      <c r="AY1478" s="2"/>
    </row>
    <row r="1479" spans="21:51" x14ac:dyDescent="0.25">
      <c r="U1479" s="2"/>
      <c r="W1479" s="5"/>
      <c r="X1479" s="5"/>
      <c r="Y1479" s="5"/>
      <c r="Z1479" s="5"/>
      <c r="AA1479" s="5"/>
      <c r="AB1479" s="5"/>
      <c r="AC1479" s="5"/>
      <c r="AD1479" s="5"/>
      <c r="AE1479" s="5"/>
      <c r="AQ1479" s="2"/>
      <c r="AR1479" s="2"/>
      <c r="AS1479" s="2"/>
      <c r="AT1479" s="2"/>
      <c r="AU1479" s="2"/>
      <c r="AV1479" s="2"/>
      <c r="AW1479" s="2"/>
      <c r="AX1479" s="2"/>
      <c r="AY1479" s="2"/>
    </row>
    <row r="1480" spans="21:51" x14ac:dyDescent="0.25">
      <c r="U1480" s="2"/>
      <c r="W1480" s="5"/>
      <c r="X1480" s="5"/>
      <c r="Y1480" s="5"/>
      <c r="Z1480" s="5"/>
      <c r="AA1480" s="5"/>
      <c r="AB1480" s="5"/>
      <c r="AC1480" s="5"/>
      <c r="AD1480" s="5"/>
      <c r="AE1480" s="5"/>
      <c r="AQ1480" s="2"/>
      <c r="AR1480" s="2"/>
      <c r="AS1480" s="2"/>
      <c r="AT1480" s="2"/>
      <c r="AU1480" s="2"/>
      <c r="AV1480" s="2"/>
      <c r="AW1480" s="2"/>
      <c r="AX1480" s="2"/>
      <c r="AY1480" s="2"/>
    </row>
    <row r="1481" spans="21:51" x14ac:dyDescent="0.25">
      <c r="U1481" s="2"/>
      <c r="W1481" s="5"/>
      <c r="X1481" s="5"/>
      <c r="Y1481" s="5"/>
      <c r="Z1481" s="5"/>
      <c r="AA1481" s="5"/>
      <c r="AB1481" s="5"/>
      <c r="AC1481" s="5"/>
      <c r="AD1481" s="5"/>
      <c r="AE1481" s="5"/>
      <c r="AQ1481" s="2"/>
      <c r="AR1481" s="2"/>
      <c r="AS1481" s="2"/>
      <c r="AT1481" s="2"/>
      <c r="AU1481" s="2"/>
      <c r="AV1481" s="2"/>
      <c r="AW1481" s="2"/>
      <c r="AX1481" s="2"/>
      <c r="AY1481" s="2"/>
    </row>
    <row r="1482" spans="21:51" x14ac:dyDescent="0.25">
      <c r="U1482" s="2"/>
      <c r="W1482" s="5"/>
      <c r="X1482" s="5"/>
      <c r="Y1482" s="5"/>
      <c r="Z1482" s="5"/>
      <c r="AA1482" s="5"/>
      <c r="AB1482" s="5"/>
      <c r="AC1482" s="5"/>
      <c r="AD1482" s="5"/>
      <c r="AE1482" s="5"/>
      <c r="AQ1482" s="2"/>
      <c r="AR1482" s="2"/>
      <c r="AS1482" s="2"/>
      <c r="AT1482" s="2"/>
      <c r="AU1482" s="2"/>
      <c r="AV1482" s="2"/>
      <c r="AW1482" s="2"/>
      <c r="AX1482" s="2"/>
      <c r="AY1482" s="2"/>
    </row>
    <row r="1483" spans="21:51" x14ac:dyDescent="0.25">
      <c r="U1483" s="2"/>
      <c r="W1483" s="5"/>
      <c r="X1483" s="5"/>
      <c r="Y1483" s="5"/>
      <c r="Z1483" s="5"/>
      <c r="AA1483" s="5"/>
      <c r="AB1483" s="5"/>
      <c r="AC1483" s="5"/>
      <c r="AD1483" s="5"/>
      <c r="AE1483" s="5"/>
      <c r="AQ1483" s="2"/>
      <c r="AR1483" s="2"/>
      <c r="AS1483" s="2"/>
      <c r="AT1483" s="2"/>
      <c r="AU1483" s="2"/>
      <c r="AV1483" s="2"/>
      <c r="AW1483" s="2"/>
      <c r="AX1483" s="2"/>
      <c r="AY1483" s="2"/>
    </row>
    <row r="1484" spans="21:51" x14ac:dyDescent="0.25">
      <c r="U1484" s="2"/>
      <c r="W1484" s="5"/>
      <c r="X1484" s="5"/>
      <c r="Y1484" s="5"/>
      <c r="Z1484" s="5"/>
      <c r="AA1484" s="5"/>
      <c r="AB1484" s="5"/>
      <c r="AC1484" s="5"/>
      <c r="AD1484" s="5"/>
      <c r="AE1484" s="5"/>
      <c r="AQ1484" s="2"/>
      <c r="AR1484" s="2"/>
      <c r="AS1484" s="2"/>
      <c r="AT1484" s="2"/>
      <c r="AU1484" s="2"/>
      <c r="AV1484" s="2"/>
      <c r="AW1484" s="2"/>
      <c r="AX1484" s="2"/>
      <c r="AY1484" s="2"/>
    </row>
    <row r="1485" spans="21:51" x14ac:dyDescent="0.25">
      <c r="U1485" s="2"/>
      <c r="W1485" s="5"/>
      <c r="X1485" s="5"/>
      <c r="Y1485" s="5"/>
      <c r="Z1485" s="5"/>
      <c r="AA1485" s="5"/>
      <c r="AB1485" s="5"/>
      <c r="AC1485" s="5"/>
      <c r="AD1485" s="5"/>
      <c r="AE1485" s="5"/>
      <c r="AQ1485" s="2"/>
      <c r="AR1485" s="2"/>
      <c r="AS1485" s="2"/>
      <c r="AT1485" s="2"/>
      <c r="AU1485" s="2"/>
      <c r="AV1485" s="2"/>
      <c r="AW1485" s="2"/>
      <c r="AX1485" s="2"/>
      <c r="AY1485" s="2"/>
    </row>
    <row r="1486" spans="21:51" x14ac:dyDescent="0.25">
      <c r="U1486" s="2"/>
      <c r="W1486" s="5"/>
      <c r="X1486" s="5"/>
      <c r="Y1486" s="5"/>
      <c r="Z1486" s="5"/>
      <c r="AA1486" s="5"/>
      <c r="AB1486" s="5"/>
      <c r="AC1486" s="5"/>
      <c r="AD1486" s="5"/>
      <c r="AE1486" s="5"/>
      <c r="AQ1486" s="2"/>
      <c r="AR1486" s="2"/>
      <c r="AS1486" s="2"/>
      <c r="AT1486" s="2"/>
      <c r="AU1486" s="2"/>
      <c r="AV1486" s="2"/>
      <c r="AW1486" s="2"/>
      <c r="AX1486" s="2"/>
      <c r="AY1486" s="2"/>
    </row>
    <row r="1487" spans="21:51" x14ac:dyDescent="0.25">
      <c r="U1487" s="2"/>
      <c r="W1487" s="5"/>
      <c r="X1487" s="5"/>
      <c r="Y1487" s="5"/>
      <c r="Z1487" s="5"/>
      <c r="AA1487" s="5"/>
      <c r="AB1487" s="5"/>
      <c r="AC1487" s="5"/>
      <c r="AD1487" s="5"/>
      <c r="AE1487" s="5"/>
      <c r="AQ1487" s="2"/>
      <c r="AR1487" s="2"/>
      <c r="AS1487" s="2"/>
      <c r="AT1487" s="2"/>
      <c r="AU1487" s="2"/>
      <c r="AV1487" s="2"/>
      <c r="AW1487" s="2"/>
      <c r="AX1487" s="2"/>
      <c r="AY1487" s="2"/>
    </row>
    <row r="1488" spans="21:51" x14ac:dyDescent="0.25">
      <c r="U1488" s="2"/>
      <c r="W1488" s="5"/>
      <c r="X1488" s="5"/>
      <c r="Y1488" s="5"/>
      <c r="Z1488" s="5"/>
      <c r="AA1488" s="5"/>
      <c r="AB1488" s="5"/>
      <c r="AC1488" s="5"/>
      <c r="AD1488" s="5"/>
      <c r="AE1488" s="5"/>
      <c r="AQ1488" s="2"/>
      <c r="AR1488" s="2"/>
      <c r="AS1488" s="2"/>
      <c r="AT1488" s="2"/>
      <c r="AU1488" s="2"/>
      <c r="AV1488" s="2"/>
      <c r="AW1488" s="2"/>
      <c r="AX1488" s="2"/>
      <c r="AY1488" s="2"/>
    </row>
    <row r="1489" spans="21:51" x14ac:dyDescent="0.25">
      <c r="U1489" s="2"/>
      <c r="W1489" s="5"/>
      <c r="X1489" s="5"/>
      <c r="Y1489" s="5"/>
      <c r="Z1489" s="5"/>
      <c r="AA1489" s="5"/>
      <c r="AB1489" s="5"/>
      <c r="AC1489" s="5"/>
      <c r="AD1489" s="5"/>
      <c r="AE1489" s="5"/>
      <c r="AQ1489" s="2"/>
      <c r="AR1489" s="2"/>
      <c r="AS1489" s="2"/>
      <c r="AT1489" s="2"/>
      <c r="AU1489" s="2"/>
      <c r="AV1489" s="2"/>
      <c r="AW1489" s="2"/>
      <c r="AX1489" s="2"/>
      <c r="AY1489" s="2"/>
    </row>
    <row r="1490" spans="21:51" x14ac:dyDescent="0.25">
      <c r="U1490" s="2"/>
      <c r="W1490" s="5"/>
      <c r="X1490" s="5"/>
      <c r="Y1490" s="5"/>
      <c r="Z1490" s="5"/>
      <c r="AA1490" s="5"/>
      <c r="AB1490" s="5"/>
      <c r="AC1490" s="5"/>
      <c r="AD1490" s="5"/>
      <c r="AE1490" s="5"/>
      <c r="AQ1490" s="2"/>
      <c r="AR1490" s="2"/>
      <c r="AS1490" s="2"/>
      <c r="AT1490" s="2"/>
      <c r="AU1490" s="2"/>
      <c r="AV1490" s="2"/>
      <c r="AW1490" s="2"/>
      <c r="AX1490" s="2"/>
      <c r="AY1490" s="2"/>
    </row>
    <row r="1491" spans="21:51" x14ac:dyDescent="0.25">
      <c r="U1491" s="2"/>
      <c r="W1491" s="5"/>
      <c r="X1491" s="5"/>
      <c r="Y1491" s="5"/>
      <c r="Z1491" s="5"/>
      <c r="AA1491" s="5"/>
      <c r="AB1491" s="5"/>
      <c r="AC1491" s="5"/>
      <c r="AD1491" s="5"/>
      <c r="AE1491" s="5"/>
      <c r="AQ1491" s="2"/>
      <c r="AR1491" s="2"/>
      <c r="AS1491" s="2"/>
      <c r="AT1491" s="2"/>
      <c r="AU1491" s="2"/>
      <c r="AV1491" s="2"/>
      <c r="AW1491" s="2"/>
      <c r="AX1491" s="2"/>
      <c r="AY1491" s="2"/>
    </row>
    <row r="1492" spans="21:51" x14ac:dyDescent="0.25">
      <c r="U1492" s="2"/>
      <c r="W1492" s="5"/>
      <c r="X1492" s="5"/>
      <c r="Y1492" s="5"/>
      <c r="Z1492" s="5"/>
      <c r="AA1492" s="5"/>
      <c r="AB1492" s="5"/>
      <c r="AC1492" s="5"/>
      <c r="AD1492" s="5"/>
      <c r="AE1492" s="5"/>
      <c r="AQ1492" s="2"/>
      <c r="AR1492" s="2"/>
      <c r="AS1492" s="2"/>
      <c r="AT1492" s="2"/>
      <c r="AU1492" s="2"/>
      <c r="AV1492" s="2"/>
      <c r="AW1492" s="2"/>
      <c r="AX1492" s="2"/>
      <c r="AY1492" s="2"/>
    </row>
    <row r="1493" spans="21:51" x14ac:dyDescent="0.25">
      <c r="U1493" s="2"/>
      <c r="W1493" s="5"/>
      <c r="X1493" s="5"/>
      <c r="Y1493" s="5"/>
      <c r="Z1493" s="5"/>
      <c r="AA1493" s="5"/>
      <c r="AB1493" s="5"/>
      <c r="AC1493" s="5"/>
      <c r="AD1493" s="5"/>
      <c r="AE1493" s="5"/>
      <c r="AQ1493" s="2"/>
      <c r="AR1493" s="2"/>
      <c r="AS1493" s="2"/>
      <c r="AT1493" s="2"/>
      <c r="AU1493" s="2"/>
      <c r="AV1493" s="2"/>
      <c r="AW1493" s="2"/>
      <c r="AX1493" s="2"/>
      <c r="AY1493" s="2"/>
    </row>
    <row r="1494" spans="21:51" x14ac:dyDescent="0.25">
      <c r="U1494" s="2"/>
      <c r="W1494" s="5"/>
      <c r="X1494" s="5"/>
      <c r="Y1494" s="5"/>
      <c r="Z1494" s="5"/>
      <c r="AA1494" s="5"/>
      <c r="AB1494" s="5"/>
      <c r="AC1494" s="5"/>
      <c r="AD1494" s="5"/>
      <c r="AE1494" s="5"/>
      <c r="AQ1494" s="2"/>
      <c r="AR1494" s="2"/>
      <c r="AS1494" s="2"/>
      <c r="AT1494" s="2"/>
      <c r="AU1494" s="2"/>
      <c r="AV1494" s="2"/>
      <c r="AW1494" s="2"/>
      <c r="AX1494" s="2"/>
      <c r="AY1494" s="2"/>
    </row>
    <row r="1495" spans="21:51" x14ac:dyDescent="0.25">
      <c r="U1495" s="2"/>
      <c r="W1495" s="5"/>
      <c r="X1495" s="5"/>
      <c r="Y1495" s="5"/>
      <c r="Z1495" s="5"/>
      <c r="AA1495" s="5"/>
      <c r="AB1495" s="5"/>
      <c r="AC1495" s="5"/>
      <c r="AD1495" s="5"/>
      <c r="AE1495" s="5"/>
      <c r="AQ1495" s="2"/>
      <c r="AR1495" s="2"/>
      <c r="AS1495" s="2"/>
      <c r="AT1495" s="2"/>
      <c r="AU1495" s="2"/>
      <c r="AV1495" s="2"/>
      <c r="AW1495" s="2"/>
      <c r="AX1495" s="2"/>
      <c r="AY1495" s="2"/>
    </row>
    <row r="1496" spans="21:51" x14ac:dyDescent="0.25">
      <c r="U1496" s="2"/>
      <c r="W1496" s="5"/>
      <c r="X1496" s="5"/>
      <c r="Y1496" s="5"/>
      <c r="Z1496" s="5"/>
      <c r="AA1496" s="5"/>
      <c r="AB1496" s="5"/>
      <c r="AC1496" s="5"/>
      <c r="AD1496" s="5"/>
      <c r="AE1496" s="5"/>
      <c r="AQ1496" s="2"/>
      <c r="AR1496" s="2"/>
      <c r="AS1496" s="2"/>
      <c r="AT1496" s="2"/>
      <c r="AU1496" s="2"/>
      <c r="AV1496" s="2"/>
      <c r="AW1496" s="2"/>
      <c r="AX1496" s="2"/>
      <c r="AY1496" s="2"/>
    </row>
    <row r="1497" spans="21:51" x14ac:dyDescent="0.25">
      <c r="U1497" s="2"/>
      <c r="W1497" s="5"/>
      <c r="X1497" s="5"/>
      <c r="Y1497" s="5"/>
      <c r="Z1497" s="5"/>
      <c r="AA1497" s="5"/>
      <c r="AB1497" s="5"/>
      <c r="AC1497" s="5"/>
      <c r="AD1497" s="5"/>
      <c r="AE1497" s="5"/>
      <c r="AQ1497" s="2"/>
      <c r="AR1497" s="2"/>
      <c r="AS1497" s="2"/>
      <c r="AT1497" s="2"/>
      <c r="AU1497" s="2"/>
      <c r="AV1497" s="2"/>
      <c r="AW1497" s="2"/>
      <c r="AX1497" s="2"/>
      <c r="AY1497" s="2"/>
    </row>
    <row r="1498" spans="21:51" x14ac:dyDescent="0.25">
      <c r="U1498" s="2"/>
      <c r="W1498" s="5"/>
      <c r="X1498" s="5"/>
      <c r="Y1498" s="5"/>
      <c r="Z1498" s="5"/>
      <c r="AA1498" s="5"/>
      <c r="AB1498" s="5"/>
      <c r="AC1498" s="5"/>
      <c r="AD1498" s="5"/>
      <c r="AE1498" s="5"/>
      <c r="AQ1498" s="2"/>
      <c r="AR1498" s="2"/>
      <c r="AS1498" s="2"/>
      <c r="AT1498" s="2"/>
      <c r="AU1498" s="2"/>
      <c r="AV1498" s="2"/>
      <c r="AW1498" s="2"/>
      <c r="AX1498" s="2"/>
      <c r="AY1498" s="2"/>
    </row>
    <row r="1499" spans="21:51" x14ac:dyDescent="0.25">
      <c r="U1499" s="2"/>
      <c r="W1499" s="5"/>
      <c r="X1499" s="5"/>
      <c r="Y1499" s="5"/>
      <c r="Z1499" s="5"/>
      <c r="AA1499" s="5"/>
      <c r="AB1499" s="5"/>
      <c r="AC1499" s="5"/>
      <c r="AD1499" s="5"/>
      <c r="AE1499" s="5"/>
      <c r="AQ1499" s="2"/>
      <c r="AR1499" s="2"/>
      <c r="AS1499" s="2"/>
      <c r="AT1499" s="2"/>
      <c r="AU1499" s="2"/>
      <c r="AV1499" s="2"/>
      <c r="AW1499" s="2"/>
      <c r="AX1499" s="2"/>
      <c r="AY1499" s="2"/>
    </row>
    <row r="1500" spans="21:51" x14ac:dyDescent="0.25">
      <c r="U1500" s="2"/>
      <c r="W1500" s="5"/>
      <c r="X1500" s="5"/>
      <c r="Y1500" s="5"/>
      <c r="Z1500" s="5"/>
      <c r="AA1500" s="5"/>
      <c r="AB1500" s="5"/>
      <c r="AC1500" s="5"/>
      <c r="AD1500" s="5"/>
      <c r="AE1500" s="5"/>
      <c r="AQ1500" s="2"/>
      <c r="AR1500" s="2"/>
      <c r="AS1500" s="2"/>
      <c r="AT1500" s="2"/>
      <c r="AU1500" s="2"/>
      <c r="AV1500" s="2"/>
      <c r="AW1500" s="2"/>
      <c r="AX1500" s="2"/>
      <c r="AY1500" s="2"/>
    </row>
    <row r="1501" spans="21:51" x14ac:dyDescent="0.25">
      <c r="U1501" s="2"/>
      <c r="W1501" s="5"/>
      <c r="X1501" s="5"/>
      <c r="Y1501" s="5"/>
      <c r="Z1501" s="5"/>
      <c r="AA1501" s="5"/>
      <c r="AB1501" s="5"/>
      <c r="AC1501" s="5"/>
      <c r="AD1501" s="5"/>
      <c r="AE1501" s="5"/>
      <c r="AQ1501" s="2"/>
      <c r="AR1501" s="2"/>
      <c r="AS1501" s="2"/>
      <c r="AT1501" s="2"/>
      <c r="AU1501" s="2"/>
      <c r="AV1501" s="2"/>
      <c r="AW1501" s="2"/>
      <c r="AX1501" s="2"/>
      <c r="AY1501" s="2"/>
    </row>
    <row r="1502" spans="21:51" x14ac:dyDescent="0.25">
      <c r="U1502" s="2"/>
      <c r="W1502" s="5"/>
      <c r="X1502" s="5"/>
      <c r="Y1502" s="5"/>
      <c r="Z1502" s="5"/>
      <c r="AA1502" s="5"/>
      <c r="AB1502" s="5"/>
      <c r="AC1502" s="5"/>
      <c r="AD1502" s="5"/>
      <c r="AE1502" s="5"/>
      <c r="AQ1502" s="2"/>
      <c r="AR1502" s="2"/>
      <c r="AS1502" s="2"/>
      <c r="AT1502" s="2"/>
      <c r="AU1502" s="2"/>
      <c r="AV1502" s="2"/>
      <c r="AW1502" s="2"/>
      <c r="AX1502" s="2"/>
      <c r="AY1502" s="2"/>
    </row>
    <row r="1503" spans="21:51" x14ac:dyDescent="0.25">
      <c r="U1503" s="2"/>
      <c r="W1503" s="5"/>
      <c r="X1503" s="5"/>
      <c r="Y1503" s="5"/>
      <c r="Z1503" s="5"/>
      <c r="AA1503" s="5"/>
      <c r="AB1503" s="5"/>
      <c r="AC1503" s="5"/>
      <c r="AD1503" s="5"/>
      <c r="AE1503" s="5"/>
      <c r="AQ1503" s="2"/>
      <c r="AR1503" s="2"/>
      <c r="AS1503" s="2"/>
      <c r="AT1503" s="2"/>
      <c r="AU1503" s="2"/>
      <c r="AV1503" s="2"/>
      <c r="AW1503" s="2"/>
      <c r="AX1503" s="2"/>
      <c r="AY1503" s="2"/>
    </row>
    <row r="1504" spans="21:51" x14ac:dyDescent="0.25">
      <c r="U1504" s="2"/>
      <c r="W1504" s="5"/>
      <c r="X1504" s="5"/>
      <c r="Y1504" s="5"/>
      <c r="Z1504" s="5"/>
      <c r="AA1504" s="5"/>
      <c r="AB1504" s="5"/>
      <c r="AC1504" s="5"/>
      <c r="AD1504" s="5"/>
      <c r="AE1504" s="5"/>
      <c r="AQ1504" s="2"/>
      <c r="AR1504" s="2"/>
      <c r="AS1504" s="2"/>
      <c r="AT1504" s="2"/>
      <c r="AU1504" s="2"/>
      <c r="AV1504" s="2"/>
      <c r="AW1504" s="2"/>
      <c r="AX1504" s="2"/>
      <c r="AY1504" s="2"/>
    </row>
    <row r="1505" spans="21:51" x14ac:dyDescent="0.25">
      <c r="U1505" s="2"/>
      <c r="W1505" s="5"/>
      <c r="X1505" s="5"/>
      <c r="Y1505" s="5"/>
      <c r="Z1505" s="5"/>
      <c r="AA1505" s="5"/>
      <c r="AB1505" s="5"/>
      <c r="AC1505" s="5"/>
      <c r="AD1505" s="5"/>
      <c r="AE1505" s="5"/>
      <c r="AQ1505" s="2"/>
      <c r="AR1505" s="2"/>
      <c r="AS1505" s="2"/>
      <c r="AT1505" s="2"/>
      <c r="AU1505" s="2"/>
      <c r="AV1505" s="2"/>
      <c r="AW1505" s="2"/>
      <c r="AX1505" s="2"/>
      <c r="AY1505" s="2"/>
    </row>
    <row r="1506" spans="21:51" x14ac:dyDescent="0.25">
      <c r="U1506" s="2"/>
      <c r="W1506" s="5"/>
      <c r="X1506" s="5"/>
      <c r="Y1506" s="5"/>
      <c r="Z1506" s="5"/>
      <c r="AA1506" s="5"/>
      <c r="AB1506" s="5"/>
      <c r="AC1506" s="5"/>
      <c r="AD1506" s="5"/>
      <c r="AE1506" s="5"/>
      <c r="AQ1506" s="2"/>
      <c r="AR1506" s="2"/>
      <c r="AS1506" s="2"/>
      <c r="AT1506" s="2"/>
      <c r="AU1506" s="2"/>
      <c r="AV1506" s="2"/>
      <c r="AW1506" s="2"/>
      <c r="AX1506" s="2"/>
      <c r="AY1506" s="2"/>
    </row>
    <row r="1507" spans="21:51" x14ac:dyDescent="0.25">
      <c r="U1507" s="2"/>
      <c r="W1507" s="5"/>
      <c r="X1507" s="5"/>
      <c r="Y1507" s="5"/>
      <c r="Z1507" s="5"/>
      <c r="AA1507" s="5"/>
      <c r="AB1507" s="5"/>
      <c r="AC1507" s="5"/>
      <c r="AD1507" s="5"/>
      <c r="AE1507" s="5"/>
      <c r="AQ1507" s="2"/>
      <c r="AR1507" s="2"/>
      <c r="AS1507" s="2"/>
      <c r="AT1507" s="2"/>
      <c r="AU1507" s="2"/>
      <c r="AV1507" s="2"/>
      <c r="AW1507" s="2"/>
      <c r="AX1507" s="2"/>
      <c r="AY1507" s="2"/>
    </row>
    <row r="1508" spans="21:51" x14ac:dyDescent="0.25">
      <c r="U1508" s="2"/>
      <c r="W1508" s="5"/>
      <c r="X1508" s="5"/>
      <c r="Y1508" s="5"/>
      <c r="Z1508" s="5"/>
      <c r="AA1508" s="5"/>
      <c r="AB1508" s="5"/>
      <c r="AC1508" s="5"/>
      <c r="AD1508" s="5"/>
      <c r="AE1508" s="5"/>
      <c r="AQ1508" s="2"/>
      <c r="AR1508" s="2"/>
      <c r="AS1508" s="2"/>
      <c r="AT1508" s="2"/>
      <c r="AU1508" s="2"/>
      <c r="AV1508" s="2"/>
      <c r="AW1508" s="2"/>
      <c r="AX1508" s="2"/>
      <c r="AY1508" s="2"/>
    </row>
    <row r="1509" spans="21:51" x14ac:dyDescent="0.25">
      <c r="U1509" s="2"/>
      <c r="W1509" s="5"/>
      <c r="X1509" s="5"/>
      <c r="Y1509" s="5"/>
      <c r="Z1509" s="5"/>
      <c r="AA1509" s="5"/>
      <c r="AB1509" s="5"/>
      <c r="AC1509" s="5"/>
      <c r="AD1509" s="5"/>
      <c r="AE1509" s="5"/>
      <c r="AQ1509" s="2"/>
      <c r="AR1509" s="2"/>
      <c r="AS1509" s="2"/>
      <c r="AT1509" s="2"/>
      <c r="AU1509" s="2"/>
      <c r="AV1509" s="2"/>
      <c r="AW1509" s="2"/>
      <c r="AX1509" s="2"/>
      <c r="AY1509" s="2"/>
    </row>
    <row r="1510" spans="21:51" x14ac:dyDescent="0.25">
      <c r="U1510" s="2"/>
      <c r="W1510" s="5"/>
      <c r="X1510" s="5"/>
      <c r="Y1510" s="5"/>
      <c r="Z1510" s="5"/>
      <c r="AA1510" s="5"/>
      <c r="AB1510" s="5"/>
      <c r="AC1510" s="5"/>
      <c r="AD1510" s="5"/>
      <c r="AE1510" s="5"/>
      <c r="AQ1510" s="2"/>
      <c r="AR1510" s="2"/>
      <c r="AS1510" s="2"/>
      <c r="AT1510" s="2"/>
      <c r="AU1510" s="2"/>
      <c r="AV1510" s="2"/>
      <c r="AW1510" s="2"/>
      <c r="AX1510" s="2"/>
      <c r="AY1510" s="2"/>
    </row>
    <row r="1511" spans="21:51" x14ac:dyDescent="0.25">
      <c r="U1511" s="2"/>
      <c r="W1511" s="5"/>
      <c r="X1511" s="5"/>
      <c r="Y1511" s="5"/>
      <c r="Z1511" s="5"/>
      <c r="AA1511" s="5"/>
      <c r="AB1511" s="5"/>
      <c r="AC1511" s="5"/>
      <c r="AD1511" s="5"/>
      <c r="AE1511" s="5"/>
      <c r="AQ1511" s="2"/>
      <c r="AR1511" s="2"/>
      <c r="AS1511" s="2"/>
      <c r="AT1511" s="2"/>
      <c r="AU1511" s="2"/>
      <c r="AV1511" s="2"/>
      <c r="AW1511" s="2"/>
      <c r="AX1511" s="2"/>
      <c r="AY1511" s="2"/>
    </row>
    <row r="1512" spans="21:51" x14ac:dyDescent="0.25">
      <c r="U1512" s="2"/>
      <c r="W1512" s="5"/>
      <c r="X1512" s="5"/>
      <c r="Y1512" s="5"/>
      <c r="Z1512" s="5"/>
      <c r="AA1512" s="5"/>
      <c r="AB1512" s="5"/>
      <c r="AC1512" s="5"/>
      <c r="AD1512" s="5"/>
      <c r="AE1512" s="5"/>
      <c r="AQ1512" s="2"/>
      <c r="AR1512" s="2"/>
      <c r="AS1512" s="2"/>
      <c r="AT1512" s="2"/>
      <c r="AU1512" s="2"/>
      <c r="AV1512" s="2"/>
      <c r="AW1512" s="2"/>
      <c r="AX1512" s="2"/>
      <c r="AY1512" s="2"/>
    </row>
    <row r="1513" spans="21:51" x14ac:dyDescent="0.25">
      <c r="U1513" s="2"/>
      <c r="W1513" s="5"/>
      <c r="X1513" s="5"/>
      <c r="Y1513" s="5"/>
      <c r="Z1513" s="5"/>
      <c r="AA1513" s="5"/>
      <c r="AB1513" s="5"/>
      <c r="AC1513" s="5"/>
      <c r="AD1513" s="5"/>
      <c r="AE1513" s="5"/>
      <c r="AQ1513" s="2"/>
      <c r="AR1513" s="2"/>
      <c r="AS1513" s="2"/>
      <c r="AT1513" s="2"/>
      <c r="AU1513" s="2"/>
      <c r="AV1513" s="2"/>
      <c r="AW1513" s="2"/>
      <c r="AX1513" s="2"/>
      <c r="AY1513" s="2"/>
    </row>
    <row r="1514" spans="21:51" x14ac:dyDescent="0.25">
      <c r="U1514" s="2"/>
      <c r="W1514" s="5"/>
      <c r="X1514" s="5"/>
      <c r="Y1514" s="5"/>
      <c r="Z1514" s="5"/>
      <c r="AA1514" s="5"/>
      <c r="AB1514" s="5"/>
      <c r="AC1514" s="5"/>
      <c r="AD1514" s="5"/>
      <c r="AE1514" s="5"/>
      <c r="AQ1514" s="2"/>
      <c r="AR1514" s="2"/>
      <c r="AS1514" s="2"/>
      <c r="AT1514" s="2"/>
      <c r="AU1514" s="2"/>
      <c r="AV1514" s="2"/>
      <c r="AW1514" s="2"/>
      <c r="AX1514" s="2"/>
      <c r="AY1514" s="2"/>
    </row>
    <row r="1515" spans="21:51" x14ac:dyDescent="0.25">
      <c r="U1515" s="2"/>
      <c r="W1515" s="5"/>
      <c r="X1515" s="5"/>
      <c r="Y1515" s="5"/>
      <c r="Z1515" s="5"/>
      <c r="AA1515" s="5"/>
      <c r="AB1515" s="5"/>
      <c r="AC1515" s="5"/>
      <c r="AD1515" s="5"/>
      <c r="AE1515" s="5"/>
      <c r="AQ1515" s="2"/>
      <c r="AR1515" s="2"/>
      <c r="AS1515" s="2"/>
      <c r="AT1515" s="2"/>
      <c r="AU1515" s="2"/>
      <c r="AV1515" s="2"/>
      <c r="AW1515" s="2"/>
      <c r="AX1515" s="2"/>
      <c r="AY1515" s="2"/>
    </row>
    <row r="1516" spans="21:51" x14ac:dyDescent="0.25">
      <c r="U1516" s="2"/>
      <c r="W1516" s="5"/>
      <c r="X1516" s="5"/>
      <c r="Y1516" s="5"/>
      <c r="Z1516" s="5"/>
      <c r="AA1516" s="5"/>
      <c r="AB1516" s="5"/>
      <c r="AC1516" s="5"/>
      <c r="AD1516" s="5"/>
      <c r="AE1516" s="5"/>
      <c r="AQ1516" s="2"/>
      <c r="AR1516" s="2"/>
      <c r="AS1516" s="2"/>
      <c r="AT1516" s="2"/>
      <c r="AU1516" s="2"/>
      <c r="AV1516" s="2"/>
      <c r="AW1516" s="2"/>
      <c r="AX1516" s="2"/>
      <c r="AY1516" s="2"/>
    </row>
    <row r="1517" spans="21:51" x14ac:dyDescent="0.25">
      <c r="U1517" s="2"/>
      <c r="W1517" s="5"/>
      <c r="X1517" s="5"/>
      <c r="Y1517" s="5"/>
      <c r="Z1517" s="5"/>
      <c r="AA1517" s="5"/>
      <c r="AB1517" s="5"/>
      <c r="AC1517" s="5"/>
      <c r="AD1517" s="5"/>
      <c r="AE1517" s="5"/>
      <c r="AQ1517" s="2"/>
      <c r="AR1517" s="2"/>
      <c r="AS1517" s="2"/>
      <c r="AT1517" s="2"/>
      <c r="AU1517" s="2"/>
      <c r="AV1517" s="2"/>
      <c r="AW1517" s="2"/>
      <c r="AX1517" s="2"/>
      <c r="AY1517" s="2"/>
    </row>
    <row r="1518" spans="21:51" x14ac:dyDescent="0.25">
      <c r="U1518" s="2"/>
      <c r="W1518" s="5"/>
      <c r="X1518" s="5"/>
      <c r="Y1518" s="5"/>
      <c r="Z1518" s="5"/>
      <c r="AA1518" s="5"/>
      <c r="AB1518" s="5"/>
      <c r="AC1518" s="5"/>
      <c r="AD1518" s="5"/>
      <c r="AE1518" s="5"/>
      <c r="AQ1518" s="2"/>
      <c r="AR1518" s="2"/>
      <c r="AS1518" s="2"/>
      <c r="AT1518" s="2"/>
      <c r="AU1518" s="2"/>
      <c r="AV1518" s="2"/>
      <c r="AW1518" s="2"/>
      <c r="AX1518" s="2"/>
      <c r="AY1518" s="2"/>
    </row>
    <row r="1519" spans="21:51" x14ac:dyDescent="0.25">
      <c r="U1519" s="2"/>
      <c r="W1519" s="5"/>
      <c r="X1519" s="5"/>
      <c r="Y1519" s="5"/>
      <c r="Z1519" s="5"/>
      <c r="AA1519" s="5"/>
      <c r="AB1519" s="5"/>
      <c r="AC1519" s="5"/>
      <c r="AD1519" s="5"/>
      <c r="AE1519" s="5"/>
      <c r="AQ1519" s="2"/>
      <c r="AR1519" s="2"/>
      <c r="AS1519" s="2"/>
      <c r="AT1519" s="2"/>
      <c r="AU1519" s="2"/>
      <c r="AV1519" s="2"/>
      <c r="AW1519" s="2"/>
      <c r="AX1519" s="2"/>
      <c r="AY1519" s="2"/>
    </row>
    <row r="1520" spans="21:51" x14ac:dyDescent="0.25">
      <c r="U1520" s="2"/>
      <c r="W1520" s="5"/>
      <c r="X1520" s="5"/>
      <c r="Y1520" s="5"/>
      <c r="Z1520" s="5"/>
      <c r="AA1520" s="5"/>
      <c r="AB1520" s="5"/>
      <c r="AC1520" s="5"/>
      <c r="AD1520" s="5"/>
      <c r="AE1520" s="5"/>
      <c r="AQ1520" s="2"/>
      <c r="AR1520" s="2"/>
      <c r="AS1520" s="2"/>
      <c r="AT1520" s="2"/>
      <c r="AU1520" s="2"/>
      <c r="AV1520" s="2"/>
      <c r="AW1520" s="2"/>
      <c r="AX1520" s="2"/>
      <c r="AY1520" s="2"/>
    </row>
    <row r="1521" spans="21:51" x14ac:dyDescent="0.25">
      <c r="U1521" s="2"/>
      <c r="W1521" s="5"/>
      <c r="X1521" s="5"/>
      <c r="Y1521" s="5"/>
      <c r="Z1521" s="5"/>
      <c r="AA1521" s="5"/>
      <c r="AB1521" s="5"/>
      <c r="AC1521" s="5"/>
      <c r="AD1521" s="5"/>
      <c r="AE1521" s="5"/>
      <c r="AQ1521" s="2"/>
      <c r="AR1521" s="2"/>
      <c r="AS1521" s="2"/>
      <c r="AT1521" s="2"/>
      <c r="AU1521" s="2"/>
      <c r="AV1521" s="2"/>
      <c r="AW1521" s="2"/>
      <c r="AX1521" s="2"/>
      <c r="AY1521" s="2"/>
    </row>
    <row r="1522" spans="21:51" x14ac:dyDescent="0.25">
      <c r="U1522" s="2"/>
      <c r="W1522" s="5"/>
      <c r="X1522" s="5"/>
      <c r="Y1522" s="5"/>
      <c r="Z1522" s="5"/>
      <c r="AA1522" s="5"/>
      <c r="AB1522" s="5"/>
      <c r="AC1522" s="5"/>
      <c r="AD1522" s="5"/>
      <c r="AE1522" s="5"/>
      <c r="AQ1522" s="2"/>
      <c r="AR1522" s="2"/>
      <c r="AS1522" s="2"/>
      <c r="AT1522" s="2"/>
      <c r="AU1522" s="2"/>
      <c r="AV1522" s="2"/>
      <c r="AW1522" s="2"/>
      <c r="AX1522" s="2"/>
      <c r="AY1522" s="2"/>
    </row>
    <row r="1523" spans="21:51" x14ac:dyDescent="0.25">
      <c r="U1523" s="2"/>
      <c r="W1523" s="5"/>
      <c r="X1523" s="5"/>
      <c r="Y1523" s="5"/>
      <c r="Z1523" s="5"/>
      <c r="AA1523" s="5"/>
      <c r="AB1523" s="5"/>
      <c r="AC1523" s="5"/>
      <c r="AD1523" s="5"/>
      <c r="AE1523" s="5"/>
      <c r="AQ1523" s="2"/>
      <c r="AR1523" s="2"/>
      <c r="AS1523" s="2"/>
      <c r="AT1523" s="2"/>
      <c r="AU1523" s="2"/>
      <c r="AV1523" s="2"/>
      <c r="AW1523" s="2"/>
      <c r="AX1523" s="2"/>
      <c r="AY1523" s="2"/>
    </row>
    <row r="1524" spans="21:51" x14ac:dyDescent="0.25">
      <c r="U1524" s="2"/>
      <c r="W1524" s="5"/>
      <c r="X1524" s="5"/>
      <c r="Y1524" s="5"/>
      <c r="Z1524" s="5"/>
      <c r="AA1524" s="5"/>
      <c r="AB1524" s="5"/>
      <c r="AC1524" s="5"/>
      <c r="AD1524" s="5"/>
      <c r="AE1524" s="5"/>
      <c r="AQ1524" s="2"/>
      <c r="AR1524" s="2"/>
      <c r="AS1524" s="2"/>
      <c r="AT1524" s="2"/>
      <c r="AU1524" s="2"/>
      <c r="AV1524" s="2"/>
      <c r="AW1524" s="2"/>
      <c r="AX1524" s="2"/>
      <c r="AY1524" s="2"/>
    </row>
    <row r="1525" spans="21:51" x14ac:dyDescent="0.25">
      <c r="U1525" s="2"/>
      <c r="W1525" s="5"/>
      <c r="X1525" s="5"/>
      <c r="Y1525" s="5"/>
      <c r="Z1525" s="5"/>
      <c r="AA1525" s="5"/>
      <c r="AB1525" s="5"/>
      <c r="AC1525" s="5"/>
      <c r="AD1525" s="5"/>
      <c r="AE1525" s="5"/>
      <c r="AQ1525" s="2"/>
      <c r="AR1525" s="2"/>
      <c r="AS1525" s="2"/>
      <c r="AT1525" s="2"/>
      <c r="AU1525" s="2"/>
      <c r="AV1525" s="2"/>
      <c r="AW1525" s="2"/>
      <c r="AX1525" s="2"/>
      <c r="AY1525" s="2"/>
    </row>
    <row r="1526" spans="21:51" x14ac:dyDescent="0.25">
      <c r="U1526" s="2"/>
      <c r="W1526" s="5"/>
      <c r="X1526" s="5"/>
      <c r="Y1526" s="5"/>
      <c r="Z1526" s="5"/>
      <c r="AA1526" s="5"/>
      <c r="AB1526" s="5"/>
      <c r="AC1526" s="5"/>
      <c r="AD1526" s="5"/>
      <c r="AE1526" s="5"/>
      <c r="AQ1526" s="2"/>
      <c r="AR1526" s="2"/>
      <c r="AS1526" s="2"/>
      <c r="AT1526" s="2"/>
      <c r="AU1526" s="2"/>
      <c r="AV1526" s="2"/>
      <c r="AW1526" s="2"/>
      <c r="AX1526" s="2"/>
      <c r="AY1526" s="2"/>
    </row>
    <row r="1527" spans="21:51" x14ac:dyDescent="0.25">
      <c r="U1527" s="2"/>
      <c r="W1527" s="5"/>
      <c r="X1527" s="5"/>
      <c r="Y1527" s="5"/>
      <c r="Z1527" s="5"/>
      <c r="AA1527" s="5"/>
      <c r="AB1527" s="5"/>
      <c r="AC1527" s="5"/>
      <c r="AD1527" s="5"/>
      <c r="AE1527" s="5"/>
      <c r="AQ1527" s="2"/>
      <c r="AR1527" s="2"/>
      <c r="AS1527" s="2"/>
      <c r="AT1527" s="2"/>
      <c r="AU1527" s="2"/>
      <c r="AV1527" s="2"/>
      <c r="AW1527" s="2"/>
      <c r="AX1527" s="2"/>
      <c r="AY1527" s="2"/>
    </row>
    <row r="1528" spans="21:51" x14ac:dyDescent="0.25">
      <c r="U1528" s="2"/>
      <c r="W1528" s="5"/>
      <c r="X1528" s="5"/>
      <c r="Y1528" s="5"/>
      <c r="Z1528" s="5"/>
      <c r="AA1528" s="5"/>
      <c r="AB1528" s="5"/>
      <c r="AC1528" s="5"/>
      <c r="AD1528" s="5"/>
      <c r="AE1528" s="5"/>
      <c r="AQ1528" s="2"/>
      <c r="AR1528" s="2"/>
      <c r="AS1528" s="2"/>
      <c r="AT1528" s="2"/>
      <c r="AU1528" s="2"/>
      <c r="AV1528" s="2"/>
      <c r="AW1528" s="2"/>
      <c r="AX1528" s="2"/>
      <c r="AY1528" s="2"/>
    </row>
    <row r="1529" spans="21:51" x14ac:dyDescent="0.25">
      <c r="U1529" s="2"/>
      <c r="W1529" s="5"/>
      <c r="X1529" s="5"/>
      <c r="Y1529" s="5"/>
      <c r="Z1529" s="5"/>
      <c r="AA1529" s="5"/>
      <c r="AB1529" s="5"/>
      <c r="AC1529" s="5"/>
      <c r="AD1529" s="5"/>
      <c r="AE1529" s="5"/>
      <c r="AQ1529" s="2"/>
      <c r="AR1529" s="2"/>
      <c r="AS1529" s="2"/>
      <c r="AT1529" s="2"/>
      <c r="AU1529" s="2"/>
      <c r="AV1529" s="2"/>
      <c r="AW1529" s="2"/>
      <c r="AX1529" s="2"/>
      <c r="AY1529" s="2"/>
    </row>
    <row r="1530" spans="21:51" x14ac:dyDescent="0.25">
      <c r="U1530" s="2"/>
      <c r="W1530" s="5"/>
      <c r="X1530" s="5"/>
      <c r="Y1530" s="5"/>
      <c r="Z1530" s="5"/>
      <c r="AA1530" s="5"/>
      <c r="AB1530" s="5"/>
      <c r="AC1530" s="5"/>
      <c r="AD1530" s="5"/>
      <c r="AE1530" s="5"/>
      <c r="AQ1530" s="2"/>
      <c r="AR1530" s="2"/>
      <c r="AS1530" s="2"/>
      <c r="AT1530" s="2"/>
      <c r="AU1530" s="2"/>
      <c r="AV1530" s="2"/>
      <c r="AW1530" s="2"/>
      <c r="AX1530" s="2"/>
      <c r="AY1530" s="2"/>
    </row>
    <row r="1531" spans="21:51" x14ac:dyDescent="0.25">
      <c r="U1531" s="2"/>
      <c r="W1531" s="5"/>
      <c r="X1531" s="5"/>
      <c r="Y1531" s="5"/>
      <c r="Z1531" s="5"/>
      <c r="AA1531" s="5"/>
      <c r="AB1531" s="5"/>
      <c r="AC1531" s="5"/>
      <c r="AD1531" s="5"/>
      <c r="AE1531" s="5"/>
      <c r="AQ1531" s="2"/>
      <c r="AR1531" s="2"/>
      <c r="AS1531" s="2"/>
      <c r="AT1531" s="2"/>
      <c r="AU1531" s="2"/>
      <c r="AV1531" s="2"/>
      <c r="AW1531" s="2"/>
      <c r="AX1531" s="2"/>
      <c r="AY1531" s="2"/>
    </row>
    <row r="1532" spans="21:51" x14ac:dyDescent="0.25">
      <c r="U1532" s="2"/>
      <c r="W1532" s="5"/>
      <c r="X1532" s="5"/>
      <c r="Y1532" s="5"/>
      <c r="Z1532" s="5"/>
      <c r="AA1532" s="5"/>
      <c r="AB1532" s="5"/>
      <c r="AC1532" s="5"/>
      <c r="AD1532" s="5"/>
      <c r="AE1532" s="5"/>
      <c r="AQ1532" s="2"/>
      <c r="AR1532" s="2"/>
      <c r="AS1532" s="2"/>
      <c r="AT1532" s="2"/>
      <c r="AU1532" s="2"/>
      <c r="AV1532" s="2"/>
      <c r="AW1532" s="2"/>
      <c r="AX1532" s="2"/>
      <c r="AY1532" s="2"/>
    </row>
    <row r="1533" spans="21:51" x14ac:dyDescent="0.25">
      <c r="U1533" s="2"/>
      <c r="W1533" s="5"/>
      <c r="X1533" s="5"/>
      <c r="Y1533" s="5"/>
      <c r="Z1533" s="5"/>
      <c r="AA1533" s="5"/>
      <c r="AB1533" s="5"/>
      <c r="AC1533" s="5"/>
      <c r="AD1533" s="5"/>
      <c r="AE1533" s="5"/>
      <c r="AQ1533" s="2"/>
      <c r="AR1533" s="2"/>
      <c r="AS1533" s="2"/>
      <c r="AT1533" s="2"/>
      <c r="AU1533" s="2"/>
      <c r="AV1533" s="2"/>
      <c r="AW1533" s="2"/>
      <c r="AX1533" s="2"/>
      <c r="AY1533" s="2"/>
    </row>
    <row r="1534" spans="21:51" x14ac:dyDescent="0.25">
      <c r="U1534" s="2"/>
      <c r="W1534" s="5"/>
      <c r="X1534" s="5"/>
      <c r="Y1534" s="5"/>
      <c r="Z1534" s="5"/>
      <c r="AA1534" s="5"/>
      <c r="AB1534" s="5"/>
      <c r="AC1534" s="5"/>
      <c r="AD1534" s="5"/>
      <c r="AE1534" s="5"/>
      <c r="AQ1534" s="2"/>
      <c r="AR1534" s="2"/>
      <c r="AS1534" s="2"/>
      <c r="AT1534" s="2"/>
      <c r="AU1534" s="2"/>
      <c r="AV1534" s="2"/>
      <c r="AW1534" s="2"/>
      <c r="AX1534" s="2"/>
      <c r="AY1534" s="2"/>
    </row>
    <row r="1535" spans="21:51" x14ac:dyDescent="0.25">
      <c r="U1535" s="2"/>
      <c r="W1535" s="5"/>
      <c r="X1535" s="5"/>
      <c r="Y1535" s="5"/>
      <c r="Z1535" s="5"/>
      <c r="AA1535" s="5"/>
      <c r="AB1535" s="5"/>
      <c r="AC1535" s="5"/>
      <c r="AD1535" s="5"/>
      <c r="AE1535" s="5"/>
      <c r="AQ1535" s="2"/>
      <c r="AR1535" s="2"/>
      <c r="AS1535" s="2"/>
      <c r="AT1535" s="2"/>
      <c r="AU1535" s="2"/>
      <c r="AV1535" s="2"/>
      <c r="AW1535" s="2"/>
      <c r="AX1535" s="2"/>
      <c r="AY1535" s="2"/>
    </row>
    <row r="1536" spans="21:51" x14ac:dyDescent="0.25">
      <c r="U1536" s="2"/>
      <c r="W1536" s="5"/>
      <c r="X1536" s="5"/>
      <c r="Y1536" s="5"/>
      <c r="Z1536" s="5"/>
      <c r="AA1536" s="5"/>
      <c r="AB1536" s="5"/>
      <c r="AC1536" s="5"/>
      <c r="AD1536" s="5"/>
      <c r="AE1536" s="5"/>
      <c r="AQ1536" s="2"/>
      <c r="AR1536" s="2"/>
      <c r="AS1536" s="2"/>
      <c r="AT1536" s="2"/>
      <c r="AU1536" s="2"/>
      <c r="AV1536" s="2"/>
      <c r="AW1536" s="2"/>
      <c r="AX1536" s="2"/>
      <c r="AY1536" s="2"/>
    </row>
    <row r="1537" spans="21:51" x14ac:dyDescent="0.25">
      <c r="U1537" s="2"/>
      <c r="W1537" s="5"/>
      <c r="X1537" s="5"/>
      <c r="Y1537" s="5"/>
      <c r="Z1537" s="5"/>
      <c r="AA1537" s="5"/>
      <c r="AB1537" s="5"/>
      <c r="AC1537" s="5"/>
      <c r="AD1537" s="5"/>
      <c r="AE1537" s="5"/>
      <c r="AQ1537" s="2"/>
      <c r="AR1537" s="2"/>
      <c r="AS1537" s="2"/>
      <c r="AT1537" s="2"/>
      <c r="AU1537" s="2"/>
      <c r="AV1537" s="2"/>
      <c r="AW1537" s="2"/>
      <c r="AX1537" s="2"/>
      <c r="AY1537" s="2"/>
    </row>
    <row r="1538" spans="21:51" x14ac:dyDescent="0.25">
      <c r="U1538" s="2"/>
      <c r="W1538" s="5"/>
      <c r="X1538" s="5"/>
      <c r="Y1538" s="5"/>
      <c r="Z1538" s="5"/>
      <c r="AA1538" s="5"/>
      <c r="AB1538" s="5"/>
      <c r="AC1538" s="5"/>
      <c r="AD1538" s="5"/>
      <c r="AE1538" s="5"/>
      <c r="AQ1538" s="2"/>
      <c r="AR1538" s="2"/>
      <c r="AS1538" s="2"/>
      <c r="AT1538" s="2"/>
      <c r="AU1538" s="2"/>
      <c r="AV1538" s="2"/>
      <c r="AW1538" s="2"/>
      <c r="AX1538" s="2"/>
      <c r="AY1538" s="2"/>
    </row>
    <row r="1539" spans="21:51" x14ac:dyDescent="0.25">
      <c r="U1539" s="2"/>
      <c r="W1539" s="5"/>
      <c r="X1539" s="5"/>
      <c r="Y1539" s="5"/>
      <c r="Z1539" s="5"/>
      <c r="AA1539" s="5"/>
      <c r="AB1539" s="5"/>
      <c r="AC1539" s="5"/>
      <c r="AD1539" s="5"/>
      <c r="AE1539" s="5"/>
      <c r="AQ1539" s="2"/>
      <c r="AR1539" s="2"/>
      <c r="AS1539" s="2"/>
      <c r="AT1539" s="2"/>
      <c r="AU1539" s="2"/>
      <c r="AV1539" s="2"/>
      <c r="AW1539" s="2"/>
      <c r="AX1539" s="2"/>
      <c r="AY1539" s="2"/>
    </row>
    <row r="1540" spans="21:51" x14ac:dyDescent="0.25">
      <c r="U1540" s="2"/>
      <c r="W1540" s="5"/>
      <c r="X1540" s="5"/>
      <c r="Y1540" s="5"/>
      <c r="Z1540" s="5"/>
      <c r="AA1540" s="5"/>
      <c r="AB1540" s="5"/>
      <c r="AC1540" s="5"/>
      <c r="AD1540" s="5"/>
      <c r="AE1540" s="5"/>
      <c r="AQ1540" s="2"/>
      <c r="AR1540" s="2"/>
      <c r="AS1540" s="2"/>
      <c r="AT1540" s="2"/>
      <c r="AU1540" s="2"/>
      <c r="AV1540" s="2"/>
      <c r="AW1540" s="2"/>
      <c r="AX1540" s="2"/>
      <c r="AY1540" s="2"/>
    </row>
    <row r="1541" spans="21:51" x14ac:dyDescent="0.25">
      <c r="U1541" s="2"/>
      <c r="W1541" s="5"/>
      <c r="X1541" s="5"/>
      <c r="Y1541" s="5"/>
      <c r="Z1541" s="5"/>
      <c r="AA1541" s="5"/>
      <c r="AB1541" s="5"/>
      <c r="AC1541" s="5"/>
      <c r="AD1541" s="5"/>
      <c r="AE1541" s="5"/>
      <c r="AQ1541" s="2"/>
      <c r="AR1541" s="2"/>
      <c r="AS1541" s="2"/>
      <c r="AT1541" s="2"/>
      <c r="AU1541" s="2"/>
      <c r="AV1541" s="2"/>
      <c r="AW1541" s="2"/>
      <c r="AX1541" s="2"/>
      <c r="AY1541" s="2"/>
    </row>
    <row r="1542" spans="21:51" x14ac:dyDescent="0.25">
      <c r="U1542" s="2"/>
      <c r="W1542" s="5"/>
      <c r="X1542" s="5"/>
      <c r="Y1542" s="5"/>
      <c r="Z1542" s="5"/>
      <c r="AA1542" s="5"/>
      <c r="AB1542" s="5"/>
      <c r="AC1542" s="5"/>
      <c r="AD1542" s="5"/>
      <c r="AE1542" s="5"/>
      <c r="AQ1542" s="2"/>
      <c r="AR1542" s="2"/>
      <c r="AS1542" s="2"/>
      <c r="AT1542" s="2"/>
      <c r="AU1542" s="2"/>
      <c r="AV1542" s="2"/>
      <c r="AW1542" s="2"/>
      <c r="AX1542" s="2"/>
      <c r="AY1542" s="2"/>
    </row>
    <row r="1543" spans="21:51" x14ac:dyDescent="0.25">
      <c r="U1543" s="2"/>
      <c r="W1543" s="5"/>
      <c r="X1543" s="5"/>
      <c r="Y1543" s="5"/>
      <c r="Z1543" s="5"/>
      <c r="AA1543" s="5"/>
      <c r="AB1543" s="5"/>
      <c r="AC1543" s="5"/>
      <c r="AD1543" s="5"/>
      <c r="AE1543" s="5"/>
      <c r="AQ1543" s="2"/>
      <c r="AR1543" s="2"/>
      <c r="AS1543" s="2"/>
      <c r="AT1543" s="2"/>
      <c r="AU1543" s="2"/>
      <c r="AV1543" s="2"/>
      <c r="AW1543" s="2"/>
      <c r="AX1543" s="2"/>
      <c r="AY1543" s="2"/>
    </row>
    <row r="1544" spans="21:51" x14ac:dyDescent="0.25">
      <c r="U1544" s="2"/>
      <c r="W1544" s="5"/>
      <c r="X1544" s="5"/>
      <c r="Y1544" s="5"/>
      <c r="Z1544" s="5"/>
      <c r="AA1544" s="5"/>
      <c r="AB1544" s="5"/>
      <c r="AC1544" s="5"/>
      <c r="AD1544" s="5"/>
      <c r="AE1544" s="5"/>
      <c r="AQ1544" s="2"/>
      <c r="AR1544" s="2"/>
      <c r="AS1544" s="2"/>
      <c r="AT1544" s="2"/>
      <c r="AU1544" s="2"/>
      <c r="AV1544" s="2"/>
      <c r="AW1544" s="2"/>
      <c r="AX1544" s="2"/>
      <c r="AY1544" s="2"/>
    </row>
    <row r="1545" spans="21:51" x14ac:dyDescent="0.25">
      <c r="U1545" s="2"/>
      <c r="W1545" s="5"/>
      <c r="X1545" s="5"/>
      <c r="Y1545" s="5"/>
      <c r="Z1545" s="5"/>
      <c r="AA1545" s="5"/>
      <c r="AB1545" s="5"/>
      <c r="AC1545" s="5"/>
      <c r="AD1545" s="5"/>
      <c r="AE1545" s="5"/>
      <c r="AQ1545" s="2"/>
      <c r="AR1545" s="2"/>
      <c r="AS1545" s="2"/>
      <c r="AT1545" s="2"/>
      <c r="AU1545" s="2"/>
      <c r="AV1545" s="2"/>
      <c r="AW1545" s="2"/>
      <c r="AX1545" s="2"/>
      <c r="AY1545" s="2"/>
    </row>
    <row r="1546" spans="21:51" x14ac:dyDescent="0.25">
      <c r="U1546" s="2"/>
      <c r="W1546" s="5"/>
      <c r="X1546" s="5"/>
      <c r="Y1546" s="5"/>
      <c r="Z1546" s="5"/>
      <c r="AA1546" s="5"/>
      <c r="AB1546" s="5"/>
      <c r="AC1546" s="5"/>
      <c r="AD1546" s="5"/>
      <c r="AE1546" s="5"/>
      <c r="AQ1546" s="2"/>
      <c r="AR1546" s="2"/>
      <c r="AS1546" s="2"/>
      <c r="AT1546" s="2"/>
      <c r="AU1546" s="2"/>
      <c r="AV1546" s="2"/>
      <c r="AW1546" s="2"/>
      <c r="AX1546" s="2"/>
      <c r="AY1546" s="2"/>
    </row>
    <row r="1547" spans="21:51" x14ac:dyDescent="0.25">
      <c r="U1547" s="2"/>
      <c r="W1547" s="5"/>
      <c r="X1547" s="5"/>
      <c r="Y1547" s="5"/>
      <c r="Z1547" s="5"/>
      <c r="AA1547" s="5"/>
      <c r="AB1547" s="5"/>
      <c r="AC1547" s="5"/>
      <c r="AD1547" s="5"/>
      <c r="AE1547" s="5"/>
      <c r="AQ1547" s="2"/>
      <c r="AR1547" s="2"/>
      <c r="AS1547" s="2"/>
      <c r="AT1547" s="2"/>
      <c r="AU1547" s="2"/>
      <c r="AV1547" s="2"/>
      <c r="AW1547" s="2"/>
      <c r="AX1547" s="2"/>
      <c r="AY1547" s="2"/>
    </row>
    <row r="1548" spans="21:51" x14ac:dyDescent="0.25">
      <c r="U1548" s="2"/>
      <c r="W1548" s="5"/>
      <c r="X1548" s="5"/>
      <c r="Y1548" s="5"/>
      <c r="Z1548" s="5"/>
      <c r="AA1548" s="5"/>
      <c r="AB1548" s="5"/>
      <c r="AC1548" s="5"/>
      <c r="AD1548" s="5"/>
      <c r="AE1548" s="5"/>
      <c r="AQ1548" s="2"/>
      <c r="AR1548" s="2"/>
      <c r="AS1548" s="2"/>
      <c r="AT1548" s="2"/>
      <c r="AU1548" s="2"/>
      <c r="AV1548" s="2"/>
      <c r="AW1548" s="2"/>
      <c r="AX1548" s="2"/>
      <c r="AY1548" s="2"/>
    </row>
    <row r="1549" spans="21:51" x14ac:dyDescent="0.25">
      <c r="U1549" s="2"/>
      <c r="W1549" s="5"/>
      <c r="X1549" s="5"/>
      <c r="Y1549" s="5"/>
      <c r="Z1549" s="5"/>
      <c r="AA1549" s="5"/>
      <c r="AB1549" s="5"/>
      <c r="AC1549" s="5"/>
      <c r="AD1549" s="5"/>
      <c r="AE1549" s="5"/>
      <c r="AQ1549" s="2"/>
      <c r="AR1549" s="2"/>
      <c r="AS1549" s="2"/>
      <c r="AT1549" s="2"/>
      <c r="AU1549" s="2"/>
      <c r="AV1549" s="2"/>
      <c r="AW1549" s="2"/>
      <c r="AX1549" s="2"/>
      <c r="AY1549" s="2"/>
    </row>
    <row r="1550" spans="21:51" x14ac:dyDescent="0.25">
      <c r="U1550" s="2"/>
      <c r="W1550" s="5"/>
      <c r="X1550" s="5"/>
      <c r="Y1550" s="5"/>
      <c r="Z1550" s="5"/>
      <c r="AA1550" s="5"/>
      <c r="AB1550" s="5"/>
      <c r="AC1550" s="5"/>
      <c r="AD1550" s="5"/>
      <c r="AE1550" s="5"/>
      <c r="AQ1550" s="2"/>
      <c r="AR1550" s="2"/>
      <c r="AS1550" s="2"/>
      <c r="AT1550" s="2"/>
      <c r="AU1550" s="2"/>
      <c r="AV1550" s="2"/>
      <c r="AW1550" s="2"/>
      <c r="AX1550" s="2"/>
      <c r="AY1550" s="2"/>
    </row>
    <row r="1551" spans="21:51" x14ac:dyDescent="0.25">
      <c r="U1551" s="2"/>
      <c r="W1551" s="5"/>
      <c r="X1551" s="5"/>
      <c r="Y1551" s="5"/>
      <c r="Z1551" s="5"/>
      <c r="AA1551" s="5"/>
      <c r="AB1551" s="5"/>
      <c r="AC1551" s="5"/>
      <c r="AD1551" s="5"/>
      <c r="AE1551" s="5"/>
      <c r="AQ1551" s="2"/>
      <c r="AR1551" s="2"/>
      <c r="AS1551" s="2"/>
      <c r="AT1551" s="2"/>
      <c r="AU1551" s="2"/>
      <c r="AV1551" s="2"/>
      <c r="AW1551" s="2"/>
      <c r="AX1551" s="2"/>
      <c r="AY1551" s="2"/>
    </row>
    <row r="1552" spans="21:51" x14ac:dyDescent="0.25">
      <c r="U1552" s="2"/>
      <c r="W1552" s="5"/>
      <c r="X1552" s="5"/>
      <c r="Y1552" s="5"/>
      <c r="Z1552" s="5"/>
      <c r="AA1552" s="5"/>
      <c r="AB1552" s="5"/>
      <c r="AC1552" s="5"/>
      <c r="AD1552" s="5"/>
      <c r="AE1552" s="5"/>
      <c r="AQ1552" s="2"/>
      <c r="AR1552" s="2"/>
      <c r="AS1552" s="2"/>
      <c r="AT1552" s="2"/>
      <c r="AU1552" s="2"/>
      <c r="AV1552" s="2"/>
      <c r="AW1552" s="2"/>
      <c r="AX1552" s="2"/>
      <c r="AY1552" s="2"/>
    </row>
    <row r="1553" spans="21:51" x14ac:dyDescent="0.25">
      <c r="U1553" s="2"/>
      <c r="W1553" s="5"/>
      <c r="X1553" s="5"/>
      <c r="Y1553" s="5"/>
      <c r="Z1553" s="5"/>
      <c r="AA1553" s="5"/>
      <c r="AB1553" s="5"/>
      <c r="AC1553" s="5"/>
      <c r="AD1553" s="5"/>
      <c r="AE1553" s="5"/>
      <c r="AQ1553" s="2"/>
      <c r="AR1553" s="2"/>
      <c r="AS1553" s="2"/>
      <c r="AT1553" s="2"/>
      <c r="AU1553" s="2"/>
      <c r="AV1553" s="2"/>
      <c r="AW1553" s="2"/>
      <c r="AX1553" s="2"/>
      <c r="AY1553" s="2"/>
    </row>
    <row r="1554" spans="21:51" x14ac:dyDescent="0.25">
      <c r="U1554" s="2"/>
      <c r="W1554" s="5"/>
      <c r="X1554" s="5"/>
      <c r="Y1554" s="5"/>
      <c r="Z1554" s="5"/>
      <c r="AA1554" s="5"/>
      <c r="AB1554" s="5"/>
      <c r="AC1554" s="5"/>
      <c r="AD1554" s="5"/>
      <c r="AE1554" s="5"/>
      <c r="AQ1554" s="2"/>
      <c r="AR1554" s="2"/>
      <c r="AS1554" s="2"/>
      <c r="AT1554" s="2"/>
      <c r="AU1554" s="2"/>
      <c r="AV1554" s="2"/>
      <c r="AW1554" s="2"/>
      <c r="AX1554" s="2"/>
      <c r="AY1554" s="2"/>
    </row>
    <row r="1555" spans="21:51" x14ac:dyDescent="0.25">
      <c r="U1555" s="2"/>
      <c r="W1555" s="5"/>
      <c r="X1555" s="5"/>
      <c r="Y1555" s="5"/>
      <c r="Z1555" s="5"/>
      <c r="AA1555" s="5"/>
      <c r="AB1555" s="5"/>
      <c r="AC1555" s="5"/>
      <c r="AD1555" s="5"/>
      <c r="AE1555" s="5"/>
      <c r="AQ1555" s="2"/>
      <c r="AR1555" s="2"/>
      <c r="AS1555" s="2"/>
      <c r="AT1555" s="2"/>
      <c r="AU1555" s="2"/>
      <c r="AV1555" s="2"/>
      <c r="AW1555" s="2"/>
      <c r="AX1555" s="2"/>
      <c r="AY1555" s="2"/>
    </row>
    <row r="1556" spans="21:51" x14ac:dyDescent="0.25">
      <c r="U1556" s="2"/>
      <c r="W1556" s="5"/>
      <c r="X1556" s="5"/>
      <c r="Y1556" s="5"/>
      <c r="Z1556" s="5"/>
      <c r="AA1556" s="5"/>
      <c r="AB1556" s="5"/>
      <c r="AC1556" s="5"/>
      <c r="AD1556" s="5"/>
      <c r="AE1556" s="5"/>
      <c r="AQ1556" s="2"/>
      <c r="AR1556" s="2"/>
      <c r="AS1556" s="2"/>
      <c r="AT1556" s="2"/>
      <c r="AU1556" s="2"/>
      <c r="AV1556" s="2"/>
      <c r="AW1556" s="2"/>
      <c r="AX1556" s="2"/>
      <c r="AY1556" s="2"/>
    </row>
    <row r="1557" spans="21:51" x14ac:dyDescent="0.25">
      <c r="U1557" s="2"/>
      <c r="W1557" s="5"/>
      <c r="X1557" s="5"/>
      <c r="Y1557" s="5"/>
      <c r="Z1557" s="5"/>
      <c r="AA1557" s="5"/>
      <c r="AB1557" s="5"/>
      <c r="AC1557" s="5"/>
      <c r="AD1557" s="5"/>
      <c r="AE1557" s="5"/>
      <c r="AQ1557" s="2"/>
      <c r="AR1557" s="2"/>
      <c r="AS1557" s="2"/>
      <c r="AT1557" s="2"/>
      <c r="AU1557" s="2"/>
      <c r="AV1557" s="2"/>
      <c r="AW1557" s="2"/>
      <c r="AX1557" s="2"/>
      <c r="AY1557" s="2"/>
    </row>
    <row r="1558" spans="21:51" x14ac:dyDescent="0.25">
      <c r="U1558" s="2"/>
      <c r="W1558" s="5"/>
      <c r="X1558" s="5"/>
      <c r="Y1558" s="5"/>
      <c r="Z1558" s="5"/>
      <c r="AA1558" s="5"/>
      <c r="AB1558" s="5"/>
      <c r="AC1558" s="5"/>
      <c r="AD1558" s="5"/>
      <c r="AE1558" s="5"/>
      <c r="AQ1558" s="2"/>
      <c r="AR1558" s="2"/>
      <c r="AS1558" s="2"/>
      <c r="AT1558" s="2"/>
      <c r="AU1558" s="2"/>
      <c r="AV1558" s="2"/>
      <c r="AW1558" s="2"/>
      <c r="AX1558" s="2"/>
      <c r="AY1558" s="2"/>
    </row>
    <row r="1559" spans="21:51" x14ac:dyDescent="0.25">
      <c r="U1559" s="2"/>
      <c r="W1559" s="5"/>
      <c r="X1559" s="5"/>
      <c r="Y1559" s="5"/>
      <c r="Z1559" s="5"/>
      <c r="AA1559" s="5"/>
      <c r="AB1559" s="5"/>
      <c r="AC1559" s="5"/>
      <c r="AD1559" s="5"/>
      <c r="AE1559" s="5"/>
      <c r="AQ1559" s="2"/>
      <c r="AR1559" s="2"/>
      <c r="AS1559" s="2"/>
      <c r="AT1559" s="2"/>
      <c r="AU1559" s="2"/>
      <c r="AV1559" s="2"/>
      <c r="AW1559" s="2"/>
      <c r="AX1559" s="2"/>
      <c r="AY1559" s="2"/>
    </row>
    <row r="1560" spans="21:51" x14ac:dyDescent="0.25">
      <c r="U1560" s="2"/>
      <c r="W1560" s="5"/>
      <c r="X1560" s="5"/>
      <c r="Y1560" s="5"/>
      <c r="Z1560" s="5"/>
      <c r="AA1560" s="5"/>
      <c r="AB1560" s="5"/>
      <c r="AC1560" s="5"/>
      <c r="AD1560" s="5"/>
      <c r="AE1560" s="5"/>
      <c r="AQ1560" s="2"/>
      <c r="AR1560" s="2"/>
      <c r="AS1560" s="2"/>
      <c r="AT1560" s="2"/>
      <c r="AU1560" s="2"/>
      <c r="AV1560" s="2"/>
      <c r="AW1560" s="2"/>
      <c r="AX1560" s="2"/>
      <c r="AY1560" s="2"/>
    </row>
    <row r="1561" spans="21:51" x14ac:dyDescent="0.25">
      <c r="U1561" s="2"/>
      <c r="W1561" s="5"/>
      <c r="X1561" s="5"/>
      <c r="Y1561" s="5"/>
      <c r="Z1561" s="5"/>
      <c r="AA1561" s="5"/>
      <c r="AB1561" s="5"/>
      <c r="AC1561" s="5"/>
      <c r="AD1561" s="5"/>
      <c r="AE1561" s="5"/>
      <c r="AQ1561" s="2"/>
      <c r="AR1561" s="2"/>
      <c r="AS1561" s="2"/>
      <c r="AT1561" s="2"/>
      <c r="AU1561" s="2"/>
      <c r="AV1561" s="2"/>
      <c r="AW1561" s="2"/>
      <c r="AX1561" s="2"/>
      <c r="AY1561" s="2"/>
    </row>
    <row r="1562" spans="21:51" x14ac:dyDescent="0.25">
      <c r="U1562" s="2"/>
      <c r="W1562" s="5"/>
      <c r="X1562" s="5"/>
      <c r="Y1562" s="5"/>
      <c r="Z1562" s="5"/>
      <c r="AA1562" s="5"/>
      <c r="AB1562" s="5"/>
      <c r="AC1562" s="5"/>
      <c r="AD1562" s="5"/>
      <c r="AE1562" s="5"/>
      <c r="AQ1562" s="2"/>
      <c r="AR1562" s="2"/>
      <c r="AS1562" s="2"/>
      <c r="AT1562" s="2"/>
      <c r="AU1562" s="2"/>
      <c r="AV1562" s="2"/>
      <c r="AW1562" s="2"/>
      <c r="AX1562" s="2"/>
      <c r="AY1562" s="2"/>
    </row>
    <row r="1563" spans="21:51" x14ac:dyDescent="0.25">
      <c r="U1563" s="2"/>
      <c r="W1563" s="5"/>
      <c r="X1563" s="5"/>
      <c r="Y1563" s="5"/>
      <c r="Z1563" s="5"/>
      <c r="AA1563" s="5"/>
      <c r="AB1563" s="5"/>
      <c r="AC1563" s="5"/>
      <c r="AD1563" s="5"/>
      <c r="AE1563" s="5"/>
      <c r="AQ1563" s="2"/>
      <c r="AR1563" s="2"/>
      <c r="AS1563" s="2"/>
      <c r="AT1563" s="2"/>
      <c r="AU1563" s="2"/>
      <c r="AV1563" s="2"/>
      <c r="AW1563" s="2"/>
      <c r="AX1563" s="2"/>
      <c r="AY1563" s="2"/>
    </row>
    <row r="1564" spans="21:51" x14ac:dyDescent="0.25">
      <c r="U1564" s="2"/>
      <c r="W1564" s="5"/>
      <c r="X1564" s="5"/>
      <c r="Y1564" s="5"/>
      <c r="Z1564" s="5"/>
      <c r="AA1564" s="5"/>
      <c r="AB1564" s="5"/>
      <c r="AC1564" s="5"/>
      <c r="AD1564" s="5"/>
      <c r="AE1564" s="5"/>
      <c r="AQ1564" s="2"/>
      <c r="AR1564" s="2"/>
      <c r="AS1564" s="2"/>
      <c r="AT1564" s="2"/>
      <c r="AU1564" s="2"/>
      <c r="AV1564" s="2"/>
      <c r="AW1564" s="2"/>
      <c r="AX1564" s="2"/>
      <c r="AY1564" s="2"/>
    </row>
    <row r="1565" spans="21:51" x14ac:dyDescent="0.25">
      <c r="U1565" s="2"/>
      <c r="W1565" s="5"/>
      <c r="X1565" s="5"/>
      <c r="Y1565" s="5"/>
      <c r="Z1565" s="5"/>
      <c r="AA1565" s="5"/>
      <c r="AB1565" s="5"/>
      <c r="AC1565" s="5"/>
      <c r="AD1565" s="5"/>
      <c r="AE1565" s="5"/>
      <c r="AQ1565" s="2"/>
      <c r="AR1565" s="2"/>
      <c r="AS1565" s="2"/>
      <c r="AT1565" s="2"/>
      <c r="AU1565" s="2"/>
      <c r="AV1565" s="2"/>
      <c r="AW1565" s="2"/>
      <c r="AX1565" s="2"/>
      <c r="AY1565" s="2"/>
    </row>
    <row r="1566" spans="21:51" x14ac:dyDescent="0.25">
      <c r="U1566" s="2"/>
      <c r="W1566" s="5"/>
      <c r="X1566" s="5"/>
      <c r="Y1566" s="5"/>
      <c r="Z1566" s="5"/>
      <c r="AA1566" s="5"/>
      <c r="AB1566" s="5"/>
      <c r="AC1566" s="5"/>
      <c r="AD1566" s="5"/>
      <c r="AE1566" s="5"/>
      <c r="AQ1566" s="2"/>
      <c r="AR1566" s="2"/>
      <c r="AS1566" s="2"/>
      <c r="AT1566" s="2"/>
      <c r="AU1566" s="2"/>
      <c r="AV1566" s="2"/>
      <c r="AW1566" s="2"/>
      <c r="AX1566" s="2"/>
      <c r="AY1566" s="2"/>
    </row>
    <row r="1567" spans="21:51" x14ac:dyDescent="0.25">
      <c r="U1567" s="2"/>
      <c r="W1567" s="5"/>
      <c r="X1567" s="5"/>
      <c r="Y1567" s="5"/>
      <c r="Z1567" s="5"/>
      <c r="AA1567" s="5"/>
      <c r="AB1567" s="5"/>
      <c r="AC1567" s="5"/>
      <c r="AD1567" s="5"/>
      <c r="AE1567" s="5"/>
      <c r="AQ1567" s="2"/>
      <c r="AR1567" s="2"/>
      <c r="AS1567" s="2"/>
      <c r="AT1567" s="2"/>
      <c r="AU1567" s="2"/>
      <c r="AV1567" s="2"/>
      <c r="AW1567" s="2"/>
      <c r="AX1567" s="2"/>
      <c r="AY1567" s="2"/>
    </row>
    <row r="1568" spans="21:51" x14ac:dyDescent="0.25">
      <c r="U1568" s="2"/>
      <c r="W1568" s="5"/>
      <c r="X1568" s="5"/>
      <c r="Y1568" s="5"/>
      <c r="Z1568" s="5"/>
      <c r="AA1568" s="5"/>
      <c r="AB1568" s="5"/>
      <c r="AC1568" s="5"/>
      <c r="AD1568" s="5"/>
      <c r="AE1568" s="5"/>
      <c r="AQ1568" s="2"/>
      <c r="AR1568" s="2"/>
      <c r="AS1568" s="2"/>
      <c r="AT1568" s="2"/>
      <c r="AU1568" s="2"/>
      <c r="AV1568" s="2"/>
      <c r="AW1568" s="2"/>
      <c r="AX1568" s="2"/>
      <c r="AY1568" s="2"/>
    </row>
    <row r="1569" spans="21:51" x14ac:dyDescent="0.25">
      <c r="U1569" s="2"/>
      <c r="W1569" s="5"/>
      <c r="X1569" s="5"/>
      <c r="Y1569" s="5"/>
      <c r="Z1569" s="5"/>
      <c r="AA1569" s="5"/>
      <c r="AB1569" s="5"/>
      <c r="AC1569" s="5"/>
      <c r="AD1569" s="5"/>
      <c r="AE1569" s="5"/>
      <c r="AQ1569" s="2"/>
      <c r="AR1569" s="2"/>
      <c r="AS1569" s="2"/>
      <c r="AT1569" s="2"/>
      <c r="AU1569" s="2"/>
      <c r="AV1569" s="2"/>
      <c r="AW1569" s="2"/>
      <c r="AX1569" s="2"/>
      <c r="AY1569" s="2"/>
    </row>
    <row r="1570" spans="21:51" x14ac:dyDescent="0.25">
      <c r="U1570" s="2"/>
      <c r="W1570" s="5"/>
      <c r="X1570" s="5"/>
      <c r="Y1570" s="5"/>
      <c r="Z1570" s="5"/>
      <c r="AA1570" s="5"/>
      <c r="AB1570" s="5"/>
      <c r="AC1570" s="5"/>
      <c r="AD1570" s="5"/>
      <c r="AE1570" s="5"/>
      <c r="AQ1570" s="2"/>
      <c r="AR1570" s="2"/>
      <c r="AS1570" s="2"/>
      <c r="AT1570" s="2"/>
      <c r="AU1570" s="2"/>
      <c r="AV1570" s="2"/>
      <c r="AW1570" s="2"/>
      <c r="AX1570" s="2"/>
      <c r="AY1570" s="2"/>
    </row>
    <row r="1571" spans="21:51" x14ac:dyDescent="0.25">
      <c r="U1571" s="2"/>
      <c r="W1571" s="5"/>
      <c r="X1571" s="5"/>
      <c r="Y1571" s="5"/>
      <c r="Z1571" s="5"/>
      <c r="AA1571" s="5"/>
      <c r="AB1571" s="5"/>
      <c r="AC1571" s="5"/>
      <c r="AD1571" s="5"/>
      <c r="AE1571" s="5"/>
      <c r="AQ1571" s="2"/>
      <c r="AR1571" s="2"/>
      <c r="AS1571" s="2"/>
      <c r="AT1571" s="2"/>
      <c r="AU1571" s="2"/>
      <c r="AV1571" s="2"/>
      <c r="AW1571" s="2"/>
      <c r="AX1571" s="2"/>
      <c r="AY1571" s="2"/>
    </row>
    <row r="1572" spans="21:51" x14ac:dyDescent="0.25">
      <c r="U1572" s="2"/>
      <c r="W1572" s="5"/>
      <c r="X1572" s="5"/>
      <c r="Y1572" s="5"/>
      <c r="Z1572" s="5"/>
      <c r="AA1572" s="5"/>
      <c r="AB1572" s="5"/>
      <c r="AC1572" s="5"/>
      <c r="AD1572" s="5"/>
      <c r="AE1572" s="5"/>
      <c r="AQ1572" s="2"/>
      <c r="AR1572" s="2"/>
      <c r="AS1572" s="2"/>
      <c r="AT1572" s="2"/>
      <c r="AU1572" s="2"/>
      <c r="AV1572" s="2"/>
      <c r="AW1572" s="2"/>
      <c r="AX1572" s="2"/>
      <c r="AY1572" s="2"/>
    </row>
    <row r="1573" spans="21:51" x14ac:dyDescent="0.25">
      <c r="U1573" s="2"/>
      <c r="W1573" s="5"/>
      <c r="X1573" s="5"/>
      <c r="Y1573" s="5"/>
      <c r="Z1573" s="5"/>
      <c r="AA1573" s="5"/>
      <c r="AB1573" s="5"/>
      <c r="AC1573" s="5"/>
      <c r="AD1573" s="5"/>
      <c r="AE1573" s="5"/>
      <c r="AQ1573" s="2"/>
      <c r="AR1573" s="2"/>
      <c r="AS1573" s="2"/>
      <c r="AT1573" s="2"/>
      <c r="AU1573" s="2"/>
      <c r="AV1573" s="2"/>
      <c r="AW1573" s="2"/>
      <c r="AX1573" s="2"/>
      <c r="AY1573" s="2"/>
    </row>
    <row r="1574" spans="21:51" x14ac:dyDescent="0.25">
      <c r="U1574" s="2"/>
      <c r="W1574" s="5"/>
      <c r="X1574" s="5"/>
      <c r="Y1574" s="5"/>
      <c r="Z1574" s="5"/>
      <c r="AA1574" s="5"/>
      <c r="AB1574" s="5"/>
      <c r="AC1574" s="5"/>
      <c r="AD1574" s="5"/>
      <c r="AE1574" s="5"/>
      <c r="AQ1574" s="2"/>
      <c r="AR1574" s="2"/>
      <c r="AS1574" s="2"/>
      <c r="AT1574" s="2"/>
      <c r="AU1574" s="2"/>
      <c r="AV1574" s="2"/>
      <c r="AW1574" s="2"/>
      <c r="AX1574" s="2"/>
      <c r="AY1574" s="2"/>
    </row>
    <row r="1575" spans="21:51" x14ac:dyDescent="0.25">
      <c r="U1575" s="2"/>
      <c r="W1575" s="5"/>
      <c r="X1575" s="5"/>
      <c r="Y1575" s="5"/>
      <c r="Z1575" s="5"/>
      <c r="AA1575" s="5"/>
      <c r="AB1575" s="5"/>
      <c r="AC1575" s="5"/>
      <c r="AD1575" s="5"/>
      <c r="AE1575" s="5"/>
      <c r="AQ1575" s="2"/>
      <c r="AR1575" s="2"/>
      <c r="AS1575" s="2"/>
      <c r="AT1575" s="2"/>
      <c r="AU1575" s="2"/>
      <c r="AV1575" s="2"/>
      <c r="AW1575" s="2"/>
      <c r="AX1575" s="2"/>
      <c r="AY1575" s="2"/>
    </row>
    <row r="1576" spans="21:51" x14ac:dyDescent="0.25">
      <c r="U1576" s="2"/>
      <c r="W1576" s="5"/>
      <c r="X1576" s="5"/>
      <c r="Y1576" s="5"/>
      <c r="Z1576" s="5"/>
      <c r="AA1576" s="5"/>
      <c r="AB1576" s="5"/>
      <c r="AC1576" s="5"/>
      <c r="AD1576" s="5"/>
      <c r="AE1576" s="5"/>
      <c r="AQ1576" s="2"/>
      <c r="AR1576" s="2"/>
      <c r="AS1576" s="2"/>
      <c r="AT1576" s="2"/>
      <c r="AU1576" s="2"/>
      <c r="AV1576" s="2"/>
      <c r="AW1576" s="2"/>
      <c r="AX1576" s="2"/>
      <c r="AY1576" s="2"/>
    </row>
    <row r="1577" spans="21:51" x14ac:dyDescent="0.25">
      <c r="U1577" s="2"/>
      <c r="W1577" s="5"/>
      <c r="X1577" s="5"/>
      <c r="Y1577" s="5"/>
      <c r="Z1577" s="5"/>
      <c r="AA1577" s="5"/>
      <c r="AB1577" s="5"/>
      <c r="AC1577" s="5"/>
      <c r="AD1577" s="5"/>
      <c r="AE1577" s="5"/>
      <c r="AQ1577" s="2"/>
      <c r="AR1577" s="2"/>
      <c r="AS1577" s="2"/>
      <c r="AT1577" s="2"/>
      <c r="AU1577" s="2"/>
      <c r="AV1577" s="2"/>
      <c r="AW1577" s="2"/>
      <c r="AX1577" s="2"/>
      <c r="AY1577" s="2"/>
    </row>
    <row r="1578" spans="21:51" x14ac:dyDescent="0.25">
      <c r="U1578" s="2"/>
      <c r="W1578" s="5"/>
      <c r="X1578" s="5"/>
      <c r="Y1578" s="5"/>
      <c r="Z1578" s="5"/>
      <c r="AA1578" s="5"/>
      <c r="AB1578" s="5"/>
      <c r="AC1578" s="5"/>
      <c r="AD1578" s="5"/>
      <c r="AE1578" s="5"/>
      <c r="AQ1578" s="2"/>
      <c r="AR1578" s="2"/>
      <c r="AS1578" s="2"/>
      <c r="AT1578" s="2"/>
      <c r="AU1578" s="2"/>
      <c r="AV1578" s="2"/>
      <c r="AW1578" s="2"/>
      <c r="AX1578" s="2"/>
      <c r="AY1578" s="2"/>
    </row>
    <row r="1579" spans="21:51" x14ac:dyDescent="0.25">
      <c r="U1579" s="2"/>
      <c r="W1579" s="5"/>
      <c r="X1579" s="5"/>
      <c r="Y1579" s="5"/>
      <c r="Z1579" s="5"/>
      <c r="AA1579" s="5"/>
      <c r="AB1579" s="5"/>
      <c r="AC1579" s="5"/>
      <c r="AD1579" s="5"/>
      <c r="AE1579" s="5"/>
      <c r="AQ1579" s="2"/>
      <c r="AR1579" s="2"/>
      <c r="AS1579" s="2"/>
      <c r="AT1579" s="2"/>
      <c r="AU1579" s="2"/>
      <c r="AV1579" s="2"/>
      <c r="AW1579" s="2"/>
      <c r="AX1579" s="2"/>
      <c r="AY1579" s="2"/>
    </row>
    <row r="1580" spans="21:51" x14ac:dyDescent="0.25">
      <c r="U1580" s="2"/>
      <c r="W1580" s="5"/>
      <c r="X1580" s="5"/>
      <c r="Y1580" s="5"/>
      <c r="Z1580" s="5"/>
      <c r="AA1580" s="5"/>
      <c r="AB1580" s="5"/>
      <c r="AC1580" s="5"/>
      <c r="AD1580" s="5"/>
      <c r="AE1580" s="5"/>
      <c r="AQ1580" s="2"/>
      <c r="AR1580" s="2"/>
      <c r="AS1580" s="2"/>
      <c r="AT1580" s="2"/>
      <c r="AU1580" s="2"/>
      <c r="AV1580" s="2"/>
      <c r="AW1580" s="2"/>
      <c r="AX1580" s="2"/>
      <c r="AY1580" s="2"/>
    </row>
    <row r="1581" spans="21:51" x14ac:dyDescent="0.25">
      <c r="U1581" s="2"/>
      <c r="W1581" s="5"/>
      <c r="X1581" s="5"/>
      <c r="Y1581" s="5"/>
      <c r="Z1581" s="5"/>
      <c r="AA1581" s="5"/>
      <c r="AB1581" s="5"/>
      <c r="AC1581" s="5"/>
      <c r="AD1581" s="5"/>
      <c r="AE1581" s="5"/>
      <c r="AQ1581" s="2"/>
      <c r="AR1581" s="2"/>
      <c r="AS1581" s="2"/>
      <c r="AT1581" s="2"/>
      <c r="AU1581" s="2"/>
      <c r="AV1581" s="2"/>
      <c r="AW1581" s="2"/>
      <c r="AX1581" s="2"/>
      <c r="AY1581" s="2"/>
    </row>
    <row r="1582" spans="21:51" x14ac:dyDescent="0.25">
      <c r="U1582" s="2"/>
      <c r="W1582" s="5"/>
      <c r="X1582" s="5"/>
      <c r="Y1582" s="5"/>
      <c r="Z1582" s="5"/>
      <c r="AA1582" s="5"/>
      <c r="AB1582" s="5"/>
      <c r="AC1582" s="5"/>
      <c r="AD1582" s="5"/>
      <c r="AE1582" s="5"/>
      <c r="AQ1582" s="2"/>
      <c r="AR1582" s="2"/>
      <c r="AS1582" s="2"/>
      <c r="AT1582" s="2"/>
      <c r="AU1582" s="2"/>
      <c r="AV1582" s="2"/>
      <c r="AW1582" s="2"/>
      <c r="AX1582" s="2"/>
      <c r="AY1582" s="2"/>
    </row>
    <row r="1583" spans="21:51" x14ac:dyDescent="0.25">
      <c r="U1583" s="2"/>
      <c r="W1583" s="5"/>
      <c r="X1583" s="5"/>
      <c r="Y1583" s="5"/>
      <c r="Z1583" s="5"/>
      <c r="AA1583" s="5"/>
      <c r="AB1583" s="5"/>
      <c r="AC1583" s="5"/>
      <c r="AD1583" s="5"/>
      <c r="AE1583" s="5"/>
      <c r="AQ1583" s="2"/>
      <c r="AR1583" s="2"/>
      <c r="AS1583" s="2"/>
      <c r="AT1583" s="2"/>
      <c r="AU1583" s="2"/>
      <c r="AV1583" s="2"/>
      <c r="AW1583" s="2"/>
      <c r="AX1583" s="2"/>
      <c r="AY1583" s="2"/>
    </row>
    <row r="1584" spans="21:51" x14ac:dyDescent="0.25">
      <c r="U1584" s="2"/>
      <c r="W1584" s="5"/>
      <c r="X1584" s="5"/>
      <c r="Y1584" s="5"/>
      <c r="Z1584" s="5"/>
      <c r="AA1584" s="5"/>
      <c r="AB1584" s="5"/>
      <c r="AC1584" s="5"/>
      <c r="AD1584" s="5"/>
      <c r="AE1584" s="5"/>
      <c r="AQ1584" s="2"/>
      <c r="AR1584" s="2"/>
      <c r="AS1584" s="2"/>
      <c r="AT1584" s="2"/>
      <c r="AU1584" s="2"/>
      <c r="AV1584" s="2"/>
      <c r="AW1584" s="2"/>
      <c r="AX1584" s="2"/>
      <c r="AY1584" s="2"/>
    </row>
    <row r="1585" spans="21:51" x14ac:dyDescent="0.25">
      <c r="U1585" s="2"/>
      <c r="W1585" s="5"/>
      <c r="X1585" s="5"/>
      <c r="Y1585" s="5"/>
      <c r="Z1585" s="5"/>
      <c r="AA1585" s="5"/>
      <c r="AB1585" s="5"/>
      <c r="AC1585" s="5"/>
      <c r="AD1585" s="5"/>
      <c r="AE1585" s="5"/>
      <c r="AQ1585" s="2"/>
      <c r="AR1585" s="2"/>
      <c r="AS1585" s="2"/>
      <c r="AT1585" s="2"/>
      <c r="AU1585" s="2"/>
      <c r="AV1585" s="2"/>
      <c r="AW1585" s="2"/>
      <c r="AX1585" s="2"/>
      <c r="AY1585" s="2"/>
    </row>
    <row r="1586" spans="21:51" x14ac:dyDescent="0.25">
      <c r="U1586" s="2"/>
      <c r="W1586" s="5"/>
      <c r="X1586" s="5"/>
      <c r="Y1586" s="5"/>
      <c r="Z1586" s="5"/>
      <c r="AA1586" s="5"/>
      <c r="AB1586" s="5"/>
      <c r="AC1586" s="5"/>
      <c r="AD1586" s="5"/>
      <c r="AE1586" s="5"/>
      <c r="AQ1586" s="2"/>
      <c r="AR1586" s="2"/>
      <c r="AS1586" s="2"/>
      <c r="AT1586" s="2"/>
      <c r="AU1586" s="2"/>
      <c r="AV1586" s="2"/>
      <c r="AW1586" s="2"/>
      <c r="AX1586" s="2"/>
      <c r="AY1586" s="2"/>
    </row>
    <row r="1587" spans="21:51" x14ac:dyDescent="0.25">
      <c r="U1587" s="2"/>
      <c r="W1587" s="5"/>
      <c r="X1587" s="5"/>
      <c r="Y1587" s="5"/>
      <c r="Z1587" s="5"/>
      <c r="AA1587" s="5"/>
      <c r="AB1587" s="5"/>
      <c r="AC1587" s="5"/>
      <c r="AD1587" s="5"/>
      <c r="AE1587" s="5"/>
      <c r="AQ1587" s="2"/>
      <c r="AR1587" s="2"/>
      <c r="AS1587" s="2"/>
      <c r="AT1587" s="2"/>
      <c r="AU1587" s="2"/>
      <c r="AV1587" s="2"/>
      <c r="AW1587" s="2"/>
      <c r="AX1587" s="2"/>
      <c r="AY1587" s="2"/>
    </row>
    <row r="1588" spans="21:51" x14ac:dyDescent="0.25">
      <c r="U1588" s="2"/>
      <c r="W1588" s="5"/>
      <c r="X1588" s="5"/>
      <c r="Y1588" s="5"/>
      <c r="Z1588" s="5"/>
      <c r="AA1588" s="5"/>
      <c r="AB1588" s="5"/>
      <c r="AC1588" s="5"/>
      <c r="AD1588" s="5"/>
      <c r="AE1588" s="5"/>
      <c r="AQ1588" s="2"/>
      <c r="AR1588" s="2"/>
      <c r="AS1588" s="2"/>
      <c r="AT1588" s="2"/>
      <c r="AU1588" s="2"/>
      <c r="AV1588" s="2"/>
      <c r="AW1588" s="2"/>
      <c r="AX1588" s="2"/>
      <c r="AY1588" s="2"/>
    </row>
    <row r="1589" spans="21:51" x14ac:dyDescent="0.25">
      <c r="U1589" s="2"/>
      <c r="W1589" s="5"/>
      <c r="X1589" s="5"/>
      <c r="Y1589" s="5"/>
      <c r="Z1589" s="5"/>
      <c r="AA1589" s="5"/>
      <c r="AB1589" s="5"/>
      <c r="AC1589" s="5"/>
      <c r="AD1589" s="5"/>
      <c r="AE1589" s="5"/>
      <c r="AQ1589" s="2"/>
      <c r="AR1589" s="2"/>
      <c r="AS1589" s="2"/>
      <c r="AT1589" s="2"/>
      <c r="AU1589" s="2"/>
      <c r="AV1589" s="2"/>
      <c r="AW1589" s="2"/>
      <c r="AX1589" s="2"/>
      <c r="AY1589" s="2"/>
    </row>
    <row r="1590" spans="21:51" x14ac:dyDescent="0.25">
      <c r="U1590" s="2"/>
      <c r="W1590" s="5"/>
      <c r="X1590" s="5"/>
      <c r="Y1590" s="5"/>
      <c r="Z1590" s="5"/>
      <c r="AA1590" s="5"/>
      <c r="AB1590" s="5"/>
      <c r="AC1590" s="5"/>
      <c r="AD1590" s="5"/>
      <c r="AE1590" s="5"/>
      <c r="AQ1590" s="2"/>
      <c r="AR1590" s="2"/>
      <c r="AS1590" s="2"/>
      <c r="AT1590" s="2"/>
      <c r="AU1590" s="2"/>
      <c r="AV1590" s="2"/>
      <c r="AW1590" s="2"/>
      <c r="AX1590" s="2"/>
      <c r="AY1590" s="2"/>
    </row>
    <row r="1591" spans="21:51" x14ac:dyDescent="0.25">
      <c r="U1591" s="2"/>
      <c r="W1591" s="5"/>
      <c r="X1591" s="5"/>
      <c r="Y1591" s="5"/>
      <c r="Z1591" s="5"/>
      <c r="AA1591" s="5"/>
      <c r="AB1591" s="5"/>
      <c r="AC1591" s="5"/>
      <c r="AD1591" s="5"/>
      <c r="AE1591" s="5"/>
      <c r="AQ1591" s="2"/>
      <c r="AR1591" s="2"/>
      <c r="AS1591" s="2"/>
      <c r="AT1591" s="2"/>
      <c r="AU1591" s="2"/>
      <c r="AV1591" s="2"/>
      <c r="AW1591" s="2"/>
      <c r="AX1591" s="2"/>
      <c r="AY1591" s="2"/>
    </row>
    <row r="1592" spans="21:51" x14ac:dyDescent="0.25">
      <c r="U1592" s="2"/>
      <c r="W1592" s="5"/>
      <c r="X1592" s="5"/>
      <c r="Y1592" s="5"/>
      <c r="Z1592" s="5"/>
      <c r="AA1592" s="5"/>
      <c r="AB1592" s="5"/>
      <c r="AC1592" s="5"/>
      <c r="AD1592" s="5"/>
      <c r="AE1592" s="5"/>
      <c r="AQ1592" s="2"/>
      <c r="AR1592" s="2"/>
      <c r="AS1592" s="2"/>
      <c r="AT1592" s="2"/>
      <c r="AU1592" s="2"/>
      <c r="AV1592" s="2"/>
      <c r="AW1592" s="2"/>
      <c r="AX1592" s="2"/>
      <c r="AY1592" s="2"/>
    </row>
    <row r="1593" spans="21:51" x14ac:dyDescent="0.25">
      <c r="U1593" s="2"/>
      <c r="W1593" s="5"/>
      <c r="X1593" s="5"/>
      <c r="Y1593" s="5"/>
      <c r="Z1593" s="5"/>
      <c r="AA1593" s="5"/>
      <c r="AB1593" s="5"/>
      <c r="AC1593" s="5"/>
      <c r="AD1593" s="5"/>
      <c r="AE1593" s="5"/>
      <c r="AQ1593" s="2"/>
      <c r="AR1593" s="2"/>
      <c r="AS1593" s="2"/>
      <c r="AT1593" s="2"/>
      <c r="AU1593" s="2"/>
      <c r="AV1593" s="2"/>
      <c r="AW1593" s="2"/>
      <c r="AX1593" s="2"/>
      <c r="AY1593" s="2"/>
    </row>
    <row r="1594" spans="21:51" x14ac:dyDescent="0.25">
      <c r="U1594" s="2"/>
      <c r="W1594" s="5"/>
      <c r="X1594" s="5"/>
      <c r="Y1594" s="5"/>
      <c r="Z1594" s="5"/>
      <c r="AA1594" s="5"/>
      <c r="AB1594" s="5"/>
      <c r="AC1594" s="5"/>
      <c r="AD1594" s="5"/>
      <c r="AE1594" s="5"/>
      <c r="AQ1594" s="2"/>
      <c r="AR1594" s="2"/>
      <c r="AS1594" s="2"/>
      <c r="AT1594" s="2"/>
      <c r="AU1594" s="2"/>
      <c r="AV1594" s="2"/>
      <c r="AW1594" s="2"/>
      <c r="AX1594" s="2"/>
      <c r="AY1594" s="2"/>
    </row>
    <row r="1595" spans="21:51" x14ac:dyDescent="0.25">
      <c r="U1595" s="2"/>
      <c r="W1595" s="5"/>
      <c r="X1595" s="5"/>
      <c r="Y1595" s="5"/>
      <c r="Z1595" s="5"/>
      <c r="AA1595" s="5"/>
      <c r="AB1595" s="5"/>
      <c r="AC1595" s="5"/>
      <c r="AD1595" s="5"/>
      <c r="AE1595" s="5"/>
      <c r="AQ1595" s="2"/>
      <c r="AR1595" s="2"/>
      <c r="AS1595" s="2"/>
      <c r="AT1595" s="2"/>
      <c r="AU1595" s="2"/>
      <c r="AV1595" s="2"/>
      <c r="AW1595" s="2"/>
      <c r="AX1595" s="2"/>
      <c r="AY1595" s="2"/>
    </row>
    <row r="1596" spans="21:51" x14ac:dyDescent="0.25">
      <c r="U1596" s="2"/>
      <c r="W1596" s="5"/>
      <c r="X1596" s="5"/>
      <c r="Y1596" s="5"/>
      <c r="Z1596" s="5"/>
      <c r="AA1596" s="5"/>
      <c r="AB1596" s="5"/>
      <c r="AC1596" s="5"/>
      <c r="AD1596" s="5"/>
      <c r="AE1596" s="5"/>
      <c r="AQ1596" s="2"/>
      <c r="AR1596" s="2"/>
      <c r="AS1596" s="2"/>
      <c r="AT1596" s="2"/>
      <c r="AU1596" s="2"/>
      <c r="AV1596" s="2"/>
      <c r="AW1596" s="2"/>
      <c r="AX1596" s="2"/>
      <c r="AY1596" s="2"/>
    </row>
    <row r="1597" spans="21:51" x14ac:dyDescent="0.25">
      <c r="U1597" s="2"/>
      <c r="W1597" s="5"/>
      <c r="X1597" s="5"/>
      <c r="Y1597" s="5"/>
      <c r="Z1597" s="5"/>
      <c r="AA1597" s="5"/>
      <c r="AB1597" s="5"/>
      <c r="AC1597" s="5"/>
      <c r="AD1597" s="5"/>
      <c r="AE1597" s="5"/>
      <c r="AQ1597" s="2"/>
      <c r="AR1597" s="2"/>
      <c r="AS1597" s="2"/>
      <c r="AT1597" s="2"/>
      <c r="AU1597" s="2"/>
      <c r="AV1597" s="2"/>
      <c r="AW1597" s="2"/>
      <c r="AX1597" s="2"/>
      <c r="AY1597" s="2"/>
    </row>
    <row r="1598" spans="21:51" x14ac:dyDescent="0.25">
      <c r="U1598" s="2"/>
      <c r="W1598" s="5"/>
      <c r="X1598" s="5"/>
      <c r="Y1598" s="5"/>
      <c r="Z1598" s="5"/>
      <c r="AA1598" s="5"/>
      <c r="AB1598" s="5"/>
      <c r="AC1598" s="5"/>
      <c r="AD1598" s="5"/>
      <c r="AE1598" s="5"/>
      <c r="AQ1598" s="2"/>
      <c r="AR1598" s="2"/>
      <c r="AS1598" s="2"/>
      <c r="AT1598" s="2"/>
      <c r="AU1598" s="2"/>
      <c r="AV1598" s="2"/>
      <c r="AW1598" s="2"/>
      <c r="AX1598" s="2"/>
      <c r="AY1598" s="2"/>
    </row>
    <row r="1599" spans="21:51" x14ac:dyDescent="0.25">
      <c r="U1599" s="2"/>
      <c r="W1599" s="5"/>
      <c r="X1599" s="5"/>
      <c r="Y1599" s="5"/>
      <c r="Z1599" s="5"/>
      <c r="AA1599" s="5"/>
      <c r="AB1599" s="5"/>
      <c r="AC1599" s="5"/>
      <c r="AD1599" s="5"/>
      <c r="AE1599" s="5"/>
      <c r="AQ1599" s="2"/>
      <c r="AR1599" s="2"/>
      <c r="AS1599" s="2"/>
      <c r="AT1599" s="2"/>
      <c r="AU1599" s="2"/>
      <c r="AV1599" s="2"/>
      <c r="AW1599" s="2"/>
      <c r="AX1599" s="2"/>
      <c r="AY1599" s="2"/>
    </row>
    <row r="1600" spans="21:51" x14ac:dyDescent="0.25">
      <c r="U1600" s="2"/>
      <c r="W1600" s="5"/>
      <c r="X1600" s="5"/>
      <c r="Y1600" s="5"/>
      <c r="Z1600" s="5"/>
      <c r="AA1600" s="5"/>
      <c r="AB1600" s="5"/>
      <c r="AC1600" s="5"/>
      <c r="AD1600" s="5"/>
      <c r="AE1600" s="5"/>
      <c r="AQ1600" s="2"/>
      <c r="AR1600" s="2"/>
      <c r="AS1600" s="2"/>
      <c r="AT1600" s="2"/>
      <c r="AU1600" s="2"/>
      <c r="AV1600" s="2"/>
      <c r="AW1600" s="2"/>
      <c r="AX1600" s="2"/>
      <c r="AY1600" s="2"/>
    </row>
    <row r="1601" spans="21:51" x14ac:dyDescent="0.25">
      <c r="U1601" s="2"/>
      <c r="W1601" s="5"/>
      <c r="X1601" s="5"/>
      <c r="Y1601" s="5"/>
      <c r="Z1601" s="5"/>
      <c r="AA1601" s="5"/>
      <c r="AB1601" s="5"/>
      <c r="AC1601" s="5"/>
      <c r="AD1601" s="5"/>
      <c r="AE1601" s="5"/>
      <c r="AQ1601" s="2"/>
      <c r="AR1601" s="2"/>
      <c r="AS1601" s="2"/>
      <c r="AT1601" s="2"/>
      <c r="AU1601" s="2"/>
      <c r="AV1601" s="2"/>
      <c r="AW1601" s="2"/>
      <c r="AX1601" s="2"/>
      <c r="AY1601" s="2"/>
    </row>
    <row r="1602" spans="21:51" x14ac:dyDescent="0.25">
      <c r="U1602" s="2"/>
      <c r="W1602" s="5"/>
      <c r="X1602" s="5"/>
      <c r="Y1602" s="5"/>
      <c r="Z1602" s="5"/>
      <c r="AA1602" s="5"/>
      <c r="AB1602" s="5"/>
      <c r="AC1602" s="5"/>
      <c r="AD1602" s="5"/>
      <c r="AE1602" s="5"/>
      <c r="AQ1602" s="2"/>
      <c r="AR1602" s="2"/>
      <c r="AS1602" s="2"/>
      <c r="AT1602" s="2"/>
      <c r="AU1602" s="2"/>
      <c r="AV1602" s="2"/>
      <c r="AW1602" s="2"/>
      <c r="AX1602" s="2"/>
      <c r="AY1602" s="2"/>
    </row>
    <row r="1603" spans="21:51" x14ac:dyDescent="0.25">
      <c r="U1603" s="2"/>
      <c r="W1603" s="5"/>
      <c r="X1603" s="5"/>
      <c r="Y1603" s="5"/>
      <c r="Z1603" s="5"/>
      <c r="AA1603" s="5"/>
      <c r="AB1603" s="5"/>
      <c r="AC1603" s="5"/>
      <c r="AD1603" s="5"/>
      <c r="AE1603" s="5"/>
      <c r="AQ1603" s="2"/>
      <c r="AR1603" s="2"/>
      <c r="AS1603" s="2"/>
      <c r="AT1603" s="2"/>
      <c r="AU1603" s="2"/>
      <c r="AV1603" s="2"/>
      <c r="AW1603" s="2"/>
      <c r="AX1603" s="2"/>
      <c r="AY1603" s="2"/>
    </row>
    <row r="1604" spans="21:51" x14ac:dyDescent="0.25">
      <c r="U1604" s="2"/>
      <c r="W1604" s="5"/>
      <c r="X1604" s="5"/>
      <c r="Y1604" s="5"/>
      <c r="Z1604" s="5"/>
      <c r="AA1604" s="5"/>
      <c r="AB1604" s="5"/>
      <c r="AC1604" s="5"/>
      <c r="AD1604" s="5"/>
      <c r="AE1604" s="5"/>
      <c r="AQ1604" s="2"/>
      <c r="AR1604" s="2"/>
      <c r="AS1604" s="2"/>
      <c r="AT1604" s="2"/>
      <c r="AU1604" s="2"/>
      <c r="AV1604" s="2"/>
      <c r="AW1604" s="2"/>
      <c r="AX1604" s="2"/>
      <c r="AY1604" s="2"/>
    </row>
    <row r="1605" spans="21:51" x14ac:dyDescent="0.25">
      <c r="U1605" s="2"/>
      <c r="W1605" s="5"/>
      <c r="X1605" s="5"/>
      <c r="Y1605" s="5"/>
      <c r="Z1605" s="5"/>
      <c r="AA1605" s="5"/>
      <c r="AB1605" s="5"/>
      <c r="AC1605" s="5"/>
      <c r="AD1605" s="5"/>
      <c r="AE1605" s="5"/>
      <c r="AQ1605" s="2"/>
      <c r="AR1605" s="2"/>
      <c r="AS1605" s="2"/>
      <c r="AT1605" s="2"/>
      <c r="AU1605" s="2"/>
      <c r="AV1605" s="2"/>
      <c r="AW1605" s="2"/>
      <c r="AX1605" s="2"/>
      <c r="AY1605" s="2"/>
    </row>
    <row r="1606" spans="21:51" x14ac:dyDescent="0.25">
      <c r="U1606" s="2"/>
      <c r="W1606" s="5"/>
      <c r="X1606" s="5"/>
      <c r="Y1606" s="5"/>
      <c r="Z1606" s="5"/>
      <c r="AA1606" s="5"/>
      <c r="AB1606" s="5"/>
      <c r="AC1606" s="5"/>
      <c r="AD1606" s="5"/>
      <c r="AE1606" s="5"/>
      <c r="AQ1606" s="2"/>
      <c r="AR1606" s="2"/>
      <c r="AS1606" s="2"/>
      <c r="AT1606" s="2"/>
      <c r="AU1606" s="2"/>
      <c r="AV1606" s="2"/>
      <c r="AW1606" s="2"/>
      <c r="AX1606" s="2"/>
      <c r="AY1606" s="2"/>
    </row>
    <row r="1607" spans="21:51" x14ac:dyDescent="0.25">
      <c r="U1607" s="2"/>
      <c r="W1607" s="5"/>
      <c r="X1607" s="5"/>
      <c r="Y1607" s="5"/>
      <c r="Z1607" s="5"/>
      <c r="AA1607" s="5"/>
      <c r="AB1607" s="5"/>
      <c r="AC1607" s="5"/>
      <c r="AD1607" s="5"/>
      <c r="AE1607" s="5"/>
      <c r="AQ1607" s="2"/>
      <c r="AR1607" s="2"/>
      <c r="AS1607" s="2"/>
      <c r="AT1607" s="2"/>
      <c r="AU1607" s="2"/>
      <c r="AV1607" s="2"/>
      <c r="AW1607" s="2"/>
      <c r="AX1607" s="2"/>
      <c r="AY1607" s="2"/>
    </row>
    <row r="1608" spans="21:51" x14ac:dyDescent="0.25">
      <c r="U1608" s="2"/>
      <c r="W1608" s="5"/>
      <c r="X1608" s="5"/>
      <c r="Y1608" s="5"/>
      <c r="Z1608" s="5"/>
      <c r="AA1608" s="5"/>
      <c r="AB1608" s="5"/>
      <c r="AC1608" s="5"/>
      <c r="AD1608" s="5"/>
      <c r="AE1608" s="5"/>
      <c r="AQ1608" s="2"/>
      <c r="AR1608" s="2"/>
      <c r="AS1608" s="2"/>
      <c r="AT1608" s="2"/>
      <c r="AU1608" s="2"/>
      <c r="AV1608" s="2"/>
      <c r="AW1608" s="2"/>
      <c r="AX1608" s="2"/>
      <c r="AY1608" s="2"/>
    </row>
    <row r="1609" spans="21:51" x14ac:dyDescent="0.25">
      <c r="U1609" s="2"/>
      <c r="W1609" s="5"/>
      <c r="X1609" s="5"/>
      <c r="Y1609" s="5"/>
      <c r="Z1609" s="5"/>
      <c r="AA1609" s="5"/>
      <c r="AB1609" s="5"/>
      <c r="AC1609" s="5"/>
      <c r="AD1609" s="5"/>
      <c r="AE1609" s="5"/>
      <c r="AQ1609" s="2"/>
      <c r="AR1609" s="2"/>
      <c r="AS1609" s="2"/>
      <c r="AT1609" s="2"/>
      <c r="AU1609" s="2"/>
      <c r="AV1609" s="2"/>
      <c r="AW1609" s="2"/>
      <c r="AX1609" s="2"/>
      <c r="AY1609" s="2"/>
    </row>
    <row r="1610" spans="21:51" x14ac:dyDescent="0.25">
      <c r="U1610" s="2"/>
      <c r="W1610" s="5"/>
      <c r="X1610" s="5"/>
      <c r="Y1610" s="5"/>
      <c r="Z1610" s="5"/>
      <c r="AA1610" s="5"/>
      <c r="AB1610" s="5"/>
      <c r="AC1610" s="5"/>
      <c r="AD1610" s="5"/>
      <c r="AE1610" s="5"/>
      <c r="AQ1610" s="2"/>
      <c r="AR1610" s="2"/>
      <c r="AS1610" s="2"/>
      <c r="AT1610" s="2"/>
      <c r="AU1610" s="2"/>
      <c r="AV1610" s="2"/>
      <c r="AW1610" s="2"/>
      <c r="AX1610" s="2"/>
      <c r="AY1610" s="2"/>
    </row>
    <row r="1611" spans="21:51" x14ac:dyDescent="0.25">
      <c r="U1611" s="2"/>
      <c r="W1611" s="5"/>
      <c r="X1611" s="5"/>
      <c r="Y1611" s="5"/>
      <c r="Z1611" s="5"/>
      <c r="AA1611" s="5"/>
      <c r="AB1611" s="5"/>
      <c r="AC1611" s="5"/>
      <c r="AD1611" s="5"/>
      <c r="AE1611" s="5"/>
      <c r="AQ1611" s="2"/>
      <c r="AR1611" s="2"/>
      <c r="AS1611" s="2"/>
      <c r="AT1611" s="2"/>
      <c r="AU1611" s="2"/>
      <c r="AV1611" s="2"/>
      <c r="AW1611" s="2"/>
      <c r="AX1611" s="2"/>
      <c r="AY1611" s="2"/>
    </row>
    <row r="1612" spans="21:51" x14ac:dyDescent="0.25">
      <c r="U1612" s="2"/>
      <c r="W1612" s="5"/>
      <c r="X1612" s="5"/>
      <c r="Y1612" s="5"/>
      <c r="Z1612" s="5"/>
      <c r="AA1612" s="5"/>
      <c r="AB1612" s="5"/>
      <c r="AC1612" s="5"/>
      <c r="AD1612" s="5"/>
      <c r="AE1612" s="5"/>
      <c r="AQ1612" s="2"/>
      <c r="AR1612" s="2"/>
      <c r="AS1612" s="2"/>
      <c r="AT1612" s="2"/>
      <c r="AU1612" s="2"/>
      <c r="AV1612" s="2"/>
      <c r="AW1612" s="2"/>
      <c r="AX1612" s="2"/>
      <c r="AY1612" s="2"/>
    </row>
    <row r="1613" spans="21:51" x14ac:dyDescent="0.25">
      <c r="U1613" s="2"/>
      <c r="W1613" s="5"/>
      <c r="X1613" s="5"/>
      <c r="Y1613" s="5"/>
      <c r="Z1613" s="5"/>
      <c r="AA1613" s="5"/>
      <c r="AB1613" s="5"/>
      <c r="AC1613" s="5"/>
      <c r="AD1613" s="5"/>
      <c r="AE1613" s="5"/>
      <c r="AQ1613" s="2"/>
      <c r="AR1613" s="2"/>
      <c r="AS1613" s="2"/>
      <c r="AT1613" s="2"/>
      <c r="AU1613" s="2"/>
      <c r="AV1613" s="2"/>
      <c r="AW1613" s="2"/>
      <c r="AX1613" s="2"/>
      <c r="AY1613" s="2"/>
    </row>
    <row r="1614" spans="21:51" x14ac:dyDescent="0.25">
      <c r="U1614" s="2"/>
      <c r="W1614" s="5"/>
      <c r="X1614" s="5"/>
      <c r="Y1614" s="5"/>
      <c r="Z1614" s="5"/>
      <c r="AA1614" s="5"/>
      <c r="AB1614" s="5"/>
      <c r="AC1614" s="5"/>
      <c r="AD1614" s="5"/>
      <c r="AE1614" s="5"/>
      <c r="AQ1614" s="2"/>
      <c r="AR1614" s="2"/>
      <c r="AS1614" s="2"/>
      <c r="AT1614" s="2"/>
      <c r="AU1614" s="2"/>
      <c r="AV1614" s="2"/>
      <c r="AW1614" s="2"/>
      <c r="AX1614" s="2"/>
      <c r="AY1614" s="2"/>
    </row>
    <row r="1615" spans="21:51" x14ac:dyDescent="0.25">
      <c r="U1615" s="2"/>
      <c r="W1615" s="5"/>
      <c r="X1615" s="5"/>
      <c r="Y1615" s="5"/>
      <c r="Z1615" s="5"/>
      <c r="AA1615" s="5"/>
      <c r="AB1615" s="5"/>
      <c r="AC1615" s="5"/>
      <c r="AD1615" s="5"/>
      <c r="AE1615" s="5"/>
      <c r="AQ1615" s="2"/>
      <c r="AR1615" s="2"/>
      <c r="AS1615" s="2"/>
      <c r="AT1615" s="2"/>
      <c r="AU1615" s="2"/>
      <c r="AV1615" s="2"/>
      <c r="AW1615" s="2"/>
      <c r="AX1615" s="2"/>
      <c r="AY1615" s="2"/>
    </row>
    <row r="1616" spans="21:51" x14ac:dyDescent="0.25">
      <c r="U1616" s="2"/>
      <c r="W1616" s="5"/>
      <c r="X1616" s="5"/>
      <c r="Y1616" s="5"/>
      <c r="Z1616" s="5"/>
      <c r="AA1616" s="5"/>
      <c r="AB1616" s="5"/>
      <c r="AC1616" s="5"/>
      <c r="AD1616" s="5"/>
      <c r="AE1616" s="5"/>
      <c r="AQ1616" s="2"/>
      <c r="AR1616" s="2"/>
      <c r="AS1616" s="2"/>
      <c r="AT1616" s="2"/>
      <c r="AU1616" s="2"/>
      <c r="AV1616" s="2"/>
      <c r="AW1616" s="2"/>
      <c r="AX1616" s="2"/>
      <c r="AY1616" s="2"/>
    </row>
    <row r="1617" spans="21:51" x14ac:dyDescent="0.25">
      <c r="U1617" s="2"/>
      <c r="W1617" s="5"/>
      <c r="X1617" s="5"/>
      <c r="Y1617" s="5"/>
      <c r="Z1617" s="5"/>
      <c r="AA1617" s="5"/>
      <c r="AB1617" s="5"/>
      <c r="AC1617" s="5"/>
      <c r="AD1617" s="5"/>
      <c r="AE1617" s="5"/>
      <c r="AQ1617" s="2"/>
      <c r="AR1617" s="2"/>
      <c r="AS1617" s="2"/>
      <c r="AT1617" s="2"/>
      <c r="AU1617" s="2"/>
      <c r="AV1617" s="2"/>
      <c r="AW1617" s="2"/>
      <c r="AX1617" s="2"/>
      <c r="AY1617" s="2"/>
    </row>
    <row r="1618" spans="21:51" x14ac:dyDescent="0.25">
      <c r="U1618" s="2"/>
      <c r="W1618" s="5"/>
      <c r="X1618" s="5"/>
      <c r="Y1618" s="5"/>
      <c r="Z1618" s="5"/>
      <c r="AA1618" s="5"/>
      <c r="AB1618" s="5"/>
      <c r="AC1618" s="5"/>
      <c r="AD1618" s="5"/>
      <c r="AE1618" s="5"/>
      <c r="AQ1618" s="2"/>
      <c r="AR1618" s="2"/>
      <c r="AS1618" s="2"/>
      <c r="AT1618" s="2"/>
      <c r="AU1618" s="2"/>
      <c r="AV1618" s="2"/>
      <c r="AW1618" s="2"/>
      <c r="AX1618" s="2"/>
      <c r="AY1618" s="2"/>
    </row>
    <row r="1619" spans="21:51" x14ac:dyDescent="0.25">
      <c r="U1619" s="2"/>
      <c r="W1619" s="5"/>
      <c r="X1619" s="5"/>
      <c r="Y1619" s="5"/>
      <c r="Z1619" s="5"/>
      <c r="AA1619" s="5"/>
      <c r="AB1619" s="5"/>
      <c r="AC1619" s="5"/>
      <c r="AD1619" s="5"/>
      <c r="AE1619" s="5"/>
      <c r="AQ1619" s="2"/>
      <c r="AR1619" s="2"/>
      <c r="AS1619" s="2"/>
      <c r="AT1619" s="2"/>
      <c r="AU1619" s="2"/>
      <c r="AV1619" s="2"/>
      <c r="AW1619" s="2"/>
      <c r="AX1619" s="2"/>
      <c r="AY1619" s="2"/>
    </row>
    <row r="1620" spans="21:51" x14ac:dyDescent="0.25">
      <c r="U1620" s="2"/>
      <c r="W1620" s="5"/>
      <c r="X1620" s="5"/>
      <c r="Y1620" s="5"/>
      <c r="Z1620" s="5"/>
      <c r="AA1620" s="5"/>
      <c r="AB1620" s="5"/>
      <c r="AC1620" s="5"/>
      <c r="AD1620" s="5"/>
      <c r="AE1620" s="5"/>
      <c r="AQ1620" s="2"/>
      <c r="AR1620" s="2"/>
      <c r="AS1620" s="2"/>
      <c r="AT1620" s="2"/>
      <c r="AU1620" s="2"/>
      <c r="AV1620" s="2"/>
      <c r="AW1620" s="2"/>
      <c r="AX1620" s="2"/>
      <c r="AY1620" s="2"/>
    </row>
    <row r="1621" spans="21:51" x14ac:dyDescent="0.25">
      <c r="U1621" s="2"/>
      <c r="W1621" s="5"/>
      <c r="X1621" s="5"/>
      <c r="Y1621" s="5"/>
      <c r="Z1621" s="5"/>
      <c r="AA1621" s="5"/>
      <c r="AB1621" s="5"/>
      <c r="AC1621" s="5"/>
      <c r="AD1621" s="5"/>
      <c r="AE1621" s="5"/>
      <c r="AQ1621" s="2"/>
      <c r="AR1621" s="2"/>
      <c r="AS1621" s="2"/>
      <c r="AT1621" s="2"/>
      <c r="AU1621" s="2"/>
      <c r="AV1621" s="2"/>
      <c r="AW1621" s="2"/>
      <c r="AX1621" s="2"/>
      <c r="AY1621" s="2"/>
    </row>
    <row r="1622" spans="21:51" x14ac:dyDescent="0.25">
      <c r="U1622" s="2"/>
      <c r="W1622" s="5"/>
      <c r="X1622" s="5"/>
      <c r="Y1622" s="5"/>
      <c r="Z1622" s="5"/>
      <c r="AA1622" s="5"/>
      <c r="AB1622" s="5"/>
      <c r="AC1622" s="5"/>
      <c r="AD1622" s="5"/>
      <c r="AE1622" s="5"/>
      <c r="AQ1622" s="2"/>
      <c r="AR1622" s="2"/>
      <c r="AS1622" s="2"/>
      <c r="AT1622" s="2"/>
      <c r="AU1622" s="2"/>
      <c r="AV1622" s="2"/>
      <c r="AW1622" s="2"/>
      <c r="AX1622" s="2"/>
      <c r="AY1622" s="2"/>
    </row>
    <row r="1623" spans="21:51" x14ac:dyDescent="0.25">
      <c r="U1623" s="2"/>
      <c r="W1623" s="5"/>
      <c r="X1623" s="5"/>
      <c r="Y1623" s="5"/>
      <c r="Z1623" s="5"/>
      <c r="AA1623" s="5"/>
      <c r="AB1623" s="5"/>
      <c r="AC1623" s="5"/>
      <c r="AD1623" s="5"/>
      <c r="AE1623" s="5"/>
      <c r="AQ1623" s="2"/>
      <c r="AR1623" s="2"/>
      <c r="AS1623" s="2"/>
      <c r="AT1623" s="2"/>
      <c r="AU1623" s="2"/>
      <c r="AV1623" s="2"/>
      <c r="AW1623" s="2"/>
      <c r="AX1623" s="2"/>
      <c r="AY1623" s="2"/>
    </row>
    <row r="1624" spans="21:51" x14ac:dyDescent="0.25">
      <c r="U1624" s="2"/>
      <c r="W1624" s="5"/>
      <c r="X1624" s="5"/>
      <c r="Y1624" s="5"/>
      <c r="Z1624" s="5"/>
      <c r="AA1624" s="5"/>
      <c r="AB1624" s="5"/>
      <c r="AC1624" s="5"/>
      <c r="AD1624" s="5"/>
      <c r="AE1624" s="5"/>
      <c r="AQ1624" s="2"/>
      <c r="AR1624" s="2"/>
      <c r="AS1624" s="2"/>
      <c r="AT1624" s="2"/>
      <c r="AU1624" s="2"/>
      <c r="AV1624" s="2"/>
      <c r="AW1624" s="2"/>
      <c r="AX1624" s="2"/>
      <c r="AY1624" s="2"/>
    </row>
    <row r="1625" spans="21:51" x14ac:dyDescent="0.25">
      <c r="U1625" s="2"/>
      <c r="W1625" s="5"/>
      <c r="X1625" s="5"/>
      <c r="Y1625" s="5"/>
      <c r="Z1625" s="5"/>
      <c r="AA1625" s="5"/>
      <c r="AB1625" s="5"/>
      <c r="AC1625" s="5"/>
      <c r="AD1625" s="5"/>
      <c r="AE1625" s="5"/>
      <c r="AQ1625" s="2"/>
      <c r="AR1625" s="2"/>
      <c r="AS1625" s="2"/>
      <c r="AT1625" s="2"/>
      <c r="AU1625" s="2"/>
      <c r="AV1625" s="2"/>
      <c r="AW1625" s="2"/>
      <c r="AX1625" s="2"/>
      <c r="AY1625" s="2"/>
    </row>
    <row r="1626" spans="21:51" x14ac:dyDescent="0.25">
      <c r="U1626" s="2"/>
      <c r="W1626" s="5"/>
      <c r="X1626" s="5"/>
      <c r="Y1626" s="5"/>
      <c r="Z1626" s="5"/>
      <c r="AA1626" s="5"/>
      <c r="AB1626" s="5"/>
      <c r="AC1626" s="5"/>
      <c r="AD1626" s="5"/>
      <c r="AE1626" s="5"/>
      <c r="AQ1626" s="2"/>
      <c r="AR1626" s="2"/>
      <c r="AS1626" s="2"/>
      <c r="AT1626" s="2"/>
      <c r="AU1626" s="2"/>
      <c r="AV1626" s="2"/>
      <c r="AW1626" s="2"/>
      <c r="AX1626" s="2"/>
      <c r="AY1626" s="2"/>
    </row>
    <row r="1627" spans="21:51" x14ac:dyDescent="0.25">
      <c r="U1627" s="2"/>
      <c r="W1627" s="5"/>
      <c r="X1627" s="5"/>
      <c r="Y1627" s="5"/>
      <c r="Z1627" s="5"/>
      <c r="AA1627" s="5"/>
      <c r="AB1627" s="5"/>
      <c r="AC1627" s="5"/>
      <c r="AD1627" s="5"/>
      <c r="AE1627" s="5"/>
      <c r="AQ1627" s="2"/>
      <c r="AR1627" s="2"/>
      <c r="AS1627" s="2"/>
      <c r="AT1627" s="2"/>
      <c r="AU1627" s="2"/>
      <c r="AV1627" s="2"/>
      <c r="AW1627" s="2"/>
      <c r="AX1627" s="2"/>
      <c r="AY1627" s="2"/>
    </row>
    <row r="1628" spans="21:51" x14ac:dyDescent="0.25">
      <c r="U1628" s="2"/>
      <c r="W1628" s="5"/>
      <c r="X1628" s="5"/>
      <c r="Y1628" s="5"/>
      <c r="Z1628" s="5"/>
      <c r="AA1628" s="5"/>
      <c r="AB1628" s="5"/>
      <c r="AC1628" s="5"/>
      <c r="AD1628" s="5"/>
      <c r="AE1628" s="5"/>
      <c r="AQ1628" s="2"/>
      <c r="AR1628" s="2"/>
      <c r="AS1628" s="2"/>
      <c r="AT1628" s="2"/>
      <c r="AU1628" s="2"/>
      <c r="AV1628" s="2"/>
      <c r="AW1628" s="2"/>
      <c r="AX1628" s="2"/>
      <c r="AY1628" s="2"/>
    </row>
    <row r="1629" spans="21:51" x14ac:dyDescent="0.25">
      <c r="U1629" s="2"/>
      <c r="W1629" s="5"/>
      <c r="X1629" s="5"/>
      <c r="Y1629" s="5"/>
      <c r="Z1629" s="5"/>
      <c r="AA1629" s="5"/>
      <c r="AB1629" s="5"/>
      <c r="AC1629" s="5"/>
      <c r="AD1629" s="5"/>
      <c r="AE1629" s="5"/>
      <c r="AQ1629" s="2"/>
      <c r="AR1629" s="2"/>
      <c r="AS1629" s="2"/>
      <c r="AT1629" s="2"/>
      <c r="AU1629" s="2"/>
      <c r="AV1629" s="2"/>
      <c r="AW1629" s="2"/>
      <c r="AX1629" s="2"/>
      <c r="AY1629" s="2"/>
    </row>
    <row r="1630" spans="21:51" x14ac:dyDescent="0.25">
      <c r="U1630" s="2"/>
      <c r="W1630" s="5"/>
      <c r="X1630" s="5"/>
      <c r="Y1630" s="5"/>
      <c r="Z1630" s="5"/>
      <c r="AA1630" s="5"/>
      <c r="AB1630" s="5"/>
      <c r="AC1630" s="5"/>
      <c r="AD1630" s="5"/>
      <c r="AE1630" s="5"/>
      <c r="AQ1630" s="2"/>
      <c r="AR1630" s="2"/>
      <c r="AS1630" s="2"/>
      <c r="AT1630" s="2"/>
      <c r="AU1630" s="2"/>
      <c r="AV1630" s="2"/>
      <c r="AW1630" s="2"/>
      <c r="AX1630" s="2"/>
      <c r="AY1630" s="2"/>
    </row>
    <row r="1631" spans="21:51" x14ac:dyDescent="0.25">
      <c r="U1631" s="2"/>
      <c r="W1631" s="5"/>
      <c r="X1631" s="5"/>
      <c r="Y1631" s="5"/>
      <c r="Z1631" s="5"/>
      <c r="AA1631" s="5"/>
      <c r="AB1631" s="5"/>
      <c r="AC1631" s="5"/>
      <c r="AD1631" s="5"/>
      <c r="AE1631" s="5"/>
      <c r="AQ1631" s="2"/>
      <c r="AR1631" s="2"/>
      <c r="AS1631" s="2"/>
      <c r="AT1631" s="2"/>
      <c r="AU1631" s="2"/>
      <c r="AV1631" s="2"/>
      <c r="AW1631" s="2"/>
      <c r="AX1631" s="2"/>
      <c r="AY1631" s="2"/>
    </row>
    <row r="1632" spans="21:51" x14ac:dyDescent="0.25">
      <c r="U1632" s="2"/>
      <c r="W1632" s="5"/>
      <c r="X1632" s="5"/>
      <c r="Y1632" s="5"/>
      <c r="Z1632" s="5"/>
      <c r="AA1632" s="5"/>
      <c r="AB1632" s="5"/>
      <c r="AC1632" s="5"/>
      <c r="AD1632" s="5"/>
      <c r="AE1632" s="5"/>
      <c r="AQ1632" s="2"/>
      <c r="AR1632" s="2"/>
      <c r="AS1632" s="2"/>
      <c r="AT1632" s="2"/>
      <c r="AU1632" s="2"/>
      <c r="AV1632" s="2"/>
      <c r="AW1632" s="2"/>
      <c r="AX1632" s="2"/>
      <c r="AY1632" s="2"/>
    </row>
    <row r="1633" spans="21:51" x14ac:dyDescent="0.25">
      <c r="U1633" s="2"/>
      <c r="W1633" s="5"/>
      <c r="X1633" s="5"/>
      <c r="Y1633" s="5"/>
      <c r="Z1633" s="5"/>
      <c r="AA1633" s="5"/>
      <c r="AB1633" s="5"/>
      <c r="AC1633" s="5"/>
      <c r="AD1633" s="5"/>
      <c r="AE1633" s="5"/>
      <c r="AQ1633" s="2"/>
      <c r="AR1633" s="2"/>
      <c r="AS1633" s="2"/>
      <c r="AT1633" s="2"/>
      <c r="AU1633" s="2"/>
      <c r="AV1633" s="2"/>
      <c r="AW1633" s="2"/>
      <c r="AX1633" s="2"/>
      <c r="AY1633" s="2"/>
    </row>
    <row r="1634" spans="21:51" x14ac:dyDescent="0.25">
      <c r="U1634" s="2"/>
      <c r="W1634" s="5"/>
      <c r="X1634" s="5"/>
      <c r="Y1634" s="5"/>
      <c r="Z1634" s="5"/>
      <c r="AA1634" s="5"/>
      <c r="AB1634" s="5"/>
      <c r="AC1634" s="5"/>
      <c r="AD1634" s="5"/>
      <c r="AE1634" s="5"/>
      <c r="AQ1634" s="2"/>
      <c r="AR1634" s="2"/>
      <c r="AS1634" s="2"/>
      <c r="AT1634" s="2"/>
      <c r="AU1634" s="2"/>
      <c r="AV1634" s="2"/>
      <c r="AW1634" s="2"/>
      <c r="AX1634" s="2"/>
      <c r="AY1634" s="2"/>
    </row>
    <row r="1635" spans="21:51" x14ac:dyDescent="0.25">
      <c r="U1635" s="2"/>
      <c r="W1635" s="5"/>
      <c r="X1635" s="5"/>
      <c r="Y1635" s="5"/>
      <c r="Z1635" s="5"/>
      <c r="AA1635" s="5"/>
      <c r="AB1635" s="5"/>
      <c r="AC1635" s="5"/>
      <c r="AD1635" s="5"/>
      <c r="AE1635" s="5"/>
      <c r="AQ1635" s="2"/>
      <c r="AR1635" s="2"/>
      <c r="AS1635" s="2"/>
      <c r="AT1635" s="2"/>
      <c r="AU1635" s="2"/>
      <c r="AV1635" s="2"/>
      <c r="AW1635" s="2"/>
      <c r="AX1635" s="2"/>
      <c r="AY1635" s="2"/>
    </row>
    <row r="1636" spans="21:51" x14ac:dyDescent="0.25">
      <c r="U1636" s="2"/>
      <c r="W1636" s="5"/>
      <c r="X1636" s="5"/>
      <c r="Y1636" s="5"/>
      <c r="Z1636" s="5"/>
      <c r="AA1636" s="5"/>
      <c r="AB1636" s="5"/>
      <c r="AC1636" s="5"/>
      <c r="AD1636" s="5"/>
      <c r="AE1636" s="5"/>
      <c r="AQ1636" s="2"/>
      <c r="AR1636" s="2"/>
      <c r="AS1636" s="2"/>
      <c r="AT1636" s="2"/>
      <c r="AU1636" s="2"/>
      <c r="AV1636" s="2"/>
      <c r="AW1636" s="2"/>
      <c r="AX1636" s="2"/>
      <c r="AY1636" s="2"/>
    </row>
    <row r="1637" spans="21:51" x14ac:dyDescent="0.25">
      <c r="U1637" s="2"/>
      <c r="W1637" s="5"/>
      <c r="X1637" s="5"/>
      <c r="Y1637" s="5"/>
      <c r="Z1637" s="5"/>
      <c r="AA1637" s="5"/>
      <c r="AB1637" s="5"/>
      <c r="AC1637" s="5"/>
      <c r="AD1637" s="5"/>
      <c r="AE1637" s="5"/>
      <c r="AQ1637" s="2"/>
      <c r="AR1637" s="2"/>
      <c r="AS1637" s="2"/>
      <c r="AT1637" s="2"/>
      <c r="AU1637" s="2"/>
      <c r="AV1637" s="2"/>
      <c r="AW1637" s="2"/>
      <c r="AX1637" s="2"/>
      <c r="AY1637" s="2"/>
    </row>
    <row r="1638" spans="21:51" x14ac:dyDescent="0.25">
      <c r="U1638" s="2"/>
      <c r="W1638" s="5"/>
      <c r="X1638" s="5"/>
      <c r="Y1638" s="5"/>
      <c r="Z1638" s="5"/>
      <c r="AA1638" s="5"/>
      <c r="AB1638" s="5"/>
      <c r="AC1638" s="5"/>
      <c r="AD1638" s="5"/>
      <c r="AE1638" s="5"/>
      <c r="AQ1638" s="2"/>
      <c r="AR1638" s="2"/>
      <c r="AS1638" s="2"/>
      <c r="AT1638" s="2"/>
      <c r="AU1638" s="2"/>
      <c r="AV1638" s="2"/>
      <c r="AW1638" s="2"/>
      <c r="AX1638" s="2"/>
      <c r="AY1638" s="2"/>
    </row>
    <row r="1639" spans="21:51" x14ac:dyDescent="0.25">
      <c r="U1639" s="2"/>
      <c r="W1639" s="5"/>
      <c r="X1639" s="5"/>
      <c r="Y1639" s="5"/>
      <c r="Z1639" s="5"/>
      <c r="AA1639" s="5"/>
      <c r="AB1639" s="5"/>
      <c r="AC1639" s="5"/>
      <c r="AD1639" s="5"/>
      <c r="AE1639" s="5"/>
      <c r="AQ1639" s="2"/>
      <c r="AR1639" s="2"/>
      <c r="AS1639" s="2"/>
      <c r="AT1639" s="2"/>
      <c r="AU1639" s="2"/>
      <c r="AV1639" s="2"/>
      <c r="AW1639" s="2"/>
      <c r="AX1639" s="2"/>
      <c r="AY1639" s="2"/>
    </row>
    <row r="1640" spans="21:51" x14ac:dyDescent="0.25">
      <c r="U1640" s="2"/>
      <c r="W1640" s="5"/>
      <c r="X1640" s="5"/>
      <c r="Y1640" s="5"/>
      <c r="Z1640" s="5"/>
      <c r="AA1640" s="5"/>
      <c r="AB1640" s="5"/>
      <c r="AC1640" s="5"/>
      <c r="AD1640" s="5"/>
      <c r="AE1640" s="5"/>
      <c r="AQ1640" s="2"/>
      <c r="AR1640" s="2"/>
      <c r="AS1640" s="2"/>
      <c r="AT1640" s="2"/>
      <c r="AU1640" s="2"/>
      <c r="AV1640" s="2"/>
      <c r="AW1640" s="2"/>
      <c r="AX1640" s="2"/>
      <c r="AY1640" s="2"/>
    </row>
    <row r="1641" spans="21:51" x14ac:dyDescent="0.25">
      <c r="U1641" s="2"/>
      <c r="W1641" s="5"/>
      <c r="X1641" s="5"/>
      <c r="Y1641" s="5"/>
      <c r="Z1641" s="5"/>
      <c r="AA1641" s="5"/>
      <c r="AB1641" s="5"/>
      <c r="AC1641" s="5"/>
      <c r="AD1641" s="5"/>
      <c r="AE1641" s="5"/>
      <c r="AQ1641" s="2"/>
      <c r="AR1641" s="2"/>
      <c r="AS1641" s="2"/>
      <c r="AT1641" s="2"/>
      <c r="AU1641" s="2"/>
      <c r="AV1641" s="2"/>
      <c r="AW1641" s="2"/>
      <c r="AX1641" s="2"/>
      <c r="AY1641" s="2"/>
    </row>
    <row r="1642" spans="21:51" x14ac:dyDescent="0.25">
      <c r="U1642" s="2"/>
      <c r="W1642" s="5"/>
      <c r="X1642" s="5"/>
      <c r="Y1642" s="5"/>
      <c r="Z1642" s="5"/>
      <c r="AA1642" s="5"/>
      <c r="AB1642" s="5"/>
      <c r="AC1642" s="5"/>
      <c r="AD1642" s="5"/>
      <c r="AE1642" s="5"/>
      <c r="AQ1642" s="2"/>
      <c r="AR1642" s="2"/>
      <c r="AS1642" s="2"/>
      <c r="AT1642" s="2"/>
      <c r="AU1642" s="2"/>
      <c r="AV1642" s="2"/>
      <c r="AW1642" s="2"/>
      <c r="AX1642" s="2"/>
      <c r="AY1642" s="2"/>
    </row>
    <row r="1643" spans="21:51" x14ac:dyDescent="0.25">
      <c r="U1643" s="2"/>
      <c r="W1643" s="5"/>
      <c r="X1643" s="5"/>
      <c r="Y1643" s="5"/>
      <c r="Z1643" s="5"/>
      <c r="AA1643" s="5"/>
      <c r="AB1643" s="5"/>
      <c r="AC1643" s="5"/>
      <c r="AD1643" s="5"/>
      <c r="AE1643" s="5"/>
      <c r="AQ1643" s="2"/>
      <c r="AR1643" s="2"/>
      <c r="AS1643" s="2"/>
      <c r="AT1643" s="2"/>
      <c r="AU1643" s="2"/>
      <c r="AV1643" s="2"/>
      <c r="AW1643" s="2"/>
      <c r="AX1643" s="2"/>
      <c r="AY1643" s="2"/>
    </row>
    <row r="1644" spans="21:51" x14ac:dyDescent="0.25">
      <c r="U1644" s="2"/>
      <c r="W1644" s="5"/>
      <c r="X1644" s="5"/>
      <c r="Y1644" s="5"/>
      <c r="Z1644" s="5"/>
      <c r="AA1644" s="5"/>
      <c r="AB1644" s="5"/>
      <c r="AC1644" s="5"/>
      <c r="AD1644" s="5"/>
      <c r="AE1644" s="5"/>
      <c r="AQ1644" s="2"/>
      <c r="AR1644" s="2"/>
      <c r="AS1644" s="2"/>
      <c r="AT1644" s="2"/>
      <c r="AU1644" s="2"/>
      <c r="AV1644" s="2"/>
      <c r="AW1644" s="2"/>
      <c r="AX1644" s="2"/>
      <c r="AY1644" s="2"/>
    </row>
    <row r="1645" spans="21:51" x14ac:dyDescent="0.25">
      <c r="U1645" s="2"/>
      <c r="W1645" s="5"/>
      <c r="X1645" s="5"/>
      <c r="Y1645" s="5"/>
      <c r="Z1645" s="5"/>
      <c r="AA1645" s="5"/>
      <c r="AB1645" s="5"/>
      <c r="AC1645" s="5"/>
      <c r="AD1645" s="5"/>
      <c r="AE1645" s="5"/>
      <c r="AQ1645" s="2"/>
      <c r="AR1645" s="2"/>
      <c r="AS1645" s="2"/>
      <c r="AT1645" s="2"/>
      <c r="AU1645" s="2"/>
      <c r="AV1645" s="2"/>
      <c r="AW1645" s="2"/>
      <c r="AX1645" s="2"/>
      <c r="AY1645" s="2"/>
    </row>
    <row r="1646" spans="21:51" x14ac:dyDescent="0.25">
      <c r="U1646" s="2"/>
      <c r="W1646" s="5"/>
      <c r="X1646" s="5"/>
      <c r="Y1646" s="5"/>
      <c r="Z1646" s="5"/>
      <c r="AA1646" s="5"/>
      <c r="AB1646" s="5"/>
      <c r="AC1646" s="5"/>
      <c r="AD1646" s="5"/>
      <c r="AE1646" s="5"/>
      <c r="AQ1646" s="2"/>
      <c r="AR1646" s="2"/>
      <c r="AS1646" s="2"/>
      <c r="AT1646" s="2"/>
      <c r="AU1646" s="2"/>
      <c r="AV1646" s="2"/>
      <c r="AW1646" s="2"/>
      <c r="AX1646" s="2"/>
      <c r="AY1646" s="2"/>
    </row>
    <row r="1647" spans="21:51" x14ac:dyDescent="0.25">
      <c r="U1647" s="2"/>
      <c r="W1647" s="5"/>
      <c r="X1647" s="5"/>
      <c r="Y1647" s="5"/>
      <c r="Z1647" s="5"/>
      <c r="AA1647" s="5"/>
      <c r="AB1647" s="5"/>
      <c r="AC1647" s="5"/>
      <c r="AD1647" s="5"/>
      <c r="AE1647" s="5"/>
      <c r="AQ1647" s="2"/>
      <c r="AR1647" s="2"/>
      <c r="AS1647" s="2"/>
      <c r="AT1647" s="2"/>
      <c r="AU1647" s="2"/>
      <c r="AV1647" s="2"/>
      <c r="AW1647" s="2"/>
      <c r="AX1647" s="2"/>
      <c r="AY1647" s="2"/>
    </row>
    <row r="1648" spans="21:51" x14ac:dyDescent="0.25">
      <c r="U1648" s="2"/>
      <c r="W1648" s="5"/>
      <c r="X1648" s="5"/>
      <c r="Y1648" s="5"/>
      <c r="Z1648" s="5"/>
      <c r="AA1648" s="5"/>
      <c r="AB1648" s="5"/>
      <c r="AC1648" s="5"/>
      <c r="AD1648" s="5"/>
      <c r="AE1648" s="5"/>
      <c r="AQ1648" s="2"/>
      <c r="AR1648" s="2"/>
      <c r="AS1648" s="2"/>
      <c r="AT1648" s="2"/>
      <c r="AU1648" s="2"/>
      <c r="AV1648" s="2"/>
      <c r="AW1648" s="2"/>
      <c r="AX1648" s="2"/>
      <c r="AY1648" s="2"/>
    </row>
    <row r="1649" spans="21:51" x14ac:dyDescent="0.25">
      <c r="U1649" s="2"/>
      <c r="W1649" s="5"/>
      <c r="X1649" s="5"/>
      <c r="Y1649" s="5"/>
      <c r="Z1649" s="5"/>
      <c r="AA1649" s="5"/>
      <c r="AB1649" s="5"/>
      <c r="AC1649" s="5"/>
      <c r="AD1649" s="5"/>
      <c r="AE1649" s="5"/>
      <c r="AQ1649" s="2"/>
      <c r="AR1649" s="2"/>
      <c r="AS1649" s="2"/>
      <c r="AT1649" s="2"/>
      <c r="AU1649" s="2"/>
      <c r="AV1649" s="2"/>
      <c r="AW1649" s="2"/>
      <c r="AX1649" s="2"/>
      <c r="AY1649" s="2"/>
    </row>
    <row r="1650" spans="21:51" x14ac:dyDescent="0.25">
      <c r="U1650" s="2"/>
      <c r="W1650" s="5"/>
      <c r="X1650" s="5"/>
      <c r="Y1650" s="5"/>
      <c r="Z1650" s="5"/>
      <c r="AA1650" s="5"/>
      <c r="AB1650" s="5"/>
      <c r="AC1650" s="5"/>
      <c r="AD1650" s="5"/>
      <c r="AE1650" s="5"/>
      <c r="AQ1650" s="2"/>
      <c r="AR1650" s="2"/>
      <c r="AS1650" s="2"/>
      <c r="AT1650" s="2"/>
      <c r="AU1650" s="2"/>
      <c r="AV1650" s="2"/>
      <c r="AW1650" s="2"/>
      <c r="AX1650" s="2"/>
      <c r="AY1650" s="2"/>
    </row>
    <row r="1651" spans="21:51" x14ac:dyDescent="0.25">
      <c r="U1651" s="2"/>
      <c r="W1651" s="5"/>
      <c r="X1651" s="5"/>
      <c r="Y1651" s="5"/>
      <c r="Z1651" s="5"/>
      <c r="AA1651" s="5"/>
      <c r="AB1651" s="5"/>
      <c r="AC1651" s="5"/>
      <c r="AD1651" s="5"/>
      <c r="AE1651" s="5"/>
      <c r="AQ1651" s="2"/>
      <c r="AR1651" s="2"/>
      <c r="AS1651" s="2"/>
      <c r="AT1651" s="2"/>
      <c r="AU1651" s="2"/>
      <c r="AV1651" s="2"/>
      <c r="AW1651" s="2"/>
      <c r="AX1651" s="2"/>
      <c r="AY1651" s="2"/>
    </row>
    <row r="1652" spans="21:51" x14ac:dyDescent="0.25">
      <c r="U1652" s="2"/>
      <c r="W1652" s="5"/>
      <c r="X1652" s="5"/>
      <c r="Y1652" s="5"/>
      <c r="Z1652" s="5"/>
      <c r="AA1652" s="5"/>
      <c r="AB1652" s="5"/>
      <c r="AC1652" s="5"/>
      <c r="AD1652" s="5"/>
      <c r="AE1652" s="5"/>
      <c r="AQ1652" s="2"/>
      <c r="AR1652" s="2"/>
      <c r="AS1652" s="2"/>
      <c r="AT1652" s="2"/>
      <c r="AU1652" s="2"/>
      <c r="AV1652" s="2"/>
      <c r="AW1652" s="2"/>
      <c r="AX1652" s="2"/>
      <c r="AY1652" s="2"/>
    </row>
    <row r="1653" spans="21:51" x14ac:dyDescent="0.25">
      <c r="U1653" s="2"/>
      <c r="W1653" s="5"/>
      <c r="X1653" s="5"/>
      <c r="Y1653" s="5"/>
      <c r="Z1653" s="5"/>
      <c r="AA1653" s="5"/>
      <c r="AB1653" s="5"/>
      <c r="AC1653" s="5"/>
      <c r="AD1653" s="5"/>
      <c r="AE1653" s="5"/>
      <c r="AQ1653" s="2"/>
      <c r="AR1653" s="2"/>
      <c r="AS1653" s="2"/>
      <c r="AT1653" s="2"/>
      <c r="AU1653" s="2"/>
      <c r="AV1653" s="2"/>
      <c r="AW1653" s="2"/>
      <c r="AX1653" s="2"/>
      <c r="AY1653" s="2"/>
    </row>
    <row r="1654" spans="21:51" x14ac:dyDescent="0.25">
      <c r="U1654" s="2"/>
      <c r="W1654" s="5"/>
      <c r="X1654" s="5"/>
      <c r="Y1654" s="5"/>
      <c r="Z1654" s="5"/>
      <c r="AA1654" s="5"/>
      <c r="AB1654" s="5"/>
      <c r="AC1654" s="5"/>
      <c r="AD1654" s="5"/>
      <c r="AE1654" s="5"/>
      <c r="AQ1654" s="2"/>
      <c r="AR1654" s="2"/>
      <c r="AS1654" s="2"/>
      <c r="AT1654" s="2"/>
      <c r="AU1654" s="2"/>
      <c r="AV1654" s="2"/>
      <c r="AW1654" s="2"/>
      <c r="AX1654" s="2"/>
      <c r="AY1654" s="2"/>
    </row>
    <row r="1655" spans="21:51" x14ac:dyDescent="0.25">
      <c r="U1655" s="2"/>
      <c r="W1655" s="5"/>
      <c r="X1655" s="5"/>
      <c r="Y1655" s="5"/>
      <c r="Z1655" s="5"/>
      <c r="AA1655" s="5"/>
      <c r="AB1655" s="5"/>
      <c r="AC1655" s="5"/>
      <c r="AD1655" s="5"/>
      <c r="AE1655" s="5"/>
      <c r="AQ1655" s="2"/>
      <c r="AR1655" s="2"/>
      <c r="AS1655" s="2"/>
      <c r="AT1655" s="2"/>
      <c r="AU1655" s="2"/>
      <c r="AV1655" s="2"/>
      <c r="AW1655" s="2"/>
      <c r="AX1655" s="2"/>
      <c r="AY1655" s="2"/>
    </row>
    <row r="1656" spans="21:51" x14ac:dyDescent="0.25">
      <c r="U1656" s="2"/>
      <c r="W1656" s="5"/>
      <c r="X1656" s="5"/>
      <c r="Y1656" s="5"/>
      <c r="Z1656" s="5"/>
      <c r="AA1656" s="5"/>
      <c r="AB1656" s="5"/>
      <c r="AC1656" s="5"/>
      <c r="AD1656" s="5"/>
      <c r="AE1656" s="5"/>
      <c r="AQ1656" s="2"/>
      <c r="AR1656" s="2"/>
      <c r="AS1656" s="2"/>
      <c r="AT1656" s="2"/>
      <c r="AU1656" s="2"/>
      <c r="AV1656" s="2"/>
      <c r="AW1656" s="2"/>
      <c r="AX1656" s="2"/>
      <c r="AY1656" s="2"/>
    </row>
    <row r="1657" spans="21:51" x14ac:dyDescent="0.25">
      <c r="U1657" s="2"/>
      <c r="W1657" s="5"/>
      <c r="X1657" s="5"/>
      <c r="Y1657" s="5"/>
      <c r="Z1657" s="5"/>
      <c r="AA1657" s="5"/>
      <c r="AB1657" s="5"/>
      <c r="AC1657" s="5"/>
      <c r="AD1657" s="5"/>
      <c r="AE1657" s="5"/>
      <c r="AQ1657" s="2"/>
      <c r="AR1657" s="2"/>
      <c r="AS1657" s="2"/>
      <c r="AT1657" s="2"/>
      <c r="AU1657" s="2"/>
      <c r="AV1657" s="2"/>
      <c r="AW1657" s="2"/>
      <c r="AX1657" s="2"/>
      <c r="AY1657" s="2"/>
    </row>
    <row r="1658" spans="21:51" x14ac:dyDescent="0.25">
      <c r="U1658" s="2"/>
      <c r="W1658" s="5"/>
      <c r="X1658" s="5"/>
      <c r="Y1658" s="5"/>
      <c r="Z1658" s="5"/>
      <c r="AA1658" s="5"/>
      <c r="AB1658" s="5"/>
      <c r="AC1658" s="5"/>
      <c r="AD1658" s="5"/>
      <c r="AE1658" s="5"/>
      <c r="AQ1658" s="2"/>
      <c r="AR1658" s="2"/>
      <c r="AS1658" s="2"/>
      <c r="AT1658" s="2"/>
      <c r="AU1658" s="2"/>
      <c r="AV1658" s="2"/>
      <c r="AW1658" s="2"/>
      <c r="AX1658" s="2"/>
      <c r="AY1658" s="2"/>
    </row>
    <row r="1659" spans="21:51" x14ac:dyDescent="0.25">
      <c r="U1659" s="2"/>
      <c r="W1659" s="5"/>
      <c r="X1659" s="5"/>
      <c r="Y1659" s="5"/>
      <c r="Z1659" s="5"/>
      <c r="AA1659" s="5"/>
      <c r="AB1659" s="5"/>
      <c r="AC1659" s="5"/>
      <c r="AD1659" s="5"/>
      <c r="AE1659" s="5"/>
      <c r="AQ1659" s="2"/>
      <c r="AR1659" s="2"/>
      <c r="AS1659" s="2"/>
      <c r="AT1659" s="2"/>
      <c r="AU1659" s="2"/>
      <c r="AV1659" s="2"/>
      <c r="AW1659" s="2"/>
      <c r="AX1659" s="2"/>
      <c r="AY1659" s="2"/>
    </row>
    <row r="1660" spans="21:51" x14ac:dyDescent="0.25">
      <c r="U1660" s="2"/>
      <c r="W1660" s="5"/>
      <c r="X1660" s="5"/>
      <c r="Y1660" s="5"/>
      <c r="Z1660" s="5"/>
      <c r="AA1660" s="5"/>
      <c r="AB1660" s="5"/>
      <c r="AC1660" s="5"/>
      <c r="AD1660" s="5"/>
      <c r="AE1660" s="5"/>
      <c r="AQ1660" s="2"/>
      <c r="AR1660" s="2"/>
      <c r="AS1660" s="2"/>
      <c r="AT1660" s="2"/>
      <c r="AU1660" s="2"/>
      <c r="AV1660" s="2"/>
      <c r="AW1660" s="2"/>
      <c r="AX1660" s="2"/>
      <c r="AY1660" s="2"/>
    </row>
    <row r="1661" spans="21:51" x14ac:dyDescent="0.25">
      <c r="U1661" s="2"/>
      <c r="W1661" s="5"/>
      <c r="X1661" s="5"/>
      <c r="Y1661" s="5"/>
      <c r="Z1661" s="5"/>
      <c r="AA1661" s="5"/>
      <c r="AB1661" s="5"/>
      <c r="AC1661" s="5"/>
      <c r="AD1661" s="5"/>
      <c r="AE1661" s="5"/>
      <c r="AQ1661" s="2"/>
      <c r="AR1661" s="2"/>
      <c r="AS1661" s="2"/>
      <c r="AT1661" s="2"/>
      <c r="AU1661" s="2"/>
      <c r="AV1661" s="2"/>
      <c r="AW1661" s="2"/>
      <c r="AX1661" s="2"/>
      <c r="AY1661" s="2"/>
    </row>
    <row r="1662" spans="21:51" x14ac:dyDescent="0.25">
      <c r="U1662" s="2"/>
      <c r="W1662" s="5"/>
      <c r="X1662" s="5"/>
      <c r="Y1662" s="5"/>
      <c r="Z1662" s="5"/>
      <c r="AA1662" s="5"/>
      <c r="AB1662" s="5"/>
      <c r="AC1662" s="5"/>
      <c r="AD1662" s="5"/>
      <c r="AE1662" s="5"/>
      <c r="AQ1662" s="2"/>
      <c r="AR1662" s="2"/>
      <c r="AS1662" s="2"/>
      <c r="AT1662" s="2"/>
      <c r="AU1662" s="2"/>
      <c r="AV1662" s="2"/>
      <c r="AW1662" s="2"/>
      <c r="AX1662" s="2"/>
      <c r="AY1662" s="2"/>
    </row>
    <row r="1663" spans="21:51" x14ac:dyDescent="0.25">
      <c r="U1663" s="2"/>
      <c r="W1663" s="5"/>
      <c r="X1663" s="5"/>
      <c r="Y1663" s="5"/>
      <c r="Z1663" s="5"/>
      <c r="AA1663" s="5"/>
      <c r="AB1663" s="5"/>
      <c r="AC1663" s="5"/>
      <c r="AD1663" s="5"/>
      <c r="AE1663" s="5"/>
      <c r="AQ1663" s="2"/>
      <c r="AR1663" s="2"/>
      <c r="AS1663" s="2"/>
      <c r="AT1663" s="2"/>
      <c r="AU1663" s="2"/>
      <c r="AV1663" s="2"/>
      <c r="AW1663" s="2"/>
      <c r="AX1663" s="2"/>
      <c r="AY1663" s="2"/>
    </row>
    <row r="1664" spans="21:51" x14ac:dyDescent="0.25">
      <c r="U1664" s="2"/>
      <c r="W1664" s="5"/>
      <c r="X1664" s="5"/>
      <c r="Y1664" s="5"/>
      <c r="Z1664" s="5"/>
      <c r="AA1664" s="5"/>
      <c r="AB1664" s="5"/>
      <c r="AC1664" s="5"/>
      <c r="AD1664" s="5"/>
      <c r="AE1664" s="5"/>
      <c r="AQ1664" s="2"/>
      <c r="AR1664" s="2"/>
      <c r="AS1664" s="2"/>
      <c r="AT1664" s="2"/>
      <c r="AU1664" s="2"/>
      <c r="AV1664" s="2"/>
      <c r="AW1664" s="2"/>
      <c r="AX1664" s="2"/>
      <c r="AY1664" s="2"/>
    </row>
    <row r="1665" spans="21:51" x14ac:dyDescent="0.25">
      <c r="U1665" s="2"/>
      <c r="W1665" s="5"/>
      <c r="X1665" s="5"/>
      <c r="Y1665" s="5"/>
      <c r="Z1665" s="5"/>
      <c r="AA1665" s="5"/>
      <c r="AB1665" s="5"/>
      <c r="AC1665" s="5"/>
      <c r="AD1665" s="5"/>
      <c r="AE1665" s="5"/>
      <c r="AQ1665" s="2"/>
      <c r="AR1665" s="2"/>
      <c r="AS1665" s="2"/>
      <c r="AT1665" s="2"/>
      <c r="AU1665" s="2"/>
      <c r="AV1665" s="2"/>
      <c r="AW1665" s="2"/>
      <c r="AX1665" s="2"/>
      <c r="AY1665" s="2"/>
    </row>
    <row r="1666" spans="21:51" x14ac:dyDescent="0.25">
      <c r="U1666" s="2"/>
      <c r="W1666" s="5"/>
      <c r="X1666" s="5"/>
      <c r="Y1666" s="5"/>
      <c r="Z1666" s="5"/>
      <c r="AA1666" s="5"/>
      <c r="AB1666" s="5"/>
      <c r="AC1666" s="5"/>
      <c r="AD1666" s="5"/>
      <c r="AE1666" s="5"/>
      <c r="AQ1666" s="2"/>
      <c r="AR1666" s="2"/>
      <c r="AS1666" s="2"/>
      <c r="AT1666" s="2"/>
      <c r="AU1666" s="2"/>
      <c r="AV1666" s="2"/>
      <c r="AW1666" s="2"/>
      <c r="AX1666" s="2"/>
      <c r="AY1666" s="2"/>
    </row>
    <row r="1667" spans="21:51" x14ac:dyDescent="0.25">
      <c r="U1667" s="2"/>
      <c r="W1667" s="5"/>
      <c r="X1667" s="5"/>
      <c r="Y1667" s="5"/>
      <c r="Z1667" s="5"/>
      <c r="AA1667" s="5"/>
      <c r="AB1667" s="5"/>
      <c r="AC1667" s="5"/>
      <c r="AD1667" s="5"/>
      <c r="AE1667" s="5"/>
      <c r="AQ1667" s="2"/>
      <c r="AR1667" s="2"/>
      <c r="AS1667" s="2"/>
      <c r="AT1667" s="2"/>
      <c r="AU1667" s="2"/>
      <c r="AV1667" s="2"/>
      <c r="AW1667" s="2"/>
      <c r="AX1667" s="2"/>
      <c r="AY1667" s="2"/>
    </row>
    <row r="1668" spans="21:51" x14ac:dyDescent="0.25">
      <c r="U1668" s="2"/>
      <c r="W1668" s="5"/>
      <c r="X1668" s="5"/>
      <c r="Y1668" s="5"/>
      <c r="Z1668" s="5"/>
      <c r="AA1668" s="5"/>
      <c r="AB1668" s="5"/>
      <c r="AC1668" s="5"/>
      <c r="AD1668" s="5"/>
      <c r="AE1668" s="5"/>
      <c r="AQ1668" s="2"/>
      <c r="AR1668" s="2"/>
      <c r="AS1668" s="2"/>
      <c r="AT1668" s="2"/>
      <c r="AU1668" s="2"/>
      <c r="AV1668" s="2"/>
      <c r="AW1668" s="2"/>
      <c r="AX1668" s="2"/>
      <c r="AY1668" s="2"/>
    </row>
    <row r="1669" spans="21:51" x14ac:dyDescent="0.25">
      <c r="U1669" s="2"/>
      <c r="W1669" s="5"/>
      <c r="X1669" s="5"/>
      <c r="Y1669" s="5"/>
      <c r="Z1669" s="5"/>
      <c r="AA1669" s="5"/>
      <c r="AB1669" s="5"/>
      <c r="AC1669" s="5"/>
      <c r="AD1669" s="5"/>
      <c r="AE1669" s="5"/>
      <c r="AQ1669" s="2"/>
      <c r="AR1669" s="2"/>
      <c r="AS1669" s="2"/>
      <c r="AT1669" s="2"/>
      <c r="AU1669" s="2"/>
      <c r="AV1669" s="2"/>
      <c r="AW1669" s="2"/>
      <c r="AX1669" s="2"/>
      <c r="AY1669" s="2"/>
    </row>
    <row r="1670" spans="21:51" x14ac:dyDescent="0.25">
      <c r="U1670" s="2"/>
      <c r="W1670" s="5"/>
      <c r="X1670" s="5"/>
      <c r="Y1670" s="5"/>
      <c r="Z1670" s="5"/>
      <c r="AA1670" s="5"/>
      <c r="AB1670" s="5"/>
      <c r="AC1670" s="5"/>
      <c r="AD1670" s="5"/>
      <c r="AE1670" s="5"/>
      <c r="AQ1670" s="2"/>
      <c r="AR1670" s="2"/>
      <c r="AS1670" s="2"/>
      <c r="AT1670" s="2"/>
      <c r="AU1670" s="2"/>
      <c r="AV1670" s="2"/>
      <c r="AW1670" s="2"/>
      <c r="AX1670" s="2"/>
      <c r="AY1670" s="2"/>
    </row>
    <row r="1671" spans="21:51" x14ac:dyDescent="0.25">
      <c r="U1671" s="2"/>
      <c r="W1671" s="5"/>
      <c r="X1671" s="5"/>
      <c r="Y1671" s="5"/>
      <c r="Z1671" s="5"/>
      <c r="AA1671" s="5"/>
      <c r="AB1671" s="5"/>
      <c r="AC1671" s="5"/>
      <c r="AD1671" s="5"/>
      <c r="AE1671" s="5"/>
      <c r="AQ1671" s="2"/>
      <c r="AR1671" s="2"/>
      <c r="AS1671" s="2"/>
      <c r="AT1671" s="2"/>
      <c r="AU1671" s="2"/>
      <c r="AV1671" s="2"/>
      <c r="AW1671" s="2"/>
      <c r="AX1671" s="2"/>
      <c r="AY1671" s="2"/>
    </row>
    <row r="1672" spans="21:51" x14ac:dyDescent="0.25">
      <c r="U1672" s="2"/>
      <c r="W1672" s="5"/>
      <c r="X1672" s="5"/>
      <c r="Y1672" s="5"/>
      <c r="Z1672" s="5"/>
      <c r="AA1672" s="5"/>
      <c r="AB1672" s="5"/>
      <c r="AC1672" s="5"/>
      <c r="AD1672" s="5"/>
      <c r="AE1672" s="5"/>
      <c r="AQ1672" s="2"/>
      <c r="AR1672" s="2"/>
      <c r="AS1672" s="2"/>
      <c r="AT1672" s="2"/>
      <c r="AU1672" s="2"/>
      <c r="AV1672" s="2"/>
      <c r="AW1672" s="2"/>
      <c r="AX1672" s="2"/>
      <c r="AY1672" s="2"/>
    </row>
    <row r="1673" spans="21:51" x14ac:dyDescent="0.25">
      <c r="U1673" s="2"/>
      <c r="W1673" s="5"/>
      <c r="X1673" s="5"/>
      <c r="Y1673" s="5"/>
      <c r="Z1673" s="5"/>
      <c r="AA1673" s="5"/>
      <c r="AB1673" s="5"/>
      <c r="AC1673" s="5"/>
      <c r="AD1673" s="5"/>
      <c r="AE1673" s="5"/>
      <c r="AQ1673" s="2"/>
      <c r="AR1673" s="2"/>
      <c r="AS1673" s="2"/>
      <c r="AT1673" s="2"/>
      <c r="AU1673" s="2"/>
      <c r="AV1673" s="2"/>
      <c r="AW1673" s="2"/>
      <c r="AX1673" s="2"/>
      <c r="AY1673" s="2"/>
    </row>
    <row r="1674" spans="21:51" x14ac:dyDescent="0.25">
      <c r="U1674" s="2"/>
      <c r="W1674" s="5"/>
      <c r="X1674" s="5"/>
      <c r="Y1674" s="5"/>
      <c r="Z1674" s="5"/>
      <c r="AA1674" s="5"/>
      <c r="AB1674" s="5"/>
      <c r="AC1674" s="5"/>
      <c r="AD1674" s="5"/>
      <c r="AE1674" s="5"/>
      <c r="AQ1674" s="2"/>
      <c r="AR1674" s="2"/>
      <c r="AS1674" s="2"/>
      <c r="AT1674" s="2"/>
      <c r="AU1674" s="2"/>
      <c r="AV1674" s="2"/>
      <c r="AW1674" s="2"/>
      <c r="AX1674" s="2"/>
      <c r="AY1674" s="2"/>
    </row>
    <row r="1675" spans="21:51" x14ac:dyDescent="0.25">
      <c r="U1675" s="2"/>
      <c r="W1675" s="5"/>
      <c r="X1675" s="5"/>
      <c r="Y1675" s="5"/>
      <c r="Z1675" s="5"/>
      <c r="AA1675" s="5"/>
      <c r="AB1675" s="5"/>
      <c r="AC1675" s="5"/>
      <c r="AD1675" s="5"/>
      <c r="AE1675" s="5"/>
      <c r="AQ1675" s="2"/>
      <c r="AR1675" s="2"/>
      <c r="AS1675" s="2"/>
      <c r="AT1675" s="2"/>
      <c r="AU1675" s="2"/>
      <c r="AV1675" s="2"/>
      <c r="AW1675" s="2"/>
      <c r="AX1675" s="2"/>
      <c r="AY1675" s="2"/>
    </row>
    <row r="1676" spans="21:51" x14ac:dyDescent="0.25">
      <c r="U1676" s="2"/>
      <c r="W1676" s="5"/>
      <c r="X1676" s="5"/>
      <c r="Y1676" s="5"/>
      <c r="Z1676" s="5"/>
      <c r="AA1676" s="5"/>
      <c r="AB1676" s="5"/>
      <c r="AC1676" s="5"/>
      <c r="AD1676" s="5"/>
      <c r="AE1676" s="5"/>
      <c r="AQ1676" s="2"/>
      <c r="AR1676" s="2"/>
      <c r="AS1676" s="2"/>
      <c r="AT1676" s="2"/>
      <c r="AU1676" s="2"/>
      <c r="AV1676" s="2"/>
      <c r="AW1676" s="2"/>
      <c r="AX1676" s="2"/>
      <c r="AY1676" s="2"/>
    </row>
    <row r="1677" spans="21:51" x14ac:dyDescent="0.25">
      <c r="U1677" s="2"/>
      <c r="W1677" s="5"/>
      <c r="X1677" s="5"/>
      <c r="Y1677" s="5"/>
      <c r="Z1677" s="5"/>
      <c r="AA1677" s="5"/>
      <c r="AB1677" s="5"/>
      <c r="AC1677" s="5"/>
      <c r="AD1677" s="5"/>
      <c r="AE1677" s="5"/>
      <c r="AQ1677" s="2"/>
      <c r="AR1677" s="2"/>
      <c r="AS1677" s="2"/>
      <c r="AT1677" s="2"/>
      <c r="AU1677" s="2"/>
      <c r="AV1677" s="2"/>
      <c r="AW1677" s="2"/>
      <c r="AX1677" s="2"/>
      <c r="AY1677" s="2"/>
    </row>
    <row r="1678" spans="21:51" x14ac:dyDescent="0.25">
      <c r="U1678" s="2"/>
      <c r="W1678" s="5"/>
      <c r="X1678" s="5"/>
      <c r="Y1678" s="5"/>
      <c r="Z1678" s="5"/>
      <c r="AA1678" s="5"/>
      <c r="AB1678" s="5"/>
      <c r="AC1678" s="5"/>
      <c r="AD1678" s="5"/>
      <c r="AE1678" s="5"/>
      <c r="AQ1678" s="2"/>
      <c r="AR1678" s="2"/>
      <c r="AS1678" s="2"/>
      <c r="AT1678" s="2"/>
      <c r="AU1678" s="2"/>
      <c r="AV1678" s="2"/>
      <c r="AW1678" s="2"/>
      <c r="AX1678" s="2"/>
      <c r="AY1678" s="2"/>
    </row>
    <row r="1679" spans="21:51" x14ac:dyDescent="0.25">
      <c r="U1679" s="2"/>
      <c r="W1679" s="5"/>
      <c r="X1679" s="5"/>
      <c r="Y1679" s="5"/>
      <c r="Z1679" s="5"/>
      <c r="AA1679" s="5"/>
      <c r="AB1679" s="5"/>
      <c r="AC1679" s="5"/>
      <c r="AD1679" s="5"/>
      <c r="AE1679" s="5"/>
      <c r="AQ1679" s="2"/>
      <c r="AR1679" s="2"/>
      <c r="AS1679" s="2"/>
      <c r="AT1679" s="2"/>
      <c r="AU1679" s="2"/>
      <c r="AV1679" s="2"/>
      <c r="AW1679" s="2"/>
      <c r="AX1679" s="2"/>
      <c r="AY1679" s="2"/>
    </row>
    <row r="1680" spans="21:51" x14ac:dyDescent="0.25">
      <c r="U1680" s="2"/>
      <c r="W1680" s="5"/>
      <c r="X1680" s="5"/>
      <c r="Y1680" s="5"/>
      <c r="Z1680" s="5"/>
      <c r="AA1680" s="5"/>
      <c r="AB1680" s="5"/>
      <c r="AC1680" s="5"/>
      <c r="AD1680" s="5"/>
      <c r="AE1680" s="5"/>
      <c r="AQ1680" s="2"/>
      <c r="AR1680" s="2"/>
      <c r="AS1680" s="2"/>
      <c r="AT1680" s="2"/>
      <c r="AU1680" s="2"/>
      <c r="AV1680" s="2"/>
      <c r="AW1680" s="2"/>
      <c r="AX1680" s="2"/>
      <c r="AY1680" s="2"/>
    </row>
    <row r="1681" spans="21:51" x14ac:dyDescent="0.25">
      <c r="U1681" s="2"/>
      <c r="W1681" s="5"/>
      <c r="X1681" s="5"/>
      <c r="Y1681" s="5"/>
      <c r="Z1681" s="5"/>
      <c r="AA1681" s="5"/>
      <c r="AB1681" s="5"/>
      <c r="AC1681" s="5"/>
      <c r="AD1681" s="5"/>
      <c r="AE1681" s="5"/>
      <c r="AQ1681" s="2"/>
      <c r="AR1681" s="2"/>
      <c r="AS1681" s="2"/>
      <c r="AT1681" s="2"/>
      <c r="AU1681" s="2"/>
      <c r="AV1681" s="2"/>
      <c r="AW1681" s="2"/>
      <c r="AX1681" s="2"/>
      <c r="AY1681" s="2"/>
    </row>
    <row r="1682" spans="21:51" x14ac:dyDescent="0.25">
      <c r="U1682" s="2"/>
      <c r="W1682" s="5"/>
      <c r="X1682" s="5"/>
      <c r="Y1682" s="5"/>
      <c r="Z1682" s="5"/>
      <c r="AA1682" s="5"/>
      <c r="AB1682" s="5"/>
      <c r="AC1682" s="5"/>
      <c r="AD1682" s="5"/>
      <c r="AE1682" s="5"/>
      <c r="AQ1682" s="2"/>
      <c r="AR1682" s="2"/>
      <c r="AS1682" s="2"/>
      <c r="AT1682" s="2"/>
      <c r="AU1682" s="2"/>
      <c r="AV1682" s="2"/>
      <c r="AW1682" s="2"/>
      <c r="AX1682" s="2"/>
      <c r="AY1682" s="2"/>
    </row>
    <row r="1683" spans="21:51" x14ac:dyDescent="0.25">
      <c r="U1683" s="2"/>
      <c r="W1683" s="5"/>
      <c r="X1683" s="5"/>
      <c r="Y1683" s="5"/>
      <c r="Z1683" s="5"/>
      <c r="AA1683" s="5"/>
      <c r="AB1683" s="5"/>
      <c r="AC1683" s="5"/>
      <c r="AD1683" s="5"/>
      <c r="AE1683" s="5"/>
      <c r="AQ1683" s="2"/>
      <c r="AR1683" s="2"/>
      <c r="AS1683" s="2"/>
      <c r="AT1683" s="2"/>
      <c r="AU1683" s="2"/>
      <c r="AV1683" s="2"/>
      <c r="AW1683" s="2"/>
      <c r="AX1683" s="2"/>
      <c r="AY1683" s="2"/>
    </row>
    <row r="1684" spans="21:51" x14ac:dyDescent="0.25">
      <c r="U1684" s="2"/>
      <c r="W1684" s="5"/>
      <c r="X1684" s="5"/>
      <c r="Y1684" s="5"/>
      <c r="Z1684" s="5"/>
      <c r="AA1684" s="5"/>
      <c r="AB1684" s="5"/>
      <c r="AC1684" s="5"/>
      <c r="AD1684" s="5"/>
      <c r="AE1684" s="5"/>
      <c r="AQ1684" s="2"/>
      <c r="AR1684" s="2"/>
      <c r="AS1684" s="2"/>
      <c r="AT1684" s="2"/>
      <c r="AU1684" s="2"/>
      <c r="AV1684" s="2"/>
      <c r="AW1684" s="2"/>
      <c r="AX1684" s="2"/>
      <c r="AY1684" s="2"/>
    </row>
    <row r="1685" spans="21:51" x14ac:dyDescent="0.25">
      <c r="U1685" s="2"/>
      <c r="W1685" s="5"/>
      <c r="X1685" s="5"/>
      <c r="Y1685" s="5"/>
      <c r="Z1685" s="5"/>
      <c r="AA1685" s="5"/>
      <c r="AB1685" s="5"/>
      <c r="AC1685" s="5"/>
      <c r="AD1685" s="5"/>
      <c r="AE1685" s="5"/>
      <c r="AQ1685" s="2"/>
      <c r="AR1685" s="2"/>
      <c r="AS1685" s="2"/>
      <c r="AT1685" s="2"/>
      <c r="AU1685" s="2"/>
      <c r="AV1685" s="2"/>
      <c r="AW1685" s="2"/>
      <c r="AX1685" s="2"/>
      <c r="AY1685" s="2"/>
    </row>
    <row r="1686" spans="21:51" x14ac:dyDescent="0.25">
      <c r="U1686" s="2"/>
      <c r="W1686" s="5"/>
      <c r="X1686" s="5"/>
      <c r="Y1686" s="5"/>
      <c r="Z1686" s="5"/>
      <c r="AA1686" s="5"/>
      <c r="AB1686" s="5"/>
      <c r="AC1686" s="5"/>
      <c r="AD1686" s="5"/>
      <c r="AE1686" s="5"/>
      <c r="AQ1686" s="2"/>
      <c r="AR1686" s="2"/>
      <c r="AS1686" s="2"/>
      <c r="AT1686" s="2"/>
      <c r="AU1686" s="2"/>
      <c r="AV1686" s="2"/>
      <c r="AW1686" s="2"/>
      <c r="AX1686" s="2"/>
      <c r="AY1686" s="2"/>
    </row>
    <row r="1687" spans="21:51" x14ac:dyDescent="0.25">
      <c r="U1687" s="2"/>
      <c r="W1687" s="5"/>
      <c r="X1687" s="5"/>
      <c r="Y1687" s="5"/>
      <c r="Z1687" s="5"/>
      <c r="AA1687" s="5"/>
      <c r="AB1687" s="5"/>
      <c r="AC1687" s="5"/>
      <c r="AD1687" s="5"/>
      <c r="AE1687" s="5"/>
      <c r="AQ1687" s="2"/>
      <c r="AR1687" s="2"/>
      <c r="AS1687" s="2"/>
      <c r="AT1687" s="2"/>
      <c r="AU1687" s="2"/>
      <c r="AV1687" s="2"/>
      <c r="AW1687" s="2"/>
      <c r="AX1687" s="2"/>
      <c r="AY1687" s="2"/>
    </row>
    <row r="1688" spans="21:51" x14ac:dyDescent="0.25">
      <c r="U1688" s="2"/>
      <c r="W1688" s="5"/>
      <c r="X1688" s="5"/>
      <c r="Y1688" s="5"/>
      <c r="Z1688" s="5"/>
      <c r="AA1688" s="5"/>
      <c r="AB1688" s="5"/>
      <c r="AC1688" s="5"/>
      <c r="AD1688" s="5"/>
      <c r="AE1688" s="5"/>
      <c r="AQ1688" s="2"/>
      <c r="AR1688" s="2"/>
      <c r="AS1688" s="2"/>
      <c r="AT1688" s="2"/>
      <c r="AU1688" s="2"/>
      <c r="AV1688" s="2"/>
      <c r="AW1688" s="2"/>
      <c r="AX1688" s="2"/>
      <c r="AY1688" s="2"/>
    </row>
    <row r="1689" spans="21:51" x14ac:dyDescent="0.25">
      <c r="U1689" s="2"/>
      <c r="W1689" s="5"/>
      <c r="X1689" s="5"/>
      <c r="Y1689" s="5"/>
      <c r="Z1689" s="5"/>
      <c r="AA1689" s="5"/>
      <c r="AB1689" s="5"/>
      <c r="AC1689" s="5"/>
      <c r="AD1689" s="5"/>
      <c r="AE1689" s="5"/>
      <c r="AQ1689" s="2"/>
      <c r="AR1689" s="2"/>
      <c r="AS1689" s="2"/>
      <c r="AT1689" s="2"/>
      <c r="AU1689" s="2"/>
      <c r="AV1689" s="2"/>
      <c r="AW1689" s="2"/>
      <c r="AX1689" s="2"/>
      <c r="AY1689" s="2"/>
    </row>
    <row r="1690" spans="21:51" x14ac:dyDescent="0.25">
      <c r="U1690" s="2"/>
      <c r="W1690" s="5"/>
      <c r="X1690" s="5"/>
      <c r="Y1690" s="5"/>
      <c r="Z1690" s="5"/>
      <c r="AA1690" s="5"/>
      <c r="AB1690" s="5"/>
      <c r="AC1690" s="5"/>
      <c r="AD1690" s="5"/>
      <c r="AE1690" s="5"/>
      <c r="AQ1690" s="2"/>
      <c r="AR1690" s="2"/>
      <c r="AS1690" s="2"/>
      <c r="AT1690" s="2"/>
      <c r="AU1690" s="2"/>
      <c r="AV1690" s="2"/>
      <c r="AW1690" s="2"/>
      <c r="AX1690" s="2"/>
      <c r="AY1690" s="2"/>
    </row>
    <row r="1691" spans="21:51" x14ac:dyDescent="0.25">
      <c r="U1691" s="2"/>
      <c r="W1691" s="5"/>
      <c r="X1691" s="5"/>
      <c r="Y1691" s="5"/>
      <c r="Z1691" s="5"/>
      <c r="AA1691" s="5"/>
      <c r="AB1691" s="5"/>
      <c r="AC1691" s="5"/>
      <c r="AD1691" s="5"/>
      <c r="AE1691" s="5"/>
      <c r="AQ1691" s="2"/>
      <c r="AR1691" s="2"/>
      <c r="AS1691" s="2"/>
      <c r="AT1691" s="2"/>
      <c r="AU1691" s="2"/>
      <c r="AV1691" s="2"/>
      <c r="AW1691" s="2"/>
      <c r="AX1691" s="2"/>
      <c r="AY1691" s="2"/>
    </row>
    <row r="1692" spans="21:51" x14ac:dyDescent="0.25">
      <c r="U1692" s="2"/>
      <c r="W1692" s="5"/>
      <c r="X1692" s="5"/>
      <c r="Y1692" s="5"/>
      <c r="Z1692" s="5"/>
      <c r="AA1692" s="5"/>
      <c r="AB1692" s="5"/>
      <c r="AC1692" s="5"/>
      <c r="AD1692" s="5"/>
      <c r="AE1692" s="5"/>
      <c r="AQ1692" s="2"/>
      <c r="AR1692" s="2"/>
      <c r="AS1692" s="2"/>
      <c r="AT1692" s="2"/>
      <c r="AU1692" s="2"/>
      <c r="AV1692" s="2"/>
      <c r="AW1692" s="2"/>
      <c r="AX1692" s="2"/>
      <c r="AY1692" s="2"/>
    </row>
    <row r="1693" spans="21:51" x14ac:dyDescent="0.25">
      <c r="U1693" s="2"/>
      <c r="W1693" s="5"/>
      <c r="X1693" s="5"/>
      <c r="Y1693" s="5"/>
      <c r="Z1693" s="5"/>
      <c r="AA1693" s="5"/>
      <c r="AB1693" s="5"/>
      <c r="AC1693" s="5"/>
      <c r="AD1693" s="5"/>
      <c r="AE1693" s="5"/>
      <c r="AQ1693" s="2"/>
      <c r="AR1693" s="2"/>
      <c r="AS1693" s="2"/>
      <c r="AT1693" s="2"/>
      <c r="AU1693" s="2"/>
      <c r="AV1693" s="2"/>
      <c r="AW1693" s="2"/>
      <c r="AX1693" s="2"/>
      <c r="AY1693" s="2"/>
    </row>
    <row r="1694" spans="21:51" x14ac:dyDescent="0.25">
      <c r="U1694" s="2"/>
      <c r="W1694" s="5"/>
      <c r="X1694" s="5"/>
      <c r="Y1694" s="5"/>
      <c r="Z1694" s="5"/>
      <c r="AA1694" s="5"/>
      <c r="AB1694" s="5"/>
      <c r="AC1694" s="5"/>
      <c r="AD1694" s="5"/>
      <c r="AE1694" s="5"/>
      <c r="AQ1694" s="2"/>
      <c r="AR1694" s="2"/>
      <c r="AS1694" s="2"/>
      <c r="AT1694" s="2"/>
      <c r="AU1694" s="2"/>
      <c r="AV1694" s="2"/>
      <c r="AW1694" s="2"/>
      <c r="AX1694" s="2"/>
      <c r="AY1694" s="2"/>
    </row>
    <row r="1695" spans="21:51" x14ac:dyDescent="0.25">
      <c r="U1695" s="2"/>
      <c r="W1695" s="5"/>
      <c r="X1695" s="5"/>
      <c r="Y1695" s="5"/>
      <c r="Z1695" s="5"/>
      <c r="AA1695" s="5"/>
      <c r="AB1695" s="5"/>
      <c r="AC1695" s="5"/>
      <c r="AD1695" s="5"/>
      <c r="AE1695" s="5"/>
      <c r="AQ1695" s="2"/>
      <c r="AR1695" s="2"/>
      <c r="AS1695" s="2"/>
      <c r="AT1695" s="2"/>
      <c r="AU1695" s="2"/>
      <c r="AV1695" s="2"/>
      <c r="AW1695" s="2"/>
      <c r="AX1695" s="2"/>
      <c r="AY1695" s="2"/>
    </row>
    <row r="1696" spans="21:51" x14ac:dyDescent="0.25">
      <c r="U1696" s="2"/>
      <c r="W1696" s="5"/>
      <c r="X1696" s="5"/>
      <c r="Y1696" s="5"/>
      <c r="Z1696" s="5"/>
      <c r="AA1696" s="5"/>
      <c r="AB1696" s="5"/>
      <c r="AC1696" s="5"/>
      <c r="AD1696" s="5"/>
      <c r="AE1696" s="5"/>
      <c r="AQ1696" s="2"/>
      <c r="AR1696" s="2"/>
      <c r="AS1696" s="2"/>
      <c r="AT1696" s="2"/>
      <c r="AU1696" s="2"/>
      <c r="AV1696" s="2"/>
      <c r="AW1696" s="2"/>
      <c r="AX1696" s="2"/>
      <c r="AY1696" s="2"/>
    </row>
    <row r="1697" spans="21:51" x14ac:dyDescent="0.25">
      <c r="U1697" s="2"/>
      <c r="W1697" s="5"/>
      <c r="X1697" s="5"/>
      <c r="Y1697" s="5"/>
      <c r="Z1697" s="5"/>
      <c r="AA1697" s="5"/>
      <c r="AB1697" s="5"/>
      <c r="AC1697" s="5"/>
      <c r="AD1697" s="5"/>
      <c r="AE1697" s="5"/>
      <c r="AQ1697" s="2"/>
      <c r="AR1697" s="2"/>
      <c r="AS1697" s="2"/>
      <c r="AT1697" s="2"/>
      <c r="AU1697" s="2"/>
      <c r="AV1697" s="2"/>
      <c r="AW1697" s="2"/>
      <c r="AX1697" s="2"/>
      <c r="AY1697" s="2"/>
    </row>
    <row r="1698" spans="21:51" x14ac:dyDescent="0.25">
      <c r="U1698" s="2"/>
      <c r="W1698" s="5"/>
      <c r="X1698" s="5"/>
      <c r="Y1698" s="5"/>
      <c r="Z1698" s="5"/>
      <c r="AA1698" s="5"/>
      <c r="AB1698" s="5"/>
      <c r="AC1698" s="5"/>
      <c r="AD1698" s="5"/>
      <c r="AE1698" s="5"/>
      <c r="AQ1698" s="2"/>
      <c r="AR1698" s="2"/>
      <c r="AS1698" s="2"/>
      <c r="AT1698" s="2"/>
      <c r="AU1698" s="2"/>
      <c r="AV1698" s="2"/>
      <c r="AW1698" s="2"/>
      <c r="AX1698" s="2"/>
      <c r="AY1698" s="2"/>
    </row>
    <row r="1699" spans="21:51" x14ac:dyDescent="0.25">
      <c r="U1699" s="2"/>
      <c r="W1699" s="5"/>
      <c r="X1699" s="5"/>
      <c r="Y1699" s="5"/>
      <c r="Z1699" s="5"/>
      <c r="AA1699" s="5"/>
      <c r="AB1699" s="5"/>
      <c r="AC1699" s="5"/>
      <c r="AD1699" s="5"/>
      <c r="AE1699" s="5"/>
      <c r="AQ1699" s="2"/>
      <c r="AR1699" s="2"/>
      <c r="AS1699" s="2"/>
      <c r="AT1699" s="2"/>
      <c r="AU1699" s="2"/>
      <c r="AV1699" s="2"/>
      <c r="AW1699" s="2"/>
      <c r="AX1699" s="2"/>
      <c r="AY1699" s="2"/>
    </row>
    <row r="1700" spans="21:51" x14ac:dyDescent="0.25">
      <c r="U1700" s="2"/>
      <c r="W1700" s="5"/>
      <c r="X1700" s="5"/>
      <c r="Y1700" s="5"/>
      <c r="Z1700" s="5"/>
      <c r="AA1700" s="5"/>
      <c r="AB1700" s="5"/>
      <c r="AC1700" s="5"/>
      <c r="AD1700" s="5"/>
      <c r="AE1700" s="5"/>
      <c r="AQ1700" s="2"/>
      <c r="AR1700" s="2"/>
      <c r="AS1700" s="2"/>
      <c r="AT1700" s="2"/>
      <c r="AU1700" s="2"/>
      <c r="AV1700" s="2"/>
      <c r="AW1700" s="2"/>
      <c r="AX1700" s="2"/>
      <c r="AY1700" s="2"/>
    </row>
    <row r="1701" spans="21:51" x14ac:dyDescent="0.25">
      <c r="U1701" s="2"/>
      <c r="W1701" s="5"/>
      <c r="X1701" s="5"/>
      <c r="Y1701" s="5"/>
      <c r="Z1701" s="5"/>
      <c r="AA1701" s="5"/>
      <c r="AB1701" s="5"/>
      <c r="AC1701" s="5"/>
      <c r="AD1701" s="5"/>
      <c r="AE1701" s="5"/>
      <c r="AQ1701" s="2"/>
      <c r="AR1701" s="2"/>
      <c r="AS1701" s="2"/>
      <c r="AT1701" s="2"/>
      <c r="AU1701" s="2"/>
      <c r="AV1701" s="2"/>
      <c r="AW1701" s="2"/>
      <c r="AX1701" s="2"/>
      <c r="AY1701" s="2"/>
    </row>
    <row r="1702" spans="21:51" x14ac:dyDescent="0.25">
      <c r="U1702" s="2"/>
      <c r="W1702" s="5"/>
      <c r="X1702" s="5"/>
      <c r="Y1702" s="5"/>
      <c r="Z1702" s="5"/>
      <c r="AA1702" s="5"/>
      <c r="AB1702" s="5"/>
      <c r="AC1702" s="5"/>
      <c r="AD1702" s="5"/>
      <c r="AE1702" s="5"/>
      <c r="AQ1702" s="2"/>
      <c r="AR1702" s="2"/>
      <c r="AS1702" s="2"/>
      <c r="AT1702" s="2"/>
      <c r="AU1702" s="2"/>
      <c r="AV1702" s="2"/>
      <c r="AW1702" s="2"/>
      <c r="AX1702" s="2"/>
      <c r="AY1702" s="2"/>
    </row>
    <row r="1703" spans="21:51" x14ac:dyDescent="0.25">
      <c r="U1703" s="2"/>
      <c r="W1703" s="5"/>
      <c r="X1703" s="5"/>
      <c r="Y1703" s="5"/>
      <c r="Z1703" s="5"/>
      <c r="AA1703" s="5"/>
      <c r="AB1703" s="5"/>
      <c r="AC1703" s="5"/>
      <c r="AD1703" s="5"/>
      <c r="AE1703" s="5"/>
      <c r="AQ1703" s="2"/>
      <c r="AR1703" s="2"/>
      <c r="AS1703" s="2"/>
      <c r="AT1703" s="2"/>
      <c r="AU1703" s="2"/>
      <c r="AV1703" s="2"/>
      <c r="AW1703" s="2"/>
      <c r="AX1703" s="2"/>
      <c r="AY1703" s="2"/>
    </row>
    <row r="1704" spans="21:51" x14ac:dyDescent="0.25">
      <c r="U1704" s="2"/>
      <c r="W1704" s="5"/>
      <c r="X1704" s="5"/>
      <c r="Y1704" s="5"/>
      <c r="Z1704" s="5"/>
      <c r="AA1704" s="5"/>
      <c r="AB1704" s="5"/>
      <c r="AC1704" s="5"/>
      <c r="AD1704" s="5"/>
      <c r="AE1704" s="5"/>
      <c r="AQ1704" s="2"/>
      <c r="AR1704" s="2"/>
      <c r="AS1704" s="2"/>
      <c r="AT1704" s="2"/>
      <c r="AU1704" s="2"/>
      <c r="AV1704" s="2"/>
      <c r="AW1704" s="2"/>
      <c r="AX1704" s="2"/>
      <c r="AY1704" s="2"/>
    </row>
    <row r="1705" spans="21:51" x14ac:dyDescent="0.25">
      <c r="U1705" s="2"/>
      <c r="W1705" s="5"/>
      <c r="X1705" s="5"/>
      <c r="Y1705" s="5"/>
      <c r="Z1705" s="5"/>
      <c r="AA1705" s="5"/>
      <c r="AB1705" s="5"/>
      <c r="AC1705" s="5"/>
      <c r="AD1705" s="5"/>
      <c r="AE1705" s="5"/>
      <c r="AQ1705" s="2"/>
      <c r="AR1705" s="2"/>
      <c r="AS1705" s="2"/>
      <c r="AT1705" s="2"/>
      <c r="AU1705" s="2"/>
      <c r="AV1705" s="2"/>
      <c r="AW1705" s="2"/>
      <c r="AX1705" s="2"/>
      <c r="AY1705" s="2"/>
    </row>
    <row r="1706" spans="21:51" x14ac:dyDescent="0.25">
      <c r="U1706" s="2"/>
      <c r="W1706" s="5"/>
      <c r="X1706" s="5"/>
      <c r="Y1706" s="5"/>
      <c r="Z1706" s="5"/>
      <c r="AA1706" s="5"/>
      <c r="AB1706" s="5"/>
      <c r="AC1706" s="5"/>
      <c r="AD1706" s="5"/>
      <c r="AE1706" s="5"/>
      <c r="AQ1706" s="2"/>
      <c r="AR1706" s="2"/>
      <c r="AS1706" s="2"/>
      <c r="AT1706" s="2"/>
      <c r="AU1706" s="2"/>
      <c r="AV1706" s="2"/>
      <c r="AW1706" s="2"/>
      <c r="AX1706" s="2"/>
      <c r="AY1706" s="2"/>
    </row>
    <row r="1707" spans="21:51" x14ac:dyDescent="0.25">
      <c r="U1707" s="2"/>
      <c r="W1707" s="5"/>
      <c r="X1707" s="5"/>
      <c r="Y1707" s="5"/>
      <c r="Z1707" s="5"/>
      <c r="AA1707" s="5"/>
      <c r="AB1707" s="5"/>
      <c r="AC1707" s="5"/>
      <c r="AD1707" s="5"/>
      <c r="AE1707" s="5"/>
      <c r="AQ1707" s="2"/>
      <c r="AR1707" s="2"/>
      <c r="AS1707" s="2"/>
      <c r="AT1707" s="2"/>
      <c r="AU1707" s="2"/>
      <c r="AV1707" s="2"/>
      <c r="AW1707" s="2"/>
      <c r="AX1707" s="2"/>
      <c r="AY1707" s="2"/>
    </row>
    <row r="1708" spans="21:51" x14ac:dyDescent="0.25">
      <c r="U1708" s="2"/>
      <c r="W1708" s="5"/>
      <c r="X1708" s="5"/>
      <c r="Y1708" s="5"/>
      <c r="Z1708" s="5"/>
      <c r="AA1708" s="5"/>
      <c r="AB1708" s="5"/>
      <c r="AC1708" s="5"/>
      <c r="AD1708" s="5"/>
      <c r="AE1708" s="5"/>
      <c r="AQ1708" s="2"/>
      <c r="AR1708" s="2"/>
      <c r="AS1708" s="2"/>
      <c r="AT1708" s="2"/>
      <c r="AU1708" s="2"/>
      <c r="AV1708" s="2"/>
      <c r="AW1708" s="2"/>
      <c r="AX1708" s="2"/>
      <c r="AY1708" s="2"/>
    </row>
    <row r="1709" spans="21:51" x14ac:dyDescent="0.25">
      <c r="U1709" s="2"/>
      <c r="W1709" s="5"/>
      <c r="X1709" s="5"/>
      <c r="Y1709" s="5"/>
      <c r="Z1709" s="5"/>
      <c r="AA1709" s="5"/>
      <c r="AB1709" s="5"/>
      <c r="AC1709" s="5"/>
      <c r="AD1709" s="5"/>
      <c r="AE1709" s="5"/>
      <c r="AQ1709" s="2"/>
      <c r="AR1709" s="2"/>
      <c r="AS1709" s="2"/>
      <c r="AT1709" s="2"/>
      <c r="AU1709" s="2"/>
      <c r="AV1709" s="2"/>
      <c r="AW1709" s="2"/>
      <c r="AX1709" s="2"/>
      <c r="AY1709" s="2"/>
    </row>
    <row r="1710" spans="21:51" x14ac:dyDescent="0.25">
      <c r="U1710" s="2"/>
      <c r="W1710" s="5"/>
      <c r="X1710" s="5"/>
      <c r="Y1710" s="5"/>
      <c r="Z1710" s="5"/>
      <c r="AA1710" s="5"/>
      <c r="AB1710" s="5"/>
      <c r="AC1710" s="5"/>
      <c r="AD1710" s="5"/>
      <c r="AE1710" s="5"/>
      <c r="AQ1710" s="2"/>
      <c r="AR1710" s="2"/>
      <c r="AS1710" s="2"/>
      <c r="AT1710" s="2"/>
      <c r="AU1710" s="2"/>
      <c r="AV1710" s="2"/>
      <c r="AW1710" s="2"/>
      <c r="AX1710" s="2"/>
      <c r="AY1710" s="2"/>
    </row>
    <row r="1711" spans="21:51" x14ac:dyDescent="0.25">
      <c r="U1711" s="2"/>
      <c r="W1711" s="5"/>
      <c r="X1711" s="5"/>
      <c r="Y1711" s="5"/>
      <c r="Z1711" s="5"/>
      <c r="AA1711" s="5"/>
      <c r="AB1711" s="5"/>
      <c r="AC1711" s="5"/>
      <c r="AD1711" s="5"/>
      <c r="AE1711" s="5"/>
      <c r="AQ1711" s="2"/>
      <c r="AR1711" s="2"/>
      <c r="AS1711" s="2"/>
      <c r="AT1711" s="2"/>
      <c r="AU1711" s="2"/>
      <c r="AV1711" s="2"/>
      <c r="AW1711" s="2"/>
      <c r="AX1711" s="2"/>
      <c r="AY1711" s="2"/>
    </row>
    <row r="1712" spans="21:51" x14ac:dyDescent="0.25">
      <c r="U1712" s="2"/>
      <c r="W1712" s="5"/>
      <c r="X1712" s="5"/>
      <c r="Y1712" s="5"/>
      <c r="Z1712" s="5"/>
      <c r="AA1712" s="5"/>
      <c r="AB1712" s="5"/>
      <c r="AC1712" s="5"/>
      <c r="AD1712" s="5"/>
      <c r="AE1712" s="5"/>
      <c r="AQ1712" s="2"/>
      <c r="AR1712" s="2"/>
      <c r="AS1712" s="2"/>
      <c r="AT1712" s="2"/>
      <c r="AU1712" s="2"/>
      <c r="AV1712" s="2"/>
      <c r="AW1712" s="2"/>
      <c r="AX1712" s="2"/>
      <c r="AY1712" s="2"/>
    </row>
    <row r="1713" spans="21:51" x14ac:dyDescent="0.25">
      <c r="U1713" s="2"/>
      <c r="W1713" s="5"/>
      <c r="X1713" s="5"/>
      <c r="Y1713" s="5"/>
      <c r="Z1713" s="5"/>
      <c r="AA1713" s="5"/>
      <c r="AB1713" s="5"/>
      <c r="AC1713" s="5"/>
      <c r="AD1713" s="5"/>
      <c r="AE1713" s="5"/>
      <c r="AQ1713" s="2"/>
      <c r="AR1713" s="2"/>
      <c r="AS1713" s="2"/>
      <c r="AT1713" s="2"/>
      <c r="AU1713" s="2"/>
      <c r="AV1713" s="2"/>
      <c r="AW1713" s="2"/>
      <c r="AX1713" s="2"/>
      <c r="AY1713" s="2"/>
    </row>
    <row r="1714" spans="21:51" x14ac:dyDescent="0.25">
      <c r="U1714" s="2"/>
      <c r="W1714" s="5"/>
      <c r="X1714" s="5"/>
      <c r="Y1714" s="5"/>
      <c r="Z1714" s="5"/>
      <c r="AA1714" s="5"/>
      <c r="AB1714" s="5"/>
      <c r="AC1714" s="5"/>
      <c r="AD1714" s="5"/>
      <c r="AE1714" s="5"/>
      <c r="AQ1714" s="2"/>
      <c r="AR1714" s="2"/>
      <c r="AS1714" s="2"/>
      <c r="AT1714" s="2"/>
      <c r="AU1714" s="2"/>
      <c r="AV1714" s="2"/>
      <c r="AW1714" s="2"/>
      <c r="AX1714" s="2"/>
      <c r="AY1714" s="2"/>
    </row>
    <row r="1715" spans="21:51" x14ac:dyDescent="0.25">
      <c r="U1715" s="2"/>
      <c r="W1715" s="5"/>
      <c r="X1715" s="5"/>
      <c r="Y1715" s="5"/>
      <c r="Z1715" s="5"/>
      <c r="AA1715" s="5"/>
      <c r="AB1715" s="5"/>
      <c r="AC1715" s="5"/>
      <c r="AD1715" s="5"/>
      <c r="AE1715" s="5"/>
      <c r="AQ1715" s="2"/>
      <c r="AR1715" s="2"/>
      <c r="AS1715" s="2"/>
      <c r="AT1715" s="2"/>
      <c r="AU1715" s="2"/>
      <c r="AV1715" s="2"/>
      <c r="AW1715" s="2"/>
      <c r="AX1715" s="2"/>
      <c r="AY1715" s="2"/>
    </row>
    <row r="1716" spans="21:51" x14ac:dyDescent="0.25">
      <c r="U1716" s="2"/>
      <c r="W1716" s="5"/>
      <c r="X1716" s="5"/>
      <c r="Y1716" s="5"/>
      <c r="Z1716" s="5"/>
      <c r="AA1716" s="5"/>
      <c r="AB1716" s="5"/>
      <c r="AC1716" s="5"/>
      <c r="AD1716" s="5"/>
      <c r="AE1716" s="5"/>
      <c r="AQ1716" s="2"/>
      <c r="AR1716" s="2"/>
      <c r="AS1716" s="2"/>
      <c r="AT1716" s="2"/>
      <c r="AU1716" s="2"/>
      <c r="AV1716" s="2"/>
      <c r="AW1716" s="2"/>
      <c r="AX1716" s="2"/>
      <c r="AY1716" s="2"/>
    </row>
    <row r="1717" spans="21:51" x14ac:dyDescent="0.25">
      <c r="U1717" s="2"/>
      <c r="W1717" s="5"/>
      <c r="X1717" s="5"/>
      <c r="Y1717" s="5"/>
      <c r="Z1717" s="5"/>
      <c r="AA1717" s="5"/>
      <c r="AB1717" s="5"/>
      <c r="AC1717" s="5"/>
      <c r="AD1717" s="5"/>
      <c r="AE1717" s="5"/>
      <c r="AQ1717" s="2"/>
      <c r="AR1717" s="2"/>
      <c r="AS1717" s="2"/>
      <c r="AT1717" s="2"/>
      <c r="AU1717" s="2"/>
      <c r="AV1717" s="2"/>
      <c r="AW1717" s="2"/>
      <c r="AX1717" s="2"/>
      <c r="AY1717" s="2"/>
    </row>
    <row r="1718" spans="21:51" x14ac:dyDescent="0.25">
      <c r="U1718" s="2"/>
      <c r="W1718" s="5"/>
      <c r="X1718" s="5"/>
      <c r="Y1718" s="5"/>
      <c r="Z1718" s="5"/>
      <c r="AA1718" s="5"/>
      <c r="AB1718" s="5"/>
      <c r="AC1718" s="5"/>
      <c r="AD1718" s="5"/>
      <c r="AE1718" s="5"/>
      <c r="AQ1718" s="2"/>
      <c r="AR1718" s="2"/>
      <c r="AS1718" s="2"/>
      <c r="AT1718" s="2"/>
      <c r="AU1718" s="2"/>
      <c r="AV1718" s="2"/>
      <c r="AW1718" s="2"/>
      <c r="AX1718" s="2"/>
      <c r="AY1718" s="2"/>
    </row>
    <row r="1719" spans="21:51" x14ac:dyDescent="0.25">
      <c r="U1719" s="2"/>
      <c r="W1719" s="5"/>
      <c r="X1719" s="5"/>
      <c r="Y1719" s="5"/>
      <c r="Z1719" s="5"/>
      <c r="AA1719" s="5"/>
      <c r="AB1719" s="5"/>
      <c r="AC1719" s="5"/>
      <c r="AD1719" s="5"/>
      <c r="AE1719" s="5"/>
      <c r="AQ1719" s="2"/>
      <c r="AR1719" s="2"/>
      <c r="AS1719" s="2"/>
      <c r="AT1719" s="2"/>
      <c r="AU1719" s="2"/>
      <c r="AV1719" s="2"/>
      <c r="AW1719" s="2"/>
      <c r="AX1719" s="2"/>
      <c r="AY1719" s="2"/>
    </row>
    <row r="1720" spans="21:51" x14ac:dyDescent="0.25">
      <c r="U1720" s="2"/>
      <c r="W1720" s="5"/>
      <c r="X1720" s="5"/>
      <c r="Y1720" s="5"/>
      <c r="Z1720" s="5"/>
      <c r="AA1720" s="5"/>
      <c r="AB1720" s="5"/>
      <c r="AC1720" s="5"/>
      <c r="AD1720" s="5"/>
      <c r="AE1720" s="5"/>
      <c r="AQ1720" s="2"/>
      <c r="AR1720" s="2"/>
      <c r="AS1720" s="2"/>
      <c r="AT1720" s="2"/>
      <c r="AU1720" s="2"/>
      <c r="AV1720" s="2"/>
      <c r="AW1720" s="2"/>
      <c r="AX1720" s="2"/>
      <c r="AY1720" s="2"/>
    </row>
    <row r="1721" spans="21:51" x14ac:dyDescent="0.25">
      <c r="U1721" s="2"/>
      <c r="W1721" s="5"/>
      <c r="X1721" s="5"/>
      <c r="Y1721" s="5"/>
      <c r="Z1721" s="5"/>
      <c r="AA1721" s="5"/>
      <c r="AB1721" s="5"/>
      <c r="AC1721" s="5"/>
      <c r="AD1721" s="5"/>
      <c r="AE1721" s="5"/>
      <c r="AQ1721" s="2"/>
      <c r="AR1721" s="2"/>
      <c r="AS1721" s="2"/>
      <c r="AT1721" s="2"/>
      <c r="AU1721" s="2"/>
      <c r="AV1721" s="2"/>
      <c r="AW1721" s="2"/>
      <c r="AX1721" s="2"/>
      <c r="AY1721" s="2"/>
    </row>
    <row r="1722" spans="21:51" x14ac:dyDescent="0.25">
      <c r="U1722" s="2"/>
      <c r="W1722" s="5"/>
      <c r="X1722" s="5"/>
      <c r="Y1722" s="5"/>
      <c r="Z1722" s="5"/>
      <c r="AA1722" s="5"/>
      <c r="AB1722" s="5"/>
      <c r="AC1722" s="5"/>
      <c r="AD1722" s="5"/>
      <c r="AE1722" s="5"/>
      <c r="AQ1722" s="2"/>
      <c r="AR1722" s="2"/>
      <c r="AS1722" s="2"/>
      <c r="AT1722" s="2"/>
      <c r="AU1722" s="2"/>
      <c r="AV1722" s="2"/>
      <c r="AW1722" s="2"/>
      <c r="AX1722" s="2"/>
      <c r="AY1722" s="2"/>
    </row>
    <row r="1723" spans="21:51" x14ac:dyDescent="0.25">
      <c r="U1723" s="2"/>
      <c r="W1723" s="5"/>
      <c r="X1723" s="5"/>
      <c r="Y1723" s="5"/>
      <c r="Z1723" s="5"/>
      <c r="AA1723" s="5"/>
      <c r="AB1723" s="5"/>
      <c r="AC1723" s="5"/>
      <c r="AD1723" s="5"/>
      <c r="AE1723" s="5"/>
      <c r="AQ1723" s="2"/>
      <c r="AR1723" s="2"/>
      <c r="AS1723" s="2"/>
      <c r="AT1723" s="2"/>
      <c r="AU1723" s="2"/>
      <c r="AV1723" s="2"/>
      <c r="AW1723" s="2"/>
      <c r="AX1723" s="2"/>
      <c r="AY1723" s="2"/>
    </row>
    <row r="1724" spans="21:51" x14ac:dyDescent="0.25">
      <c r="U1724" s="2"/>
      <c r="W1724" s="5"/>
      <c r="X1724" s="5"/>
      <c r="Y1724" s="5"/>
      <c r="Z1724" s="5"/>
      <c r="AA1724" s="5"/>
      <c r="AB1724" s="5"/>
      <c r="AC1724" s="5"/>
      <c r="AD1724" s="5"/>
      <c r="AE1724" s="5"/>
      <c r="AQ1724" s="2"/>
      <c r="AR1724" s="2"/>
      <c r="AS1724" s="2"/>
      <c r="AT1724" s="2"/>
      <c r="AU1724" s="2"/>
      <c r="AV1724" s="2"/>
      <c r="AW1724" s="2"/>
      <c r="AX1724" s="2"/>
      <c r="AY1724" s="2"/>
    </row>
    <row r="1725" spans="21:51" x14ac:dyDescent="0.25">
      <c r="U1725" s="2"/>
      <c r="W1725" s="5"/>
      <c r="X1725" s="5"/>
      <c r="Y1725" s="5"/>
      <c r="Z1725" s="5"/>
      <c r="AA1725" s="5"/>
      <c r="AB1725" s="5"/>
      <c r="AC1725" s="5"/>
      <c r="AD1725" s="5"/>
      <c r="AE1725" s="5"/>
      <c r="AQ1725" s="2"/>
      <c r="AR1725" s="2"/>
      <c r="AS1725" s="2"/>
      <c r="AT1725" s="2"/>
      <c r="AU1725" s="2"/>
      <c r="AV1725" s="2"/>
      <c r="AW1725" s="2"/>
      <c r="AX1725" s="2"/>
      <c r="AY1725" s="2"/>
    </row>
    <row r="1726" spans="21:51" x14ac:dyDescent="0.25">
      <c r="U1726" s="2"/>
      <c r="W1726" s="5"/>
      <c r="X1726" s="5"/>
      <c r="Y1726" s="5"/>
      <c r="Z1726" s="5"/>
      <c r="AA1726" s="5"/>
      <c r="AB1726" s="5"/>
      <c r="AC1726" s="5"/>
      <c r="AD1726" s="5"/>
      <c r="AE1726" s="5"/>
      <c r="AQ1726" s="2"/>
      <c r="AR1726" s="2"/>
      <c r="AS1726" s="2"/>
      <c r="AT1726" s="2"/>
      <c r="AU1726" s="2"/>
      <c r="AV1726" s="2"/>
      <c r="AW1726" s="2"/>
      <c r="AX1726" s="2"/>
      <c r="AY1726" s="2"/>
    </row>
    <row r="1727" spans="21:51" x14ac:dyDescent="0.25">
      <c r="U1727" s="2"/>
      <c r="W1727" s="5"/>
      <c r="X1727" s="5"/>
      <c r="Y1727" s="5"/>
      <c r="Z1727" s="5"/>
      <c r="AA1727" s="5"/>
      <c r="AB1727" s="5"/>
      <c r="AC1727" s="5"/>
      <c r="AD1727" s="5"/>
      <c r="AE1727" s="5"/>
      <c r="AQ1727" s="2"/>
      <c r="AR1727" s="2"/>
      <c r="AS1727" s="2"/>
      <c r="AT1727" s="2"/>
      <c r="AU1727" s="2"/>
      <c r="AV1727" s="2"/>
      <c r="AW1727" s="2"/>
      <c r="AX1727" s="2"/>
      <c r="AY1727" s="2"/>
    </row>
    <row r="1728" spans="21:51" x14ac:dyDescent="0.25">
      <c r="U1728" s="2"/>
      <c r="W1728" s="5"/>
      <c r="X1728" s="5"/>
      <c r="Y1728" s="5"/>
      <c r="Z1728" s="5"/>
      <c r="AA1728" s="5"/>
      <c r="AB1728" s="5"/>
      <c r="AC1728" s="5"/>
      <c r="AD1728" s="5"/>
      <c r="AE1728" s="5"/>
      <c r="AQ1728" s="2"/>
      <c r="AR1728" s="2"/>
      <c r="AS1728" s="2"/>
      <c r="AT1728" s="2"/>
      <c r="AU1728" s="2"/>
      <c r="AV1728" s="2"/>
      <c r="AW1728" s="2"/>
      <c r="AX1728" s="2"/>
      <c r="AY1728" s="2"/>
    </row>
    <row r="1729" spans="21:51" x14ac:dyDescent="0.25">
      <c r="U1729" s="2"/>
      <c r="W1729" s="5"/>
      <c r="X1729" s="5"/>
      <c r="Y1729" s="5"/>
      <c r="Z1729" s="5"/>
      <c r="AA1729" s="5"/>
      <c r="AB1729" s="5"/>
      <c r="AC1729" s="5"/>
      <c r="AD1729" s="5"/>
      <c r="AE1729" s="5"/>
      <c r="AQ1729" s="2"/>
      <c r="AR1729" s="2"/>
      <c r="AS1729" s="2"/>
      <c r="AT1729" s="2"/>
      <c r="AU1729" s="2"/>
      <c r="AV1729" s="2"/>
      <c r="AW1729" s="2"/>
      <c r="AX1729" s="2"/>
      <c r="AY1729" s="2"/>
    </row>
    <row r="1730" spans="21:51" x14ac:dyDescent="0.25">
      <c r="U1730" s="2"/>
      <c r="W1730" s="5"/>
      <c r="X1730" s="5"/>
      <c r="Y1730" s="5"/>
      <c r="Z1730" s="5"/>
      <c r="AA1730" s="5"/>
      <c r="AB1730" s="5"/>
      <c r="AC1730" s="5"/>
      <c r="AD1730" s="5"/>
      <c r="AE1730" s="5"/>
      <c r="AQ1730" s="2"/>
      <c r="AR1730" s="2"/>
      <c r="AS1730" s="2"/>
      <c r="AT1730" s="2"/>
      <c r="AU1730" s="2"/>
      <c r="AV1730" s="2"/>
      <c r="AW1730" s="2"/>
      <c r="AX1730" s="2"/>
      <c r="AY1730" s="2"/>
    </row>
    <row r="1731" spans="21:51" x14ac:dyDescent="0.25">
      <c r="U1731" s="2"/>
      <c r="W1731" s="5"/>
      <c r="X1731" s="5"/>
      <c r="Y1731" s="5"/>
      <c r="Z1731" s="5"/>
      <c r="AA1731" s="5"/>
      <c r="AB1731" s="5"/>
      <c r="AC1731" s="5"/>
      <c r="AD1731" s="5"/>
      <c r="AE1731" s="5"/>
      <c r="AQ1731" s="2"/>
      <c r="AR1731" s="2"/>
      <c r="AS1731" s="2"/>
      <c r="AT1731" s="2"/>
      <c r="AU1731" s="2"/>
      <c r="AV1731" s="2"/>
      <c r="AW1731" s="2"/>
      <c r="AX1731" s="2"/>
      <c r="AY1731" s="2"/>
    </row>
    <row r="1732" spans="21:51" x14ac:dyDescent="0.25">
      <c r="U1732" s="2"/>
      <c r="W1732" s="5"/>
      <c r="X1732" s="5"/>
      <c r="Y1732" s="5"/>
      <c r="Z1732" s="5"/>
      <c r="AA1732" s="5"/>
      <c r="AB1732" s="5"/>
      <c r="AC1732" s="5"/>
      <c r="AD1732" s="5"/>
      <c r="AE1732" s="5"/>
      <c r="AQ1732" s="2"/>
      <c r="AR1732" s="2"/>
      <c r="AS1732" s="2"/>
      <c r="AT1732" s="2"/>
      <c r="AU1732" s="2"/>
      <c r="AV1732" s="2"/>
      <c r="AW1732" s="2"/>
      <c r="AX1732" s="2"/>
      <c r="AY1732" s="2"/>
    </row>
    <row r="1733" spans="21:51" x14ac:dyDescent="0.25">
      <c r="U1733" s="2"/>
      <c r="W1733" s="5"/>
      <c r="X1733" s="5"/>
      <c r="Y1733" s="5"/>
      <c r="Z1733" s="5"/>
      <c r="AA1733" s="5"/>
      <c r="AB1733" s="5"/>
      <c r="AC1733" s="5"/>
      <c r="AD1733" s="5"/>
      <c r="AE1733" s="5"/>
      <c r="AQ1733" s="2"/>
      <c r="AR1733" s="2"/>
      <c r="AS1733" s="2"/>
      <c r="AT1733" s="2"/>
      <c r="AU1733" s="2"/>
      <c r="AV1733" s="2"/>
      <c r="AW1733" s="2"/>
      <c r="AX1733" s="2"/>
      <c r="AY1733" s="2"/>
    </row>
    <row r="1734" spans="21:51" x14ac:dyDescent="0.25">
      <c r="U1734" s="2"/>
      <c r="W1734" s="5"/>
      <c r="X1734" s="5"/>
      <c r="Y1734" s="5"/>
      <c r="Z1734" s="5"/>
      <c r="AA1734" s="5"/>
      <c r="AB1734" s="5"/>
      <c r="AC1734" s="5"/>
      <c r="AD1734" s="5"/>
      <c r="AE1734" s="5"/>
      <c r="AQ1734" s="2"/>
      <c r="AR1734" s="2"/>
      <c r="AS1734" s="2"/>
      <c r="AT1734" s="2"/>
      <c r="AU1734" s="2"/>
      <c r="AV1734" s="2"/>
      <c r="AW1734" s="2"/>
      <c r="AX1734" s="2"/>
      <c r="AY1734" s="2"/>
    </row>
    <row r="1735" spans="21:51" x14ac:dyDescent="0.25">
      <c r="U1735" s="2"/>
      <c r="W1735" s="5"/>
      <c r="X1735" s="5"/>
      <c r="Y1735" s="5"/>
      <c r="Z1735" s="5"/>
      <c r="AA1735" s="5"/>
      <c r="AB1735" s="5"/>
      <c r="AC1735" s="5"/>
      <c r="AD1735" s="5"/>
      <c r="AE1735" s="5"/>
      <c r="AQ1735" s="2"/>
      <c r="AR1735" s="2"/>
      <c r="AS1735" s="2"/>
      <c r="AT1735" s="2"/>
      <c r="AU1735" s="2"/>
      <c r="AV1735" s="2"/>
      <c r="AW1735" s="2"/>
      <c r="AX1735" s="2"/>
      <c r="AY1735" s="2"/>
    </row>
    <row r="1736" spans="21:51" x14ac:dyDescent="0.25">
      <c r="U1736" s="2"/>
      <c r="W1736" s="5"/>
      <c r="X1736" s="5"/>
      <c r="Y1736" s="5"/>
      <c r="Z1736" s="5"/>
      <c r="AA1736" s="5"/>
      <c r="AB1736" s="5"/>
      <c r="AC1736" s="5"/>
      <c r="AD1736" s="5"/>
      <c r="AE1736" s="5"/>
      <c r="AQ1736" s="2"/>
      <c r="AR1736" s="2"/>
      <c r="AS1736" s="2"/>
      <c r="AT1736" s="2"/>
      <c r="AU1736" s="2"/>
      <c r="AV1736" s="2"/>
      <c r="AW1736" s="2"/>
      <c r="AX1736" s="2"/>
      <c r="AY1736" s="2"/>
    </row>
    <row r="1737" spans="21:51" x14ac:dyDescent="0.25">
      <c r="U1737" s="2"/>
      <c r="W1737" s="5"/>
      <c r="X1737" s="5"/>
      <c r="Y1737" s="5"/>
      <c r="Z1737" s="5"/>
      <c r="AA1737" s="5"/>
      <c r="AB1737" s="5"/>
      <c r="AC1737" s="5"/>
      <c r="AD1737" s="5"/>
      <c r="AE1737" s="5"/>
      <c r="AQ1737" s="2"/>
      <c r="AR1737" s="2"/>
      <c r="AS1737" s="2"/>
      <c r="AT1737" s="2"/>
      <c r="AU1737" s="2"/>
      <c r="AV1737" s="2"/>
      <c r="AW1737" s="2"/>
      <c r="AX1737" s="2"/>
      <c r="AY1737" s="2"/>
    </row>
    <row r="1738" spans="21:51" x14ac:dyDescent="0.25">
      <c r="U1738" s="2"/>
      <c r="W1738" s="5"/>
      <c r="X1738" s="5"/>
      <c r="Y1738" s="5"/>
      <c r="Z1738" s="5"/>
      <c r="AA1738" s="5"/>
      <c r="AB1738" s="5"/>
      <c r="AC1738" s="5"/>
      <c r="AD1738" s="5"/>
      <c r="AE1738" s="5"/>
      <c r="AQ1738" s="2"/>
      <c r="AR1738" s="2"/>
      <c r="AS1738" s="2"/>
      <c r="AT1738" s="2"/>
      <c r="AU1738" s="2"/>
      <c r="AV1738" s="2"/>
      <c r="AW1738" s="2"/>
      <c r="AX1738" s="2"/>
      <c r="AY1738" s="2"/>
    </row>
    <row r="1739" spans="21:51" x14ac:dyDescent="0.25">
      <c r="U1739" s="2"/>
      <c r="W1739" s="5"/>
      <c r="X1739" s="5"/>
      <c r="Y1739" s="5"/>
      <c r="Z1739" s="5"/>
      <c r="AA1739" s="5"/>
      <c r="AB1739" s="5"/>
      <c r="AC1739" s="5"/>
      <c r="AD1739" s="5"/>
      <c r="AE1739" s="5"/>
      <c r="AQ1739" s="2"/>
      <c r="AR1739" s="2"/>
      <c r="AS1739" s="2"/>
      <c r="AT1739" s="2"/>
      <c r="AU1739" s="2"/>
      <c r="AV1739" s="2"/>
      <c r="AW1739" s="2"/>
      <c r="AX1739" s="2"/>
      <c r="AY1739" s="2"/>
    </row>
    <row r="1740" spans="21:51" x14ac:dyDescent="0.25">
      <c r="U1740" s="2"/>
      <c r="W1740" s="5"/>
      <c r="X1740" s="5"/>
      <c r="Y1740" s="5"/>
      <c r="Z1740" s="5"/>
      <c r="AA1740" s="5"/>
      <c r="AB1740" s="5"/>
      <c r="AC1740" s="5"/>
      <c r="AD1740" s="5"/>
      <c r="AE1740" s="5"/>
      <c r="AQ1740" s="2"/>
      <c r="AR1740" s="2"/>
      <c r="AS1740" s="2"/>
      <c r="AT1740" s="2"/>
      <c r="AU1740" s="2"/>
      <c r="AV1740" s="2"/>
      <c r="AW1740" s="2"/>
      <c r="AX1740" s="2"/>
      <c r="AY1740" s="2"/>
    </row>
    <row r="1741" spans="21:51" x14ac:dyDescent="0.25">
      <c r="U1741" s="2"/>
      <c r="W1741" s="5"/>
      <c r="X1741" s="5"/>
      <c r="Y1741" s="5"/>
      <c r="Z1741" s="5"/>
      <c r="AA1741" s="5"/>
      <c r="AB1741" s="5"/>
      <c r="AC1741" s="5"/>
      <c r="AD1741" s="5"/>
      <c r="AE1741" s="5"/>
      <c r="AQ1741" s="2"/>
      <c r="AR1741" s="2"/>
      <c r="AS1741" s="2"/>
      <c r="AT1741" s="2"/>
      <c r="AU1741" s="2"/>
      <c r="AV1741" s="2"/>
      <c r="AW1741" s="2"/>
      <c r="AX1741" s="2"/>
      <c r="AY1741" s="2"/>
    </row>
    <row r="1742" spans="21:51" x14ac:dyDescent="0.25">
      <c r="U1742" s="2"/>
      <c r="W1742" s="5"/>
      <c r="X1742" s="5"/>
      <c r="Y1742" s="5"/>
      <c r="Z1742" s="5"/>
      <c r="AA1742" s="5"/>
      <c r="AB1742" s="5"/>
      <c r="AC1742" s="5"/>
      <c r="AD1742" s="5"/>
      <c r="AE1742" s="5"/>
      <c r="AQ1742" s="2"/>
      <c r="AR1742" s="2"/>
      <c r="AS1742" s="2"/>
      <c r="AT1742" s="2"/>
      <c r="AU1742" s="2"/>
      <c r="AV1742" s="2"/>
      <c r="AW1742" s="2"/>
      <c r="AX1742" s="2"/>
      <c r="AY1742" s="2"/>
    </row>
    <row r="1743" spans="21:51" x14ac:dyDescent="0.25">
      <c r="U1743" s="2"/>
      <c r="W1743" s="5"/>
      <c r="X1743" s="5"/>
      <c r="Y1743" s="5"/>
      <c r="Z1743" s="5"/>
      <c r="AA1743" s="5"/>
      <c r="AB1743" s="5"/>
      <c r="AC1743" s="5"/>
      <c r="AD1743" s="5"/>
      <c r="AE1743" s="5"/>
      <c r="AQ1743" s="2"/>
      <c r="AR1743" s="2"/>
      <c r="AS1743" s="2"/>
      <c r="AT1743" s="2"/>
      <c r="AU1743" s="2"/>
      <c r="AV1743" s="2"/>
      <c r="AW1743" s="2"/>
      <c r="AX1743" s="2"/>
      <c r="AY1743" s="2"/>
    </row>
    <row r="1744" spans="21:51" x14ac:dyDescent="0.25">
      <c r="U1744" s="2"/>
      <c r="W1744" s="5"/>
      <c r="X1744" s="5"/>
      <c r="Y1744" s="5"/>
      <c r="Z1744" s="5"/>
      <c r="AA1744" s="5"/>
      <c r="AB1744" s="5"/>
      <c r="AC1744" s="5"/>
      <c r="AD1744" s="5"/>
      <c r="AE1744" s="5"/>
      <c r="AQ1744" s="2"/>
      <c r="AR1744" s="2"/>
      <c r="AS1744" s="2"/>
      <c r="AT1744" s="2"/>
      <c r="AU1744" s="2"/>
      <c r="AV1744" s="2"/>
      <c r="AW1744" s="2"/>
      <c r="AX1744" s="2"/>
      <c r="AY1744" s="2"/>
    </row>
    <row r="1745" spans="21:51" x14ac:dyDescent="0.25">
      <c r="U1745" s="2"/>
      <c r="W1745" s="5"/>
      <c r="X1745" s="5"/>
      <c r="Y1745" s="5"/>
      <c r="Z1745" s="5"/>
      <c r="AA1745" s="5"/>
      <c r="AB1745" s="5"/>
      <c r="AC1745" s="5"/>
      <c r="AD1745" s="5"/>
      <c r="AE1745" s="5"/>
      <c r="AQ1745" s="2"/>
      <c r="AR1745" s="2"/>
      <c r="AS1745" s="2"/>
      <c r="AT1745" s="2"/>
      <c r="AU1745" s="2"/>
      <c r="AV1745" s="2"/>
      <c r="AW1745" s="2"/>
      <c r="AX1745" s="2"/>
      <c r="AY1745" s="2"/>
    </row>
    <row r="1746" spans="21:51" x14ac:dyDescent="0.25">
      <c r="U1746" s="2"/>
      <c r="W1746" s="5"/>
      <c r="X1746" s="5"/>
      <c r="Y1746" s="5"/>
      <c r="Z1746" s="5"/>
      <c r="AA1746" s="5"/>
      <c r="AB1746" s="5"/>
      <c r="AC1746" s="5"/>
      <c r="AD1746" s="5"/>
      <c r="AE1746" s="5"/>
      <c r="AQ1746" s="2"/>
      <c r="AR1746" s="2"/>
      <c r="AS1746" s="2"/>
      <c r="AT1746" s="2"/>
      <c r="AU1746" s="2"/>
      <c r="AV1746" s="2"/>
      <c r="AW1746" s="2"/>
      <c r="AX1746" s="2"/>
      <c r="AY1746" s="2"/>
    </row>
    <row r="1747" spans="21:51" x14ac:dyDescent="0.25">
      <c r="U1747" s="2"/>
      <c r="W1747" s="5"/>
      <c r="X1747" s="5"/>
      <c r="Y1747" s="5"/>
      <c r="Z1747" s="5"/>
      <c r="AA1747" s="5"/>
      <c r="AB1747" s="5"/>
      <c r="AC1747" s="5"/>
      <c r="AD1747" s="5"/>
      <c r="AE1747" s="5"/>
      <c r="AQ1747" s="2"/>
      <c r="AR1747" s="2"/>
      <c r="AS1747" s="2"/>
      <c r="AT1747" s="2"/>
      <c r="AU1747" s="2"/>
      <c r="AV1747" s="2"/>
      <c r="AW1747" s="2"/>
      <c r="AX1747" s="2"/>
      <c r="AY1747" s="2"/>
    </row>
    <row r="1748" spans="21:51" x14ac:dyDescent="0.25">
      <c r="U1748" s="2"/>
      <c r="W1748" s="5"/>
      <c r="X1748" s="5"/>
      <c r="Y1748" s="5"/>
      <c r="Z1748" s="5"/>
      <c r="AA1748" s="5"/>
      <c r="AB1748" s="5"/>
      <c r="AC1748" s="5"/>
      <c r="AD1748" s="5"/>
      <c r="AE1748" s="5"/>
      <c r="AQ1748" s="2"/>
      <c r="AR1748" s="2"/>
      <c r="AS1748" s="2"/>
      <c r="AT1748" s="2"/>
      <c r="AU1748" s="2"/>
      <c r="AV1748" s="2"/>
      <c r="AW1748" s="2"/>
      <c r="AX1748" s="2"/>
      <c r="AY1748" s="2"/>
    </row>
    <row r="1749" spans="21:51" x14ac:dyDescent="0.25">
      <c r="U1749" s="2"/>
      <c r="W1749" s="5"/>
      <c r="X1749" s="5"/>
      <c r="Y1749" s="5"/>
      <c r="Z1749" s="5"/>
      <c r="AA1749" s="5"/>
      <c r="AB1749" s="5"/>
      <c r="AC1749" s="5"/>
      <c r="AD1749" s="5"/>
      <c r="AE1749" s="5"/>
      <c r="AQ1749" s="2"/>
      <c r="AR1749" s="2"/>
      <c r="AS1749" s="2"/>
      <c r="AT1749" s="2"/>
      <c r="AU1749" s="2"/>
      <c r="AV1749" s="2"/>
      <c r="AW1749" s="2"/>
      <c r="AX1749" s="2"/>
      <c r="AY1749" s="2"/>
    </row>
    <row r="1750" spans="21:51" x14ac:dyDescent="0.25">
      <c r="U1750" s="2"/>
      <c r="W1750" s="5"/>
      <c r="X1750" s="5"/>
      <c r="Y1750" s="5"/>
      <c r="Z1750" s="5"/>
      <c r="AA1750" s="5"/>
      <c r="AB1750" s="5"/>
      <c r="AC1750" s="5"/>
      <c r="AD1750" s="5"/>
      <c r="AE1750" s="5"/>
      <c r="AQ1750" s="2"/>
      <c r="AR1750" s="2"/>
      <c r="AS1750" s="2"/>
      <c r="AT1750" s="2"/>
      <c r="AU1750" s="2"/>
      <c r="AV1750" s="2"/>
      <c r="AW1750" s="2"/>
      <c r="AX1750" s="2"/>
      <c r="AY1750" s="2"/>
    </row>
    <row r="1751" spans="21:51" x14ac:dyDescent="0.25">
      <c r="U1751" s="2"/>
      <c r="W1751" s="5"/>
      <c r="X1751" s="5"/>
      <c r="Y1751" s="5"/>
      <c r="Z1751" s="5"/>
      <c r="AA1751" s="5"/>
      <c r="AB1751" s="5"/>
      <c r="AC1751" s="5"/>
      <c r="AD1751" s="5"/>
      <c r="AE1751" s="5"/>
      <c r="AQ1751" s="2"/>
      <c r="AR1751" s="2"/>
      <c r="AS1751" s="2"/>
      <c r="AT1751" s="2"/>
      <c r="AU1751" s="2"/>
      <c r="AV1751" s="2"/>
      <c r="AW1751" s="2"/>
      <c r="AX1751" s="2"/>
      <c r="AY1751" s="2"/>
    </row>
    <row r="1752" spans="21:51" x14ac:dyDescent="0.25">
      <c r="U1752" s="2"/>
      <c r="W1752" s="5"/>
      <c r="X1752" s="5"/>
      <c r="Y1752" s="5"/>
      <c r="Z1752" s="5"/>
      <c r="AA1752" s="5"/>
      <c r="AB1752" s="5"/>
      <c r="AC1752" s="5"/>
      <c r="AD1752" s="5"/>
      <c r="AE1752" s="5"/>
      <c r="AQ1752" s="2"/>
      <c r="AR1752" s="2"/>
      <c r="AS1752" s="2"/>
      <c r="AT1752" s="2"/>
      <c r="AU1752" s="2"/>
      <c r="AV1752" s="2"/>
      <c r="AW1752" s="2"/>
      <c r="AX1752" s="2"/>
      <c r="AY1752" s="2"/>
    </row>
    <row r="1753" spans="21:51" x14ac:dyDescent="0.25">
      <c r="U1753" s="2"/>
      <c r="W1753" s="5"/>
      <c r="X1753" s="5"/>
      <c r="Y1753" s="5"/>
      <c r="Z1753" s="5"/>
      <c r="AA1753" s="5"/>
      <c r="AB1753" s="5"/>
      <c r="AC1753" s="5"/>
      <c r="AD1753" s="5"/>
      <c r="AE1753" s="5"/>
      <c r="AQ1753" s="2"/>
      <c r="AR1753" s="2"/>
      <c r="AS1753" s="2"/>
      <c r="AT1753" s="2"/>
      <c r="AU1753" s="2"/>
      <c r="AV1753" s="2"/>
      <c r="AW1753" s="2"/>
      <c r="AX1753" s="2"/>
      <c r="AY1753" s="2"/>
    </row>
    <row r="1754" spans="21:51" x14ac:dyDescent="0.25">
      <c r="U1754" s="2"/>
      <c r="W1754" s="5"/>
      <c r="X1754" s="5"/>
      <c r="Y1754" s="5"/>
      <c r="Z1754" s="5"/>
      <c r="AA1754" s="5"/>
      <c r="AB1754" s="5"/>
      <c r="AC1754" s="5"/>
      <c r="AD1754" s="5"/>
      <c r="AE1754" s="5"/>
      <c r="AQ1754" s="2"/>
      <c r="AR1754" s="2"/>
      <c r="AS1754" s="2"/>
      <c r="AT1754" s="2"/>
      <c r="AU1754" s="2"/>
      <c r="AV1754" s="2"/>
      <c r="AW1754" s="2"/>
      <c r="AX1754" s="2"/>
      <c r="AY1754" s="2"/>
    </row>
    <row r="1755" spans="21:51" x14ac:dyDescent="0.25">
      <c r="U1755" s="2"/>
      <c r="W1755" s="5"/>
      <c r="X1755" s="5"/>
      <c r="Y1755" s="5"/>
      <c r="Z1755" s="5"/>
      <c r="AA1755" s="5"/>
      <c r="AB1755" s="5"/>
      <c r="AC1755" s="5"/>
      <c r="AD1755" s="5"/>
      <c r="AE1755" s="5"/>
      <c r="AQ1755" s="2"/>
      <c r="AR1755" s="2"/>
      <c r="AS1755" s="2"/>
      <c r="AT1755" s="2"/>
      <c r="AU1755" s="2"/>
      <c r="AV1755" s="2"/>
      <c r="AW1755" s="2"/>
      <c r="AX1755" s="2"/>
      <c r="AY1755" s="2"/>
    </row>
    <row r="1756" spans="21:51" x14ac:dyDescent="0.25">
      <c r="U1756" s="2"/>
      <c r="W1756" s="5"/>
      <c r="X1756" s="5"/>
      <c r="Y1756" s="5"/>
      <c r="Z1756" s="5"/>
      <c r="AA1756" s="5"/>
      <c r="AB1756" s="5"/>
      <c r="AC1756" s="5"/>
      <c r="AD1756" s="5"/>
      <c r="AE1756" s="5"/>
      <c r="AQ1756" s="2"/>
      <c r="AR1756" s="2"/>
      <c r="AS1756" s="2"/>
      <c r="AT1756" s="2"/>
      <c r="AU1756" s="2"/>
      <c r="AV1756" s="2"/>
      <c r="AW1756" s="2"/>
      <c r="AX1756" s="2"/>
      <c r="AY1756" s="2"/>
    </row>
    <row r="1757" spans="21:51" x14ac:dyDescent="0.25">
      <c r="U1757" s="2"/>
      <c r="W1757" s="5"/>
      <c r="X1757" s="5"/>
      <c r="Y1757" s="5"/>
      <c r="Z1757" s="5"/>
      <c r="AA1757" s="5"/>
      <c r="AB1757" s="5"/>
      <c r="AC1757" s="5"/>
      <c r="AD1757" s="5"/>
      <c r="AE1757" s="5"/>
      <c r="AQ1757" s="2"/>
      <c r="AR1757" s="2"/>
      <c r="AS1757" s="2"/>
      <c r="AT1757" s="2"/>
      <c r="AU1757" s="2"/>
      <c r="AV1757" s="2"/>
      <c r="AW1757" s="2"/>
      <c r="AX1757" s="2"/>
      <c r="AY1757" s="2"/>
    </row>
    <row r="1758" spans="21:51" x14ac:dyDescent="0.25">
      <c r="U1758" s="2"/>
      <c r="W1758" s="5"/>
      <c r="X1758" s="5"/>
      <c r="Y1758" s="5"/>
      <c r="Z1758" s="5"/>
      <c r="AA1758" s="5"/>
      <c r="AB1758" s="5"/>
      <c r="AC1758" s="5"/>
      <c r="AD1758" s="5"/>
      <c r="AE1758" s="5"/>
      <c r="AQ1758" s="2"/>
      <c r="AR1758" s="2"/>
      <c r="AS1758" s="2"/>
      <c r="AT1758" s="2"/>
      <c r="AU1758" s="2"/>
      <c r="AV1758" s="2"/>
      <c r="AW1758" s="2"/>
      <c r="AX1758" s="2"/>
      <c r="AY1758" s="2"/>
    </row>
    <row r="1759" spans="21:51" x14ac:dyDescent="0.25">
      <c r="U1759" s="2"/>
      <c r="W1759" s="5"/>
      <c r="X1759" s="5"/>
      <c r="Y1759" s="5"/>
      <c r="Z1759" s="5"/>
      <c r="AA1759" s="5"/>
      <c r="AB1759" s="5"/>
      <c r="AC1759" s="5"/>
      <c r="AD1759" s="5"/>
      <c r="AE1759" s="5"/>
      <c r="AQ1759" s="2"/>
      <c r="AR1759" s="2"/>
      <c r="AS1759" s="2"/>
      <c r="AT1759" s="2"/>
      <c r="AU1759" s="2"/>
      <c r="AV1759" s="2"/>
      <c r="AW1759" s="2"/>
      <c r="AX1759" s="2"/>
      <c r="AY1759" s="2"/>
    </row>
    <row r="1760" spans="21:51" x14ac:dyDescent="0.25">
      <c r="U1760" s="2"/>
      <c r="W1760" s="5"/>
      <c r="X1760" s="5"/>
      <c r="Y1760" s="5"/>
      <c r="Z1760" s="5"/>
      <c r="AA1760" s="5"/>
      <c r="AB1760" s="5"/>
      <c r="AC1760" s="5"/>
      <c r="AD1760" s="5"/>
      <c r="AE1760" s="5"/>
      <c r="AQ1760" s="2"/>
      <c r="AR1760" s="2"/>
      <c r="AS1760" s="2"/>
      <c r="AT1760" s="2"/>
      <c r="AU1760" s="2"/>
      <c r="AV1760" s="2"/>
      <c r="AW1760" s="2"/>
      <c r="AX1760" s="2"/>
      <c r="AY1760" s="2"/>
    </row>
    <row r="1761" spans="21:51" x14ac:dyDescent="0.25">
      <c r="U1761" s="2"/>
      <c r="W1761" s="5"/>
      <c r="X1761" s="5"/>
      <c r="Y1761" s="5"/>
      <c r="Z1761" s="5"/>
      <c r="AA1761" s="5"/>
      <c r="AB1761" s="5"/>
      <c r="AC1761" s="5"/>
      <c r="AD1761" s="5"/>
      <c r="AE1761" s="5"/>
      <c r="AQ1761" s="2"/>
      <c r="AR1761" s="2"/>
      <c r="AS1761" s="2"/>
      <c r="AT1761" s="2"/>
      <c r="AU1761" s="2"/>
      <c r="AV1761" s="2"/>
      <c r="AW1761" s="2"/>
      <c r="AX1761" s="2"/>
      <c r="AY1761" s="2"/>
    </row>
    <row r="1762" spans="21:51" x14ac:dyDescent="0.25">
      <c r="U1762" s="2"/>
      <c r="W1762" s="5"/>
      <c r="X1762" s="5"/>
      <c r="Y1762" s="5"/>
      <c r="Z1762" s="5"/>
      <c r="AA1762" s="5"/>
      <c r="AB1762" s="5"/>
      <c r="AC1762" s="5"/>
      <c r="AD1762" s="5"/>
      <c r="AE1762" s="5"/>
      <c r="AQ1762" s="2"/>
      <c r="AR1762" s="2"/>
      <c r="AS1762" s="2"/>
      <c r="AT1762" s="2"/>
      <c r="AU1762" s="2"/>
      <c r="AV1762" s="2"/>
      <c r="AW1762" s="2"/>
      <c r="AX1762" s="2"/>
      <c r="AY1762" s="2"/>
    </row>
    <row r="1763" spans="21:51" x14ac:dyDescent="0.25">
      <c r="U1763" s="2"/>
      <c r="W1763" s="5"/>
      <c r="X1763" s="5"/>
      <c r="Y1763" s="5"/>
      <c r="Z1763" s="5"/>
      <c r="AA1763" s="5"/>
      <c r="AB1763" s="5"/>
      <c r="AC1763" s="5"/>
      <c r="AD1763" s="5"/>
      <c r="AE1763" s="5"/>
      <c r="AQ1763" s="2"/>
      <c r="AR1763" s="2"/>
      <c r="AS1763" s="2"/>
      <c r="AT1763" s="2"/>
      <c r="AU1763" s="2"/>
      <c r="AV1763" s="2"/>
      <c r="AW1763" s="2"/>
      <c r="AX1763" s="2"/>
      <c r="AY1763" s="2"/>
    </row>
    <row r="1764" spans="21:51" x14ac:dyDescent="0.25">
      <c r="U1764" s="2"/>
      <c r="W1764" s="5"/>
      <c r="X1764" s="5"/>
      <c r="Y1764" s="5"/>
      <c r="Z1764" s="5"/>
      <c r="AA1764" s="5"/>
      <c r="AB1764" s="5"/>
      <c r="AC1764" s="5"/>
      <c r="AD1764" s="5"/>
      <c r="AE1764" s="5"/>
      <c r="AQ1764" s="2"/>
      <c r="AR1764" s="2"/>
      <c r="AS1764" s="2"/>
      <c r="AT1764" s="2"/>
      <c r="AU1764" s="2"/>
      <c r="AV1764" s="2"/>
      <c r="AW1764" s="2"/>
      <c r="AX1764" s="2"/>
      <c r="AY1764" s="2"/>
    </row>
    <row r="1765" spans="21:51" x14ac:dyDescent="0.25">
      <c r="U1765" s="2"/>
      <c r="W1765" s="5"/>
      <c r="X1765" s="5"/>
      <c r="Y1765" s="5"/>
      <c r="Z1765" s="5"/>
      <c r="AA1765" s="5"/>
      <c r="AB1765" s="5"/>
      <c r="AC1765" s="5"/>
      <c r="AD1765" s="5"/>
      <c r="AE1765" s="5"/>
      <c r="AQ1765" s="2"/>
      <c r="AR1765" s="2"/>
      <c r="AS1765" s="2"/>
      <c r="AT1765" s="2"/>
      <c r="AU1765" s="2"/>
      <c r="AV1765" s="2"/>
      <c r="AW1765" s="2"/>
      <c r="AX1765" s="2"/>
      <c r="AY1765" s="2"/>
    </row>
    <row r="1766" spans="21:51" x14ac:dyDescent="0.25">
      <c r="U1766" s="2"/>
      <c r="W1766" s="5"/>
      <c r="X1766" s="5"/>
      <c r="Y1766" s="5"/>
      <c r="Z1766" s="5"/>
      <c r="AA1766" s="5"/>
      <c r="AB1766" s="5"/>
      <c r="AC1766" s="5"/>
      <c r="AD1766" s="5"/>
      <c r="AE1766" s="5"/>
      <c r="AQ1766" s="2"/>
      <c r="AR1766" s="2"/>
      <c r="AS1766" s="2"/>
      <c r="AT1766" s="2"/>
      <c r="AU1766" s="2"/>
      <c r="AV1766" s="2"/>
      <c r="AW1766" s="2"/>
      <c r="AX1766" s="2"/>
      <c r="AY1766" s="2"/>
    </row>
    <row r="1767" spans="21:51" x14ac:dyDescent="0.25">
      <c r="U1767" s="2"/>
      <c r="W1767" s="5"/>
      <c r="X1767" s="5"/>
      <c r="Y1767" s="5"/>
      <c r="Z1767" s="5"/>
      <c r="AA1767" s="5"/>
      <c r="AB1767" s="5"/>
      <c r="AC1767" s="5"/>
      <c r="AD1767" s="5"/>
      <c r="AE1767" s="5"/>
      <c r="AQ1767" s="2"/>
      <c r="AR1767" s="2"/>
      <c r="AS1767" s="2"/>
      <c r="AT1767" s="2"/>
      <c r="AU1767" s="2"/>
      <c r="AV1767" s="2"/>
      <c r="AW1767" s="2"/>
      <c r="AX1767" s="2"/>
      <c r="AY1767" s="2"/>
    </row>
    <row r="1768" spans="21:51" x14ac:dyDescent="0.25">
      <c r="U1768" s="2"/>
      <c r="W1768" s="5"/>
      <c r="X1768" s="5"/>
      <c r="Y1768" s="5"/>
      <c r="Z1768" s="5"/>
      <c r="AA1768" s="5"/>
      <c r="AB1768" s="5"/>
      <c r="AC1768" s="5"/>
      <c r="AD1768" s="5"/>
      <c r="AE1768" s="5"/>
      <c r="AQ1768" s="2"/>
      <c r="AR1768" s="2"/>
      <c r="AS1768" s="2"/>
      <c r="AT1768" s="2"/>
      <c r="AU1768" s="2"/>
      <c r="AV1768" s="2"/>
      <c r="AW1768" s="2"/>
      <c r="AX1768" s="2"/>
      <c r="AY1768" s="2"/>
    </row>
    <row r="1769" spans="21:51" x14ac:dyDescent="0.25">
      <c r="U1769" s="2"/>
      <c r="W1769" s="5"/>
      <c r="X1769" s="5"/>
      <c r="Y1769" s="5"/>
      <c r="Z1769" s="5"/>
      <c r="AA1769" s="5"/>
      <c r="AB1769" s="5"/>
      <c r="AC1769" s="5"/>
      <c r="AD1769" s="5"/>
      <c r="AE1769" s="5"/>
      <c r="AQ1769" s="2"/>
      <c r="AR1769" s="2"/>
      <c r="AS1769" s="2"/>
      <c r="AT1769" s="2"/>
      <c r="AU1769" s="2"/>
      <c r="AV1769" s="2"/>
      <c r="AW1769" s="2"/>
      <c r="AX1769" s="2"/>
      <c r="AY1769" s="2"/>
    </row>
    <row r="1770" spans="21:51" x14ac:dyDescent="0.25">
      <c r="U1770" s="2"/>
      <c r="W1770" s="5"/>
      <c r="X1770" s="5"/>
      <c r="Y1770" s="5"/>
      <c r="Z1770" s="5"/>
      <c r="AA1770" s="5"/>
      <c r="AB1770" s="5"/>
      <c r="AC1770" s="5"/>
      <c r="AD1770" s="5"/>
      <c r="AE1770" s="5"/>
      <c r="AQ1770" s="2"/>
      <c r="AR1770" s="2"/>
      <c r="AS1770" s="2"/>
      <c r="AT1770" s="2"/>
      <c r="AU1770" s="2"/>
      <c r="AV1770" s="2"/>
      <c r="AW1770" s="2"/>
      <c r="AX1770" s="2"/>
      <c r="AY1770" s="2"/>
    </row>
    <row r="1771" spans="21:51" x14ac:dyDescent="0.25">
      <c r="U1771" s="2"/>
      <c r="W1771" s="5"/>
      <c r="X1771" s="5"/>
      <c r="Y1771" s="5"/>
      <c r="Z1771" s="5"/>
      <c r="AA1771" s="5"/>
      <c r="AB1771" s="5"/>
      <c r="AC1771" s="5"/>
      <c r="AD1771" s="5"/>
      <c r="AE1771" s="5"/>
      <c r="AQ1771" s="2"/>
      <c r="AR1771" s="2"/>
      <c r="AS1771" s="2"/>
      <c r="AT1771" s="2"/>
      <c r="AU1771" s="2"/>
      <c r="AV1771" s="2"/>
      <c r="AW1771" s="2"/>
      <c r="AX1771" s="2"/>
      <c r="AY1771" s="2"/>
    </row>
    <row r="1772" spans="21:51" x14ac:dyDescent="0.25">
      <c r="U1772" s="2"/>
      <c r="W1772" s="5"/>
      <c r="X1772" s="5"/>
      <c r="Y1772" s="5"/>
      <c r="Z1772" s="5"/>
      <c r="AA1772" s="5"/>
      <c r="AB1772" s="5"/>
      <c r="AC1772" s="5"/>
      <c r="AD1772" s="5"/>
      <c r="AE1772" s="5"/>
      <c r="AQ1772" s="2"/>
      <c r="AR1772" s="2"/>
      <c r="AS1772" s="2"/>
      <c r="AT1772" s="2"/>
      <c r="AU1772" s="2"/>
      <c r="AV1772" s="2"/>
      <c r="AW1772" s="2"/>
      <c r="AX1772" s="2"/>
      <c r="AY1772" s="2"/>
    </row>
    <row r="1773" spans="21:51" x14ac:dyDescent="0.25">
      <c r="U1773" s="2"/>
      <c r="W1773" s="5"/>
      <c r="X1773" s="5"/>
      <c r="Y1773" s="5"/>
      <c r="Z1773" s="5"/>
      <c r="AA1773" s="5"/>
      <c r="AB1773" s="5"/>
      <c r="AC1773" s="5"/>
      <c r="AD1773" s="5"/>
      <c r="AE1773" s="5"/>
      <c r="AQ1773" s="2"/>
      <c r="AR1773" s="2"/>
      <c r="AS1773" s="2"/>
      <c r="AT1773" s="2"/>
      <c r="AU1773" s="2"/>
      <c r="AV1773" s="2"/>
      <c r="AW1773" s="2"/>
      <c r="AX1773" s="2"/>
      <c r="AY1773" s="2"/>
    </row>
    <row r="1774" spans="21:51" x14ac:dyDescent="0.25">
      <c r="U1774" s="2"/>
      <c r="W1774" s="5"/>
      <c r="X1774" s="5"/>
      <c r="Y1774" s="5"/>
      <c r="Z1774" s="5"/>
      <c r="AA1774" s="5"/>
      <c r="AB1774" s="5"/>
      <c r="AC1774" s="5"/>
      <c r="AD1774" s="5"/>
      <c r="AE1774" s="5"/>
      <c r="AQ1774" s="2"/>
      <c r="AR1774" s="2"/>
      <c r="AS1774" s="2"/>
      <c r="AT1774" s="2"/>
      <c r="AU1774" s="2"/>
      <c r="AV1774" s="2"/>
      <c r="AW1774" s="2"/>
      <c r="AX1774" s="2"/>
      <c r="AY1774" s="2"/>
    </row>
    <row r="1775" spans="21:51" x14ac:dyDescent="0.25">
      <c r="U1775" s="2"/>
      <c r="W1775" s="5"/>
      <c r="X1775" s="5"/>
      <c r="Y1775" s="5"/>
      <c r="Z1775" s="5"/>
      <c r="AA1775" s="5"/>
      <c r="AB1775" s="5"/>
      <c r="AC1775" s="5"/>
      <c r="AD1775" s="5"/>
      <c r="AE1775" s="5"/>
      <c r="AQ1775" s="2"/>
      <c r="AR1775" s="2"/>
      <c r="AS1775" s="2"/>
      <c r="AT1775" s="2"/>
      <c r="AU1775" s="2"/>
      <c r="AV1775" s="2"/>
      <c r="AW1775" s="2"/>
      <c r="AX1775" s="2"/>
      <c r="AY1775" s="2"/>
    </row>
    <row r="1776" spans="21:51" x14ac:dyDescent="0.25">
      <c r="U1776" s="2"/>
      <c r="W1776" s="5"/>
      <c r="X1776" s="5"/>
      <c r="Y1776" s="5"/>
      <c r="Z1776" s="5"/>
      <c r="AA1776" s="5"/>
      <c r="AB1776" s="5"/>
      <c r="AC1776" s="5"/>
      <c r="AD1776" s="5"/>
      <c r="AE1776" s="5"/>
      <c r="AQ1776" s="2"/>
      <c r="AR1776" s="2"/>
      <c r="AS1776" s="2"/>
      <c r="AT1776" s="2"/>
      <c r="AU1776" s="2"/>
      <c r="AV1776" s="2"/>
      <c r="AW1776" s="2"/>
      <c r="AX1776" s="2"/>
      <c r="AY1776" s="2"/>
    </row>
    <row r="1777" spans="21:51" x14ac:dyDescent="0.25">
      <c r="U1777" s="2"/>
      <c r="W1777" s="5"/>
      <c r="X1777" s="5"/>
      <c r="Y1777" s="5"/>
      <c r="Z1777" s="5"/>
      <c r="AA1777" s="5"/>
      <c r="AB1777" s="5"/>
      <c r="AC1777" s="5"/>
      <c r="AD1777" s="5"/>
      <c r="AE1777" s="5"/>
      <c r="AQ1777" s="2"/>
      <c r="AR1777" s="2"/>
      <c r="AS1777" s="2"/>
      <c r="AT1777" s="2"/>
      <c r="AU1777" s="2"/>
      <c r="AV1777" s="2"/>
      <c r="AW1777" s="2"/>
      <c r="AX1777" s="2"/>
      <c r="AY1777" s="2"/>
    </row>
    <row r="1778" spans="21:51" x14ac:dyDescent="0.25">
      <c r="U1778" s="2"/>
      <c r="W1778" s="5"/>
      <c r="X1778" s="5"/>
      <c r="Y1778" s="5"/>
      <c r="Z1778" s="5"/>
      <c r="AA1778" s="5"/>
      <c r="AB1778" s="5"/>
      <c r="AC1778" s="5"/>
      <c r="AD1778" s="5"/>
      <c r="AE1778" s="5"/>
      <c r="AQ1778" s="2"/>
      <c r="AR1778" s="2"/>
      <c r="AS1778" s="2"/>
      <c r="AT1778" s="2"/>
      <c r="AU1778" s="2"/>
      <c r="AV1778" s="2"/>
      <c r="AW1778" s="2"/>
      <c r="AX1778" s="2"/>
      <c r="AY1778" s="2"/>
    </row>
    <row r="1779" spans="21:51" x14ac:dyDescent="0.25">
      <c r="U1779" s="2"/>
      <c r="W1779" s="5"/>
      <c r="X1779" s="5"/>
      <c r="Y1779" s="5"/>
      <c r="Z1779" s="5"/>
      <c r="AA1779" s="5"/>
      <c r="AB1779" s="5"/>
      <c r="AC1779" s="5"/>
      <c r="AD1779" s="5"/>
      <c r="AE1779" s="5"/>
      <c r="AQ1779" s="2"/>
      <c r="AR1779" s="2"/>
      <c r="AS1779" s="2"/>
      <c r="AT1779" s="2"/>
      <c r="AU1779" s="2"/>
      <c r="AV1779" s="2"/>
      <c r="AW1779" s="2"/>
      <c r="AX1779" s="2"/>
      <c r="AY1779" s="2"/>
    </row>
    <row r="1780" spans="21:51" x14ac:dyDescent="0.25">
      <c r="U1780" s="2"/>
      <c r="W1780" s="5"/>
      <c r="X1780" s="5"/>
      <c r="Y1780" s="5"/>
      <c r="Z1780" s="5"/>
      <c r="AA1780" s="5"/>
      <c r="AB1780" s="5"/>
      <c r="AC1780" s="5"/>
      <c r="AD1780" s="5"/>
      <c r="AE1780" s="5"/>
      <c r="AQ1780" s="2"/>
      <c r="AR1780" s="2"/>
      <c r="AS1780" s="2"/>
      <c r="AT1780" s="2"/>
      <c r="AU1780" s="2"/>
      <c r="AV1780" s="2"/>
      <c r="AW1780" s="2"/>
      <c r="AX1780" s="2"/>
      <c r="AY1780" s="2"/>
    </row>
    <row r="1781" spans="21:51" x14ac:dyDescent="0.25">
      <c r="U1781" s="2"/>
      <c r="W1781" s="5"/>
      <c r="X1781" s="5"/>
      <c r="Y1781" s="5"/>
      <c r="Z1781" s="5"/>
      <c r="AA1781" s="5"/>
      <c r="AB1781" s="5"/>
      <c r="AC1781" s="5"/>
      <c r="AD1781" s="5"/>
      <c r="AE1781" s="5"/>
      <c r="AQ1781" s="2"/>
      <c r="AR1781" s="2"/>
      <c r="AS1781" s="2"/>
      <c r="AT1781" s="2"/>
      <c r="AU1781" s="2"/>
      <c r="AV1781" s="2"/>
      <c r="AW1781" s="2"/>
      <c r="AX1781" s="2"/>
      <c r="AY1781" s="2"/>
    </row>
    <row r="1782" spans="21:51" x14ac:dyDescent="0.25">
      <c r="U1782" s="2"/>
      <c r="W1782" s="5"/>
      <c r="X1782" s="5"/>
      <c r="Y1782" s="5"/>
      <c r="Z1782" s="5"/>
      <c r="AA1782" s="5"/>
      <c r="AB1782" s="5"/>
      <c r="AC1782" s="5"/>
      <c r="AD1782" s="5"/>
      <c r="AE1782" s="5"/>
      <c r="AQ1782" s="2"/>
      <c r="AR1782" s="2"/>
      <c r="AS1782" s="2"/>
      <c r="AT1782" s="2"/>
      <c r="AU1782" s="2"/>
      <c r="AV1782" s="2"/>
      <c r="AW1782" s="2"/>
      <c r="AX1782" s="2"/>
      <c r="AY1782" s="2"/>
    </row>
    <row r="1783" spans="21:51" x14ac:dyDescent="0.25">
      <c r="U1783" s="2"/>
      <c r="W1783" s="5"/>
      <c r="X1783" s="5"/>
      <c r="Y1783" s="5"/>
      <c r="Z1783" s="5"/>
      <c r="AA1783" s="5"/>
      <c r="AB1783" s="5"/>
      <c r="AC1783" s="5"/>
      <c r="AD1783" s="5"/>
      <c r="AE1783" s="5"/>
      <c r="AQ1783" s="2"/>
      <c r="AR1783" s="2"/>
      <c r="AS1783" s="2"/>
      <c r="AT1783" s="2"/>
      <c r="AU1783" s="2"/>
      <c r="AV1783" s="2"/>
      <c r="AW1783" s="2"/>
      <c r="AX1783" s="2"/>
      <c r="AY1783" s="2"/>
    </row>
    <row r="1784" spans="21:51" x14ac:dyDescent="0.25">
      <c r="U1784" s="2"/>
      <c r="W1784" s="5"/>
      <c r="X1784" s="5"/>
      <c r="Y1784" s="5"/>
      <c r="Z1784" s="5"/>
      <c r="AA1784" s="5"/>
      <c r="AB1784" s="5"/>
      <c r="AC1784" s="5"/>
      <c r="AD1784" s="5"/>
      <c r="AE1784" s="5"/>
      <c r="AQ1784" s="2"/>
      <c r="AR1784" s="2"/>
      <c r="AS1784" s="2"/>
      <c r="AT1784" s="2"/>
      <c r="AU1784" s="2"/>
      <c r="AV1784" s="2"/>
      <c r="AW1784" s="2"/>
      <c r="AX1784" s="2"/>
      <c r="AY1784" s="2"/>
    </row>
    <row r="1785" spans="21:51" x14ac:dyDescent="0.25">
      <c r="U1785" s="2"/>
      <c r="W1785" s="5"/>
      <c r="X1785" s="5"/>
      <c r="Y1785" s="5"/>
      <c r="Z1785" s="5"/>
      <c r="AA1785" s="5"/>
      <c r="AB1785" s="5"/>
      <c r="AC1785" s="5"/>
      <c r="AD1785" s="5"/>
      <c r="AE1785" s="5"/>
      <c r="AQ1785" s="2"/>
      <c r="AR1785" s="2"/>
      <c r="AS1785" s="2"/>
      <c r="AT1785" s="2"/>
      <c r="AU1785" s="2"/>
      <c r="AV1785" s="2"/>
      <c r="AW1785" s="2"/>
      <c r="AX1785" s="2"/>
      <c r="AY1785" s="2"/>
    </row>
    <row r="1786" spans="21:51" x14ac:dyDescent="0.25">
      <c r="U1786" s="2"/>
      <c r="W1786" s="5"/>
      <c r="X1786" s="5"/>
      <c r="Y1786" s="5"/>
      <c r="Z1786" s="5"/>
      <c r="AA1786" s="5"/>
      <c r="AB1786" s="5"/>
      <c r="AC1786" s="5"/>
      <c r="AD1786" s="5"/>
      <c r="AE1786" s="5"/>
      <c r="AQ1786" s="2"/>
      <c r="AR1786" s="2"/>
      <c r="AS1786" s="2"/>
      <c r="AT1786" s="2"/>
      <c r="AU1786" s="2"/>
      <c r="AV1786" s="2"/>
      <c r="AW1786" s="2"/>
      <c r="AX1786" s="2"/>
      <c r="AY1786" s="2"/>
    </row>
    <row r="1787" spans="21:51" x14ac:dyDescent="0.25">
      <c r="U1787" s="2"/>
      <c r="W1787" s="5"/>
      <c r="X1787" s="5"/>
      <c r="Y1787" s="5"/>
      <c r="Z1787" s="5"/>
      <c r="AA1787" s="5"/>
      <c r="AB1787" s="5"/>
      <c r="AC1787" s="5"/>
      <c r="AD1787" s="5"/>
      <c r="AE1787" s="5"/>
      <c r="AQ1787" s="2"/>
      <c r="AR1787" s="2"/>
      <c r="AS1787" s="2"/>
      <c r="AT1787" s="2"/>
      <c r="AU1787" s="2"/>
      <c r="AV1787" s="2"/>
      <c r="AW1787" s="2"/>
      <c r="AX1787" s="2"/>
      <c r="AY1787" s="2"/>
    </row>
    <row r="1788" spans="21:51" x14ac:dyDescent="0.25">
      <c r="U1788" s="2"/>
      <c r="W1788" s="5"/>
      <c r="X1788" s="5"/>
      <c r="Y1788" s="5"/>
      <c r="Z1788" s="5"/>
      <c r="AA1788" s="5"/>
      <c r="AB1788" s="5"/>
      <c r="AC1788" s="5"/>
      <c r="AD1788" s="5"/>
      <c r="AE1788" s="5"/>
      <c r="AQ1788" s="2"/>
      <c r="AR1788" s="2"/>
      <c r="AS1788" s="2"/>
      <c r="AT1788" s="2"/>
      <c r="AU1788" s="2"/>
      <c r="AV1788" s="2"/>
      <c r="AW1788" s="2"/>
      <c r="AX1788" s="2"/>
      <c r="AY1788" s="2"/>
    </row>
    <row r="1789" spans="21:51" x14ac:dyDescent="0.25">
      <c r="U1789" s="2"/>
      <c r="W1789" s="5"/>
      <c r="X1789" s="5"/>
      <c r="Y1789" s="5"/>
      <c r="Z1789" s="5"/>
      <c r="AA1789" s="5"/>
      <c r="AB1789" s="5"/>
      <c r="AC1789" s="5"/>
      <c r="AD1789" s="5"/>
      <c r="AE1789" s="5"/>
      <c r="AQ1789" s="2"/>
      <c r="AR1789" s="2"/>
      <c r="AS1789" s="2"/>
      <c r="AT1789" s="2"/>
      <c r="AU1789" s="2"/>
      <c r="AV1789" s="2"/>
      <c r="AW1789" s="2"/>
      <c r="AX1789" s="2"/>
      <c r="AY1789" s="2"/>
    </row>
    <row r="1790" spans="21:51" x14ac:dyDescent="0.25">
      <c r="U1790" s="2"/>
      <c r="W1790" s="5"/>
      <c r="X1790" s="5"/>
      <c r="Y1790" s="5"/>
      <c r="Z1790" s="5"/>
      <c r="AA1790" s="5"/>
      <c r="AB1790" s="5"/>
      <c r="AC1790" s="5"/>
      <c r="AD1790" s="5"/>
      <c r="AE1790" s="5"/>
      <c r="AQ1790" s="2"/>
      <c r="AR1790" s="2"/>
      <c r="AS1790" s="2"/>
      <c r="AT1790" s="2"/>
      <c r="AU1790" s="2"/>
      <c r="AV1790" s="2"/>
      <c r="AW1790" s="2"/>
      <c r="AX1790" s="2"/>
      <c r="AY1790" s="2"/>
    </row>
    <row r="1791" spans="21:51" x14ac:dyDescent="0.25">
      <c r="U1791" s="2"/>
      <c r="W1791" s="5"/>
      <c r="X1791" s="5"/>
      <c r="Y1791" s="5"/>
      <c r="Z1791" s="5"/>
      <c r="AA1791" s="5"/>
      <c r="AB1791" s="5"/>
      <c r="AC1791" s="5"/>
      <c r="AD1791" s="5"/>
      <c r="AE1791" s="5"/>
      <c r="AQ1791" s="2"/>
      <c r="AR1791" s="2"/>
      <c r="AS1791" s="2"/>
      <c r="AT1791" s="2"/>
      <c r="AU1791" s="2"/>
      <c r="AV1791" s="2"/>
      <c r="AW1791" s="2"/>
      <c r="AX1791" s="2"/>
      <c r="AY1791" s="2"/>
    </row>
    <row r="1792" spans="21:51" x14ac:dyDescent="0.25">
      <c r="U1792" s="2"/>
      <c r="W1792" s="5"/>
      <c r="X1792" s="5"/>
      <c r="Y1792" s="5"/>
      <c r="Z1792" s="5"/>
      <c r="AA1792" s="5"/>
      <c r="AB1792" s="5"/>
      <c r="AC1792" s="5"/>
      <c r="AD1792" s="5"/>
      <c r="AE1792" s="5"/>
      <c r="AQ1792" s="2"/>
      <c r="AR1792" s="2"/>
      <c r="AS1792" s="2"/>
      <c r="AT1792" s="2"/>
      <c r="AU1792" s="2"/>
      <c r="AV1792" s="2"/>
      <c r="AW1792" s="2"/>
      <c r="AX1792" s="2"/>
      <c r="AY1792" s="2"/>
    </row>
    <row r="1793" spans="21:51" x14ac:dyDescent="0.25">
      <c r="U1793" s="2"/>
      <c r="W1793" s="5"/>
      <c r="X1793" s="5"/>
      <c r="Y1793" s="5"/>
      <c r="Z1793" s="5"/>
      <c r="AA1793" s="5"/>
      <c r="AB1793" s="5"/>
      <c r="AC1793" s="5"/>
      <c r="AD1793" s="5"/>
      <c r="AE1793" s="5"/>
      <c r="AQ1793" s="2"/>
      <c r="AR1793" s="2"/>
      <c r="AS1793" s="2"/>
      <c r="AT1793" s="2"/>
      <c r="AU1793" s="2"/>
      <c r="AV1793" s="2"/>
      <c r="AW1793" s="2"/>
      <c r="AX1793" s="2"/>
      <c r="AY1793" s="2"/>
    </row>
    <row r="1794" spans="21:51" x14ac:dyDescent="0.25">
      <c r="U1794" s="2"/>
      <c r="W1794" s="5"/>
      <c r="X1794" s="5"/>
      <c r="Y1794" s="5"/>
      <c r="Z1794" s="5"/>
      <c r="AA1794" s="5"/>
      <c r="AB1794" s="5"/>
      <c r="AC1794" s="5"/>
      <c r="AD1794" s="5"/>
      <c r="AE1794" s="5"/>
      <c r="AQ1794" s="2"/>
      <c r="AR1794" s="2"/>
      <c r="AS1794" s="2"/>
      <c r="AT1794" s="2"/>
      <c r="AU1794" s="2"/>
      <c r="AV1794" s="2"/>
      <c r="AW1794" s="2"/>
      <c r="AX1794" s="2"/>
      <c r="AY1794" s="2"/>
    </row>
    <row r="1795" spans="21:51" x14ac:dyDescent="0.25">
      <c r="U1795" s="2"/>
      <c r="W1795" s="5"/>
      <c r="X1795" s="5"/>
      <c r="Y1795" s="5"/>
      <c r="Z1795" s="5"/>
      <c r="AA1795" s="5"/>
      <c r="AB1795" s="5"/>
      <c r="AC1795" s="5"/>
      <c r="AD1795" s="5"/>
      <c r="AE1795" s="5"/>
      <c r="AQ1795" s="2"/>
      <c r="AR1795" s="2"/>
      <c r="AS1795" s="2"/>
      <c r="AT1795" s="2"/>
      <c r="AU1795" s="2"/>
      <c r="AV1795" s="2"/>
      <c r="AW1795" s="2"/>
      <c r="AX1795" s="2"/>
      <c r="AY1795" s="2"/>
    </row>
    <row r="1796" spans="21:51" x14ac:dyDescent="0.25">
      <c r="U1796" s="2"/>
      <c r="W1796" s="5"/>
      <c r="X1796" s="5"/>
      <c r="Y1796" s="5"/>
      <c r="Z1796" s="5"/>
      <c r="AA1796" s="5"/>
      <c r="AB1796" s="5"/>
      <c r="AC1796" s="5"/>
      <c r="AD1796" s="5"/>
      <c r="AE1796" s="5"/>
      <c r="AQ1796" s="2"/>
      <c r="AR1796" s="2"/>
      <c r="AS1796" s="2"/>
      <c r="AT1796" s="2"/>
      <c r="AU1796" s="2"/>
      <c r="AV1796" s="2"/>
      <c r="AW1796" s="2"/>
      <c r="AX1796" s="2"/>
      <c r="AY1796" s="2"/>
    </row>
    <row r="1797" spans="21:51" x14ac:dyDescent="0.25">
      <c r="U1797" s="2"/>
      <c r="W1797" s="5"/>
      <c r="X1797" s="5"/>
      <c r="Y1797" s="5"/>
      <c r="Z1797" s="5"/>
      <c r="AA1797" s="5"/>
      <c r="AB1797" s="5"/>
      <c r="AC1797" s="5"/>
      <c r="AD1797" s="5"/>
      <c r="AE1797" s="5"/>
      <c r="AQ1797" s="2"/>
      <c r="AR1797" s="2"/>
      <c r="AS1797" s="2"/>
      <c r="AT1797" s="2"/>
      <c r="AU1797" s="2"/>
      <c r="AV1797" s="2"/>
      <c r="AW1797" s="2"/>
      <c r="AX1797" s="2"/>
      <c r="AY1797" s="2"/>
    </row>
    <row r="1798" spans="21:51" x14ac:dyDescent="0.25">
      <c r="U1798" s="2"/>
      <c r="W1798" s="5"/>
      <c r="X1798" s="5"/>
      <c r="Y1798" s="5"/>
      <c r="Z1798" s="5"/>
      <c r="AA1798" s="5"/>
      <c r="AB1798" s="5"/>
      <c r="AC1798" s="5"/>
      <c r="AD1798" s="5"/>
      <c r="AE1798" s="5"/>
      <c r="AQ1798" s="2"/>
      <c r="AR1798" s="2"/>
      <c r="AS1798" s="2"/>
      <c r="AT1798" s="2"/>
      <c r="AU1798" s="2"/>
      <c r="AV1798" s="2"/>
      <c r="AW1798" s="2"/>
      <c r="AX1798" s="2"/>
      <c r="AY1798" s="2"/>
    </row>
    <row r="1799" spans="21:51" x14ac:dyDescent="0.25">
      <c r="U1799" s="2"/>
      <c r="W1799" s="5"/>
      <c r="X1799" s="5"/>
      <c r="Y1799" s="5"/>
      <c r="Z1799" s="5"/>
      <c r="AA1799" s="5"/>
      <c r="AB1799" s="5"/>
      <c r="AC1799" s="5"/>
      <c r="AD1799" s="5"/>
      <c r="AE1799" s="5"/>
      <c r="AQ1799" s="2"/>
      <c r="AR1799" s="2"/>
      <c r="AS1799" s="2"/>
      <c r="AT1799" s="2"/>
      <c r="AU1799" s="2"/>
      <c r="AV1799" s="2"/>
      <c r="AW1799" s="2"/>
      <c r="AX1799" s="2"/>
      <c r="AY1799" s="2"/>
    </row>
    <row r="1800" spans="21:51" x14ac:dyDescent="0.25">
      <c r="U1800" s="2"/>
      <c r="W1800" s="5"/>
      <c r="X1800" s="5"/>
      <c r="Y1800" s="5"/>
      <c r="Z1800" s="5"/>
      <c r="AA1800" s="5"/>
      <c r="AB1800" s="5"/>
      <c r="AC1800" s="5"/>
      <c r="AD1800" s="5"/>
      <c r="AE1800" s="5"/>
      <c r="AQ1800" s="2"/>
      <c r="AR1800" s="2"/>
      <c r="AS1800" s="2"/>
      <c r="AT1800" s="2"/>
      <c r="AU1800" s="2"/>
      <c r="AV1800" s="2"/>
      <c r="AW1800" s="2"/>
      <c r="AX1800" s="2"/>
      <c r="AY1800" s="2"/>
    </row>
    <row r="1801" spans="21:51" x14ac:dyDescent="0.25">
      <c r="U1801" s="2"/>
      <c r="W1801" s="5"/>
      <c r="X1801" s="5"/>
      <c r="Y1801" s="5"/>
      <c r="Z1801" s="5"/>
      <c r="AA1801" s="5"/>
      <c r="AB1801" s="5"/>
      <c r="AC1801" s="5"/>
      <c r="AD1801" s="5"/>
      <c r="AE1801" s="5"/>
      <c r="AQ1801" s="2"/>
      <c r="AR1801" s="2"/>
      <c r="AS1801" s="2"/>
      <c r="AT1801" s="2"/>
      <c r="AU1801" s="2"/>
      <c r="AV1801" s="2"/>
      <c r="AW1801" s="2"/>
      <c r="AX1801" s="2"/>
      <c r="AY1801" s="2"/>
    </row>
    <row r="1802" spans="21:51" x14ac:dyDescent="0.25">
      <c r="U1802" s="2"/>
      <c r="W1802" s="5"/>
      <c r="X1802" s="5"/>
      <c r="Y1802" s="5"/>
      <c r="Z1802" s="5"/>
      <c r="AA1802" s="5"/>
      <c r="AB1802" s="5"/>
      <c r="AC1802" s="5"/>
      <c r="AD1802" s="5"/>
      <c r="AE1802" s="5"/>
      <c r="AQ1802" s="2"/>
      <c r="AR1802" s="2"/>
      <c r="AS1802" s="2"/>
      <c r="AT1802" s="2"/>
      <c r="AU1802" s="2"/>
      <c r="AV1802" s="2"/>
      <c r="AW1802" s="2"/>
      <c r="AX1802" s="2"/>
      <c r="AY1802" s="2"/>
    </row>
    <row r="1803" spans="21:51" x14ac:dyDescent="0.25">
      <c r="U1803" s="2"/>
      <c r="W1803" s="5"/>
      <c r="X1803" s="5"/>
      <c r="Y1803" s="5"/>
      <c r="Z1803" s="5"/>
      <c r="AA1803" s="5"/>
      <c r="AB1803" s="5"/>
      <c r="AC1803" s="5"/>
      <c r="AD1803" s="5"/>
      <c r="AE1803" s="5"/>
      <c r="AQ1803" s="2"/>
      <c r="AR1803" s="2"/>
      <c r="AS1803" s="2"/>
      <c r="AT1803" s="2"/>
      <c r="AU1803" s="2"/>
      <c r="AV1803" s="2"/>
      <c r="AW1803" s="2"/>
      <c r="AX1803" s="2"/>
      <c r="AY1803" s="2"/>
    </row>
    <row r="1804" spans="21:51" x14ac:dyDescent="0.25">
      <c r="U1804" s="2"/>
      <c r="W1804" s="5"/>
      <c r="X1804" s="5"/>
      <c r="Y1804" s="5"/>
      <c r="Z1804" s="5"/>
      <c r="AA1804" s="5"/>
      <c r="AB1804" s="5"/>
      <c r="AC1804" s="5"/>
      <c r="AD1804" s="5"/>
      <c r="AE1804" s="5"/>
      <c r="AQ1804" s="2"/>
      <c r="AR1804" s="2"/>
      <c r="AS1804" s="2"/>
      <c r="AT1804" s="2"/>
      <c r="AU1804" s="2"/>
      <c r="AV1804" s="2"/>
      <c r="AW1804" s="2"/>
      <c r="AX1804" s="2"/>
      <c r="AY1804" s="2"/>
    </row>
    <row r="1805" spans="21:51" x14ac:dyDescent="0.25">
      <c r="U1805" s="2"/>
      <c r="W1805" s="5"/>
      <c r="X1805" s="5"/>
      <c r="Y1805" s="5"/>
      <c r="Z1805" s="5"/>
      <c r="AA1805" s="5"/>
      <c r="AB1805" s="5"/>
      <c r="AC1805" s="5"/>
      <c r="AD1805" s="5"/>
      <c r="AE1805" s="5"/>
      <c r="AQ1805" s="2"/>
      <c r="AR1805" s="2"/>
      <c r="AS1805" s="2"/>
      <c r="AT1805" s="2"/>
      <c r="AU1805" s="2"/>
      <c r="AV1805" s="2"/>
      <c r="AW1805" s="2"/>
      <c r="AX1805" s="2"/>
      <c r="AY1805" s="2"/>
    </row>
    <row r="1806" spans="21:51" x14ac:dyDescent="0.25">
      <c r="U1806" s="2"/>
      <c r="W1806" s="5"/>
      <c r="X1806" s="5"/>
      <c r="Y1806" s="5"/>
      <c r="Z1806" s="5"/>
      <c r="AA1806" s="5"/>
      <c r="AB1806" s="5"/>
      <c r="AC1806" s="5"/>
      <c r="AD1806" s="5"/>
      <c r="AE1806" s="5"/>
      <c r="AQ1806" s="2"/>
      <c r="AR1806" s="2"/>
      <c r="AS1806" s="2"/>
      <c r="AT1806" s="2"/>
      <c r="AU1806" s="2"/>
      <c r="AV1806" s="2"/>
      <c r="AW1806" s="2"/>
      <c r="AX1806" s="2"/>
      <c r="AY1806" s="2"/>
    </row>
    <row r="1807" spans="21:51" x14ac:dyDescent="0.25">
      <c r="U1807" s="2"/>
      <c r="W1807" s="5"/>
      <c r="X1807" s="5"/>
      <c r="Y1807" s="5"/>
      <c r="Z1807" s="5"/>
      <c r="AA1807" s="5"/>
      <c r="AB1807" s="5"/>
      <c r="AC1807" s="5"/>
      <c r="AD1807" s="5"/>
      <c r="AE1807" s="5"/>
      <c r="AQ1807" s="2"/>
      <c r="AR1807" s="2"/>
      <c r="AS1807" s="2"/>
      <c r="AT1807" s="2"/>
      <c r="AU1807" s="2"/>
      <c r="AV1807" s="2"/>
      <c r="AW1807" s="2"/>
      <c r="AX1807" s="2"/>
      <c r="AY1807" s="2"/>
    </row>
    <row r="1808" spans="21:51" x14ac:dyDescent="0.25">
      <c r="U1808" s="2"/>
      <c r="W1808" s="5"/>
      <c r="X1808" s="5"/>
      <c r="Y1808" s="5"/>
      <c r="Z1808" s="5"/>
      <c r="AA1808" s="5"/>
      <c r="AB1808" s="5"/>
      <c r="AC1808" s="5"/>
      <c r="AD1808" s="5"/>
      <c r="AE1808" s="5"/>
      <c r="AQ1808" s="2"/>
      <c r="AR1808" s="2"/>
      <c r="AS1808" s="2"/>
      <c r="AT1808" s="2"/>
      <c r="AU1808" s="2"/>
      <c r="AV1808" s="2"/>
      <c r="AW1808" s="2"/>
      <c r="AX1808" s="2"/>
      <c r="AY1808" s="2"/>
    </row>
    <row r="1809" spans="21:51" x14ac:dyDescent="0.25">
      <c r="U1809" s="2"/>
      <c r="W1809" s="5"/>
      <c r="X1809" s="5"/>
      <c r="Y1809" s="5"/>
      <c r="Z1809" s="5"/>
      <c r="AA1809" s="5"/>
      <c r="AB1809" s="5"/>
      <c r="AC1809" s="5"/>
      <c r="AD1809" s="5"/>
      <c r="AE1809" s="5"/>
      <c r="AQ1809" s="2"/>
      <c r="AR1809" s="2"/>
      <c r="AS1809" s="2"/>
      <c r="AT1809" s="2"/>
      <c r="AU1809" s="2"/>
      <c r="AV1809" s="2"/>
      <c r="AW1809" s="2"/>
      <c r="AX1809" s="2"/>
      <c r="AY1809" s="2"/>
    </row>
    <row r="1810" spans="21:51" x14ac:dyDescent="0.25">
      <c r="U1810" s="2"/>
      <c r="W1810" s="5"/>
      <c r="X1810" s="5"/>
      <c r="Y1810" s="5"/>
      <c r="Z1810" s="5"/>
      <c r="AA1810" s="5"/>
      <c r="AB1810" s="5"/>
      <c r="AC1810" s="5"/>
      <c r="AD1810" s="5"/>
      <c r="AE1810" s="5"/>
      <c r="AQ1810" s="2"/>
      <c r="AR1810" s="2"/>
      <c r="AS1810" s="2"/>
      <c r="AT1810" s="2"/>
      <c r="AU1810" s="2"/>
      <c r="AV1810" s="2"/>
      <c r="AW1810" s="2"/>
      <c r="AX1810" s="2"/>
      <c r="AY1810" s="2"/>
    </row>
    <row r="1811" spans="21:51" x14ac:dyDescent="0.25">
      <c r="U1811" s="2"/>
      <c r="W1811" s="5"/>
      <c r="X1811" s="5"/>
      <c r="Y1811" s="5"/>
      <c r="Z1811" s="5"/>
      <c r="AA1811" s="5"/>
      <c r="AB1811" s="5"/>
      <c r="AC1811" s="5"/>
      <c r="AD1811" s="5"/>
      <c r="AE1811" s="5"/>
      <c r="AQ1811" s="2"/>
      <c r="AR1811" s="2"/>
      <c r="AS1811" s="2"/>
      <c r="AT1811" s="2"/>
      <c r="AU1811" s="2"/>
      <c r="AV1811" s="2"/>
      <c r="AW1811" s="2"/>
      <c r="AX1811" s="2"/>
      <c r="AY1811" s="2"/>
    </row>
    <row r="1812" spans="21:51" x14ac:dyDescent="0.25">
      <c r="U1812" s="2"/>
      <c r="W1812" s="5"/>
      <c r="X1812" s="5"/>
      <c r="Y1812" s="5"/>
      <c r="Z1812" s="5"/>
      <c r="AA1812" s="5"/>
      <c r="AB1812" s="5"/>
      <c r="AC1812" s="5"/>
      <c r="AD1812" s="5"/>
      <c r="AE1812" s="5"/>
      <c r="AQ1812" s="2"/>
      <c r="AR1812" s="2"/>
      <c r="AS1812" s="2"/>
      <c r="AT1812" s="2"/>
      <c r="AU1812" s="2"/>
      <c r="AV1812" s="2"/>
      <c r="AW1812" s="2"/>
      <c r="AX1812" s="2"/>
      <c r="AY1812" s="2"/>
    </row>
    <row r="1813" spans="21:51" x14ac:dyDescent="0.25">
      <c r="U1813" s="2"/>
      <c r="W1813" s="5"/>
      <c r="X1813" s="5"/>
      <c r="Y1813" s="5"/>
      <c r="Z1813" s="5"/>
      <c r="AA1813" s="5"/>
      <c r="AB1813" s="5"/>
      <c r="AC1813" s="5"/>
      <c r="AD1813" s="5"/>
      <c r="AE1813" s="5"/>
      <c r="AQ1813" s="2"/>
      <c r="AR1813" s="2"/>
      <c r="AS1813" s="2"/>
      <c r="AT1813" s="2"/>
      <c r="AU1813" s="2"/>
      <c r="AV1813" s="2"/>
      <c r="AW1813" s="2"/>
      <c r="AX1813" s="2"/>
      <c r="AY1813" s="2"/>
    </row>
    <row r="1814" spans="21:51" x14ac:dyDescent="0.25">
      <c r="U1814" s="2"/>
      <c r="W1814" s="5"/>
      <c r="X1814" s="5"/>
      <c r="Y1814" s="5"/>
      <c r="Z1814" s="5"/>
      <c r="AA1814" s="5"/>
      <c r="AB1814" s="5"/>
      <c r="AC1814" s="5"/>
      <c r="AD1814" s="5"/>
      <c r="AE1814" s="5"/>
      <c r="AQ1814" s="2"/>
      <c r="AR1814" s="2"/>
      <c r="AS1814" s="2"/>
      <c r="AT1814" s="2"/>
      <c r="AU1814" s="2"/>
      <c r="AV1814" s="2"/>
      <c r="AW1814" s="2"/>
      <c r="AX1814" s="2"/>
      <c r="AY1814" s="2"/>
    </row>
    <row r="1815" spans="21:51" x14ac:dyDescent="0.25">
      <c r="U1815" s="2"/>
      <c r="W1815" s="5"/>
      <c r="X1815" s="5"/>
      <c r="Y1815" s="5"/>
      <c r="Z1815" s="5"/>
      <c r="AA1815" s="5"/>
      <c r="AB1815" s="5"/>
      <c r="AC1815" s="5"/>
      <c r="AD1815" s="5"/>
      <c r="AE1815" s="5"/>
      <c r="AQ1815" s="2"/>
      <c r="AR1815" s="2"/>
      <c r="AS1815" s="2"/>
      <c r="AT1815" s="2"/>
      <c r="AU1815" s="2"/>
      <c r="AV1815" s="2"/>
      <c r="AW1815" s="2"/>
      <c r="AX1815" s="2"/>
      <c r="AY1815" s="2"/>
    </row>
    <row r="1816" spans="21:51" x14ac:dyDescent="0.25">
      <c r="U1816" s="2"/>
      <c r="W1816" s="5"/>
      <c r="X1816" s="5"/>
      <c r="Y1816" s="5"/>
      <c r="Z1816" s="5"/>
      <c r="AA1816" s="5"/>
      <c r="AB1816" s="5"/>
      <c r="AC1816" s="5"/>
      <c r="AD1816" s="5"/>
      <c r="AE1816" s="5"/>
      <c r="AQ1816" s="2"/>
      <c r="AR1816" s="2"/>
      <c r="AS1816" s="2"/>
      <c r="AT1816" s="2"/>
      <c r="AU1816" s="2"/>
      <c r="AV1816" s="2"/>
      <c r="AW1816" s="2"/>
      <c r="AX1816" s="2"/>
      <c r="AY1816" s="2"/>
    </row>
    <row r="1817" spans="21:51" x14ac:dyDescent="0.25">
      <c r="U1817" s="2"/>
      <c r="W1817" s="5"/>
      <c r="X1817" s="5"/>
      <c r="Y1817" s="5"/>
      <c r="Z1817" s="5"/>
      <c r="AA1817" s="5"/>
      <c r="AB1817" s="5"/>
      <c r="AC1817" s="5"/>
      <c r="AD1817" s="5"/>
      <c r="AE1817" s="5"/>
      <c r="AQ1817" s="2"/>
      <c r="AR1817" s="2"/>
      <c r="AS1817" s="2"/>
      <c r="AT1817" s="2"/>
      <c r="AU1817" s="2"/>
      <c r="AV1817" s="2"/>
      <c r="AW1817" s="2"/>
      <c r="AX1817" s="2"/>
      <c r="AY1817" s="2"/>
    </row>
    <row r="1818" spans="21:51" x14ac:dyDescent="0.25">
      <c r="U1818" s="2"/>
      <c r="W1818" s="5"/>
      <c r="X1818" s="5"/>
      <c r="Y1818" s="5"/>
      <c r="Z1818" s="5"/>
      <c r="AA1818" s="5"/>
      <c r="AB1818" s="5"/>
      <c r="AC1818" s="5"/>
      <c r="AD1818" s="5"/>
      <c r="AE1818" s="5"/>
      <c r="AQ1818" s="2"/>
      <c r="AR1818" s="2"/>
      <c r="AS1818" s="2"/>
      <c r="AT1818" s="2"/>
      <c r="AU1818" s="2"/>
      <c r="AV1818" s="2"/>
      <c r="AW1818" s="2"/>
      <c r="AX1818" s="2"/>
      <c r="AY1818" s="2"/>
    </row>
    <row r="1819" spans="21:51" x14ac:dyDescent="0.25">
      <c r="U1819" s="2"/>
      <c r="W1819" s="5"/>
      <c r="X1819" s="5"/>
      <c r="Y1819" s="5"/>
      <c r="Z1819" s="5"/>
      <c r="AA1819" s="5"/>
      <c r="AB1819" s="5"/>
      <c r="AC1819" s="5"/>
      <c r="AD1819" s="5"/>
      <c r="AE1819" s="5"/>
      <c r="AQ1819" s="2"/>
      <c r="AR1819" s="2"/>
      <c r="AS1819" s="2"/>
      <c r="AT1819" s="2"/>
      <c r="AU1819" s="2"/>
      <c r="AV1819" s="2"/>
      <c r="AW1819" s="2"/>
      <c r="AX1819" s="2"/>
      <c r="AY1819" s="2"/>
    </row>
    <row r="1820" spans="21:51" x14ac:dyDescent="0.25">
      <c r="U1820" s="2"/>
      <c r="W1820" s="5"/>
      <c r="X1820" s="5"/>
      <c r="Y1820" s="5"/>
      <c r="Z1820" s="5"/>
      <c r="AA1820" s="5"/>
      <c r="AB1820" s="5"/>
      <c r="AC1820" s="5"/>
      <c r="AD1820" s="5"/>
      <c r="AE1820" s="5"/>
      <c r="AQ1820" s="2"/>
      <c r="AR1820" s="2"/>
      <c r="AS1820" s="2"/>
      <c r="AT1820" s="2"/>
      <c r="AU1820" s="2"/>
      <c r="AV1820" s="2"/>
      <c r="AW1820" s="2"/>
      <c r="AX1820" s="2"/>
      <c r="AY1820" s="2"/>
    </row>
    <row r="1821" spans="21:51" x14ac:dyDescent="0.25">
      <c r="U1821" s="2"/>
      <c r="W1821" s="5"/>
      <c r="X1821" s="5"/>
      <c r="Y1821" s="5"/>
      <c r="Z1821" s="5"/>
      <c r="AA1821" s="5"/>
      <c r="AB1821" s="5"/>
      <c r="AC1821" s="5"/>
      <c r="AD1821" s="5"/>
      <c r="AE1821" s="5"/>
      <c r="AQ1821" s="2"/>
      <c r="AR1821" s="2"/>
      <c r="AS1821" s="2"/>
      <c r="AT1821" s="2"/>
      <c r="AU1821" s="2"/>
      <c r="AV1821" s="2"/>
      <c r="AW1821" s="2"/>
      <c r="AX1821" s="2"/>
      <c r="AY1821" s="2"/>
    </row>
    <row r="1822" spans="21:51" x14ac:dyDescent="0.25">
      <c r="U1822" s="2"/>
      <c r="W1822" s="5"/>
      <c r="X1822" s="5"/>
      <c r="Y1822" s="5"/>
      <c r="Z1822" s="5"/>
      <c r="AA1822" s="5"/>
      <c r="AB1822" s="5"/>
      <c r="AC1822" s="5"/>
      <c r="AD1822" s="5"/>
      <c r="AE1822" s="5"/>
      <c r="AQ1822" s="2"/>
      <c r="AR1822" s="2"/>
      <c r="AS1822" s="2"/>
      <c r="AT1822" s="2"/>
      <c r="AU1822" s="2"/>
      <c r="AV1822" s="2"/>
      <c r="AW1822" s="2"/>
      <c r="AX1822" s="2"/>
      <c r="AY1822" s="2"/>
    </row>
    <row r="1823" spans="21:51" x14ac:dyDescent="0.25">
      <c r="U1823" s="2"/>
      <c r="W1823" s="5"/>
      <c r="X1823" s="5"/>
      <c r="Y1823" s="5"/>
      <c r="Z1823" s="5"/>
      <c r="AA1823" s="5"/>
      <c r="AB1823" s="5"/>
      <c r="AC1823" s="5"/>
      <c r="AD1823" s="5"/>
      <c r="AE1823" s="5"/>
      <c r="AQ1823" s="2"/>
      <c r="AR1823" s="2"/>
      <c r="AS1823" s="2"/>
      <c r="AT1823" s="2"/>
      <c r="AU1823" s="2"/>
      <c r="AV1823" s="2"/>
      <c r="AW1823" s="2"/>
      <c r="AX1823" s="2"/>
      <c r="AY1823" s="2"/>
    </row>
    <row r="1824" spans="21:51" x14ac:dyDescent="0.25">
      <c r="U1824" s="2"/>
      <c r="W1824" s="5"/>
      <c r="X1824" s="5"/>
      <c r="Y1824" s="5"/>
      <c r="Z1824" s="5"/>
      <c r="AA1824" s="5"/>
      <c r="AB1824" s="5"/>
      <c r="AC1824" s="5"/>
      <c r="AD1824" s="5"/>
      <c r="AE1824" s="5"/>
      <c r="AQ1824" s="2"/>
      <c r="AR1824" s="2"/>
      <c r="AS1824" s="2"/>
      <c r="AT1824" s="2"/>
      <c r="AU1824" s="2"/>
      <c r="AV1824" s="2"/>
      <c r="AW1824" s="2"/>
      <c r="AX1824" s="2"/>
      <c r="AY1824" s="2"/>
    </row>
    <row r="1825" spans="21:51" x14ac:dyDescent="0.25">
      <c r="U1825" s="2"/>
      <c r="W1825" s="5"/>
      <c r="X1825" s="5"/>
      <c r="Y1825" s="5"/>
      <c r="Z1825" s="5"/>
      <c r="AA1825" s="5"/>
      <c r="AB1825" s="5"/>
      <c r="AC1825" s="5"/>
      <c r="AD1825" s="5"/>
      <c r="AE1825" s="5"/>
      <c r="AQ1825" s="2"/>
      <c r="AR1825" s="2"/>
      <c r="AS1825" s="2"/>
      <c r="AT1825" s="2"/>
      <c r="AU1825" s="2"/>
      <c r="AV1825" s="2"/>
      <c r="AW1825" s="2"/>
      <c r="AX1825" s="2"/>
      <c r="AY1825" s="2"/>
    </row>
    <row r="1826" spans="21:51" x14ac:dyDescent="0.25">
      <c r="U1826" s="2"/>
      <c r="W1826" s="5"/>
      <c r="X1826" s="5"/>
      <c r="Y1826" s="5"/>
      <c r="Z1826" s="5"/>
      <c r="AA1826" s="5"/>
      <c r="AB1826" s="5"/>
      <c r="AC1826" s="5"/>
      <c r="AD1826" s="5"/>
      <c r="AE1826" s="5"/>
      <c r="AQ1826" s="2"/>
      <c r="AR1826" s="2"/>
      <c r="AS1826" s="2"/>
      <c r="AT1826" s="2"/>
      <c r="AU1826" s="2"/>
      <c r="AV1826" s="2"/>
      <c r="AW1826" s="2"/>
      <c r="AX1826" s="2"/>
      <c r="AY1826" s="2"/>
    </row>
    <row r="1827" spans="21:51" x14ac:dyDescent="0.25">
      <c r="U1827" s="2"/>
      <c r="W1827" s="5"/>
      <c r="X1827" s="5"/>
      <c r="Y1827" s="5"/>
      <c r="Z1827" s="5"/>
      <c r="AA1827" s="5"/>
      <c r="AB1827" s="5"/>
      <c r="AC1827" s="5"/>
      <c r="AD1827" s="5"/>
      <c r="AE1827" s="5"/>
      <c r="AQ1827" s="2"/>
      <c r="AR1827" s="2"/>
      <c r="AS1827" s="2"/>
      <c r="AT1827" s="2"/>
      <c r="AU1827" s="2"/>
      <c r="AV1827" s="2"/>
      <c r="AW1827" s="2"/>
      <c r="AX1827" s="2"/>
      <c r="AY1827" s="2"/>
    </row>
    <row r="1828" spans="21:51" x14ac:dyDescent="0.25">
      <c r="U1828" s="2"/>
      <c r="W1828" s="5"/>
      <c r="X1828" s="5"/>
      <c r="Y1828" s="5"/>
      <c r="Z1828" s="5"/>
      <c r="AA1828" s="5"/>
      <c r="AB1828" s="5"/>
      <c r="AC1828" s="5"/>
      <c r="AD1828" s="5"/>
      <c r="AE1828" s="5"/>
      <c r="AQ1828" s="2"/>
      <c r="AR1828" s="2"/>
      <c r="AS1828" s="2"/>
      <c r="AT1828" s="2"/>
      <c r="AU1828" s="2"/>
      <c r="AV1828" s="2"/>
      <c r="AW1828" s="2"/>
      <c r="AX1828" s="2"/>
      <c r="AY1828" s="2"/>
    </row>
  </sheetData>
  <phoneticPr fontId="1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D6C3-FA2E-4BC9-A362-73D8E6E4DFBA}">
  <sheetPr>
    <tabColor rgb="FF00B050"/>
  </sheetPr>
  <dimension ref="A1:S1188"/>
  <sheetViews>
    <sheetView workbookViewId="0">
      <selection activeCell="L32" sqref="L32"/>
    </sheetView>
  </sheetViews>
  <sheetFormatPr defaultColWidth="12.42578125" defaultRowHeight="16.5" x14ac:dyDescent="0.25"/>
  <cols>
    <col min="1" max="1" width="13" style="27" bestFit="1" customWidth="1"/>
    <col min="2" max="10" width="12.42578125" style="26"/>
    <col min="11" max="11" width="13" style="26" bestFit="1" customWidth="1"/>
    <col min="12" max="16384" width="12.42578125" style="26"/>
  </cols>
  <sheetData>
    <row r="1" spans="1:19" x14ac:dyDescent="0.25">
      <c r="B1" s="26">
        <v>14</v>
      </c>
      <c r="C1" s="26">
        <v>21</v>
      </c>
      <c r="D1" s="26">
        <v>30</v>
      </c>
      <c r="E1" s="26">
        <v>60</v>
      </c>
      <c r="F1" s="26">
        <v>90</v>
      </c>
      <c r="G1" s="26">
        <v>180</v>
      </c>
      <c r="H1" s="26">
        <v>270</v>
      </c>
      <c r="I1" s="26">
        <v>365</v>
      </c>
      <c r="L1" s="32"/>
      <c r="M1" s="32"/>
      <c r="N1" s="32"/>
      <c r="O1" s="32"/>
      <c r="P1" s="32"/>
      <c r="Q1" s="32"/>
      <c r="R1" s="32"/>
      <c r="S1" s="32"/>
    </row>
    <row r="2" spans="1:19" x14ac:dyDescent="0.25">
      <c r="A2" s="29" t="s">
        <v>86</v>
      </c>
      <c r="B2" s="28" t="s">
        <v>77</v>
      </c>
      <c r="C2" s="28" t="s">
        <v>78</v>
      </c>
      <c r="D2" s="28" t="s">
        <v>79</v>
      </c>
      <c r="E2" s="28" t="s">
        <v>80</v>
      </c>
      <c r="F2" s="28" t="s">
        <v>81</v>
      </c>
      <c r="G2" s="28" t="s">
        <v>82</v>
      </c>
      <c r="H2" s="28" t="s">
        <v>83</v>
      </c>
      <c r="I2" s="28" t="s">
        <v>84</v>
      </c>
      <c r="L2" s="28"/>
      <c r="M2" s="28"/>
      <c r="N2" s="28"/>
      <c r="O2" s="28"/>
      <c r="P2" s="28"/>
      <c r="Q2" s="28"/>
      <c r="R2" s="28"/>
      <c r="S2" s="28"/>
    </row>
    <row r="3" spans="1:19" x14ac:dyDescent="0.25">
      <c r="A3" s="29">
        <v>43983</v>
      </c>
      <c r="B3" s="31">
        <v>0.65</v>
      </c>
      <c r="C3" s="31" t="s">
        <v>85</v>
      </c>
      <c r="D3" s="31">
        <v>1.1950000000000001</v>
      </c>
      <c r="E3" s="31" t="s">
        <v>85</v>
      </c>
      <c r="F3" s="31">
        <v>2.2149999999999999</v>
      </c>
      <c r="G3" s="31">
        <v>2.96</v>
      </c>
      <c r="H3" s="31" t="s">
        <v>85</v>
      </c>
      <c r="I3" s="31" t="s">
        <v>85</v>
      </c>
      <c r="K3" s="27"/>
      <c r="L3" s="30"/>
      <c r="M3" s="30"/>
      <c r="N3" s="30"/>
      <c r="O3" s="30"/>
      <c r="P3" s="30"/>
      <c r="Q3" s="30"/>
      <c r="R3" s="30"/>
      <c r="S3" s="30"/>
    </row>
    <row r="4" spans="1:19" x14ac:dyDescent="0.25">
      <c r="A4" s="29">
        <v>43984</v>
      </c>
      <c r="B4" s="31">
        <v>0.61499999999999999</v>
      </c>
      <c r="C4" s="31" t="s">
        <v>85</v>
      </c>
      <c r="D4" s="31">
        <v>1.155</v>
      </c>
      <c r="E4" s="31" t="s">
        <v>85</v>
      </c>
      <c r="F4" s="31">
        <v>2.2149999999999999</v>
      </c>
      <c r="G4" s="31">
        <v>2.8450000000000002</v>
      </c>
      <c r="H4" s="31" t="s">
        <v>85</v>
      </c>
      <c r="I4" s="31" t="s">
        <v>85</v>
      </c>
      <c r="K4" s="27"/>
      <c r="L4" s="30"/>
      <c r="M4" s="30"/>
      <c r="N4" s="30"/>
      <c r="O4" s="30"/>
      <c r="P4" s="30"/>
      <c r="Q4" s="30"/>
      <c r="R4" s="30"/>
      <c r="S4" s="30"/>
    </row>
    <row r="5" spans="1:19" x14ac:dyDescent="0.25">
      <c r="A5" s="29">
        <v>43985</v>
      </c>
      <c r="B5" s="31">
        <v>0.625</v>
      </c>
      <c r="C5" s="31" t="s">
        <v>85</v>
      </c>
      <c r="D5" s="31">
        <v>1.155</v>
      </c>
      <c r="E5" s="31" t="s">
        <v>85</v>
      </c>
      <c r="F5" s="31">
        <v>2.2149999999999999</v>
      </c>
      <c r="G5" s="31">
        <v>2.8250000000000002</v>
      </c>
      <c r="H5" s="31" t="s">
        <v>85</v>
      </c>
      <c r="I5" s="31" t="s">
        <v>85</v>
      </c>
      <c r="K5" s="27"/>
      <c r="L5" s="30"/>
      <c r="M5" s="30"/>
      <c r="N5" s="30"/>
      <c r="O5" s="30"/>
      <c r="P5" s="30"/>
      <c r="Q5" s="30"/>
      <c r="R5" s="30"/>
      <c r="S5" s="30"/>
    </row>
    <row r="6" spans="1:19" x14ac:dyDescent="0.25">
      <c r="A6" s="29">
        <v>43986</v>
      </c>
      <c r="B6" s="31">
        <v>0.61499999999999999</v>
      </c>
      <c r="C6" s="31" t="s">
        <v>85</v>
      </c>
      <c r="D6" s="31">
        <v>1.125</v>
      </c>
      <c r="E6" s="31" t="s">
        <v>85</v>
      </c>
      <c r="F6" s="31">
        <v>2.1549999999999998</v>
      </c>
      <c r="G6" s="31">
        <v>2.8050000000000002</v>
      </c>
      <c r="H6" s="31" t="s">
        <v>85</v>
      </c>
      <c r="I6" s="31" t="s">
        <v>85</v>
      </c>
      <c r="K6" s="27"/>
      <c r="L6" s="30"/>
      <c r="M6" s="30"/>
      <c r="N6" s="30"/>
      <c r="O6" s="30"/>
      <c r="P6" s="30"/>
      <c r="Q6" s="30"/>
      <c r="R6" s="30"/>
      <c r="S6" s="30"/>
    </row>
    <row r="7" spans="1:19" x14ac:dyDescent="0.25">
      <c r="A7" s="29">
        <v>43987</v>
      </c>
      <c r="B7" s="31">
        <v>0.56000000000000005</v>
      </c>
      <c r="C7" s="31" t="s">
        <v>85</v>
      </c>
      <c r="D7" s="31">
        <v>1.0549999999999999</v>
      </c>
      <c r="E7" s="31" t="s">
        <v>85</v>
      </c>
      <c r="F7" s="31">
        <v>2.14</v>
      </c>
      <c r="G7" s="31">
        <v>2.7949999999999999</v>
      </c>
      <c r="H7" s="31" t="s">
        <v>85</v>
      </c>
      <c r="I7" s="31" t="s">
        <v>85</v>
      </c>
      <c r="K7" s="27"/>
      <c r="L7" s="30"/>
      <c r="M7" s="30"/>
      <c r="N7" s="30"/>
      <c r="O7" s="30"/>
      <c r="P7" s="30"/>
      <c r="Q7" s="30"/>
      <c r="R7" s="30"/>
      <c r="S7" s="30"/>
    </row>
    <row r="8" spans="1:19" x14ac:dyDescent="0.25">
      <c r="A8" s="29">
        <v>43990</v>
      </c>
      <c r="B8" s="31">
        <v>0.42499999999999999</v>
      </c>
      <c r="C8" s="31" t="s">
        <v>85</v>
      </c>
      <c r="D8" s="31">
        <v>0.81499999999999995</v>
      </c>
      <c r="E8" s="31" t="s">
        <v>85</v>
      </c>
      <c r="F8" s="31">
        <v>2.0449999999999999</v>
      </c>
      <c r="G8" s="31">
        <v>2.7450000000000001</v>
      </c>
      <c r="H8" s="31" t="s">
        <v>85</v>
      </c>
      <c r="I8" s="31" t="s">
        <v>85</v>
      </c>
      <c r="K8" s="27"/>
      <c r="L8" s="30"/>
      <c r="M8" s="30"/>
      <c r="N8" s="30"/>
      <c r="O8" s="30"/>
      <c r="P8" s="30"/>
      <c r="Q8" s="30"/>
      <c r="R8" s="30"/>
      <c r="S8" s="30"/>
    </row>
    <row r="9" spans="1:19" x14ac:dyDescent="0.25">
      <c r="A9" s="29">
        <v>43991</v>
      </c>
      <c r="B9" s="31">
        <v>0.42499999999999999</v>
      </c>
      <c r="C9" s="31" t="s">
        <v>85</v>
      </c>
      <c r="D9" s="31">
        <v>0.81499999999999995</v>
      </c>
      <c r="E9" s="31" t="s">
        <v>85</v>
      </c>
      <c r="F9" s="31">
        <v>2.0449999999999999</v>
      </c>
      <c r="G9" s="31">
        <v>2.7450000000000001</v>
      </c>
      <c r="H9" s="31" t="s">
        <v>85</v>
      </c>
      <c r="I9" s="31" t="s">
        <v>85</v>
      </c>
      <c r="K9" s="27"/>
      <c r="L9" s="30"/>
      <c r="M9" s="30"/>
      <c r="N9" s="30"/>
      <c r="O9" s="30"/>
      <c r="P9" s="30"/>
      <c r="Q9" s="30"/>
      <c r="R9" s="30"/>
      <c r="S9" s="30"/>
    </row>
    <row r="10" spans="1:19" x14ac:dyDescent="0.25">
      <c r="A10" s="29">
        <v>43992</v>
      </c>
      <c r="B10" s="31">
        <v>0.39</v>
      </c>
      <c r="C10" s="31" t="s">
        <v>85</v>
      </c>
      <c r="D10" s="31">
        <v>0.73</v>
      </c>
      <c r="E10" s="31" t="s">
        <v>85</v>
      </c>
      <c r="F10" s="31">
        <v>2.02</v>
      </c>
      <c r="G10" s="31">
        <v>2.7</v>
      </c>
      <c r="H10" s="31" t="s">
        <v>85</v>
      </c>
      <c r="I10" s="31" t="s">
        <v>85</v>
      </c>
      <c r="K10" s="27"/>
      <c r="L10" s="30"/>
      <c r="M10" s="30"/>
      <c r="N10" s="30"/>
      <c r="O10" s="30"/>
      <c r="P10" s="30"/>
      <c r="Q10" s="30"/>
      <c r="R10" s="30"/>
      <c r="S10" s="30"/>
    </row>
    <row r="11" spans="1:19" x14ac:dyDescent="0.25">
      <c r="A11" s="29">
        <v>43993</v>
      </c>
      <c r="B11" s="31">
        <v>0.38</v>
      </c>
      <c r="C11" s="31" t="s">
        <v>85</v>
      </c>
      <c r="D11" s="31">
        <v>0.73</v>
      </c>
      <c r="E11" s="31" t="s">
        <v>85</v>
      </c>
      <c r="F11" s="31">
        <v>2.0099999999999998</v>
      </c>
      <c r="G11" s="31">
        <v>2.67</v>
      </c>
      <c r="H11" s="31" t="s">
        <v>85</v>
      </c>
      <c r="I11" s="31" t="s">
        <v>85</v>
      </c>
      <c r="K11" s="27"/>
      <c r="L11" s="30"/>
      <c r="M11" s="30"/>
      <c r="N11" s="30"/>
      <c r="O11" s="30"/>
      <c r="P11" s="30"/>
      <c r="Q11" s="30"/>
      <c r="R11" s="30"/>
      <c r="S11" s="30"/>
    </row>
    <row r="12" spans="1:19" x14ac:dyDescent="0.25">
      <c r="A12" s="29">
        <v>43994</v>
      </c>
      <c r="B12" s="31">
        <v>0.35799999999999998</v>
      </c>
      <c r="C12" s="31" t="s">
        <v>85</v>
      </c>
      <c r="D12" s="31">
        <v>0.7</v>
      </c>
      <c r="E12" s="31" t="s">
        <v>85</v>
      </c>
      <c r="F12" s="31">
        <v>2.0099999999999998</v>
      </c>
      <c r="G12" s="31">
        <v>2.67</v>
      </c>
      <c r="H12" s="31" t="s">
        <v>85</v>
      </c>
      <c r="I12" s="31" t="s">
        <v>85</v>
      </c>
      <c r="K12" s="27"/>
      <c r="L12" s="30"/>
      <c r="M12" s="30"/>
      <c r="N12" s="30"/>
      <c r="O12" s="30"/>
      <c r="P12" s="30"/>
      <c r="Q12" s="30"/>
      <c r="R12" s="30"/>
      <c r="S12" s="30"/>
    </row>
    <row r="13" spans="1:19" x14ac:dyDescent="0.25">
      <c r="A13" s="29">
        <v>43997</v>
      </c>
      <c r="B13" s="31">
        <v>0.33</v>
      </c>
      <c r="C13" s="31" t="s">
        <v>85</v>
      </c>
      <c r="D13" s="31">
        <v>0.63</v>
      </c>
      <c r="E13" s="31" t="s">
        <v>85</v>
      </c>
      <c r="F13" s="31">
        <v>1.95</v>
      </c>
      <c r="G13" s="31">
        <v>2.66</v>
      </c>
      <c r="H13" s="31" t="s">
        <v>85</v>
      </c>
      <c r="I13" s="31" t="s">
        <v>85</v>
      </c>
      <c r="K13" s="27"/>
      <c r="L13" s="30"/>
      <c r="M13" s="30"/>
      <c r="N13" s="30"/>
      <c r="O13" s="30"/>
      <c r="P13" s="30"/>
      <c r="Q13" s="30"/>
      <c r="R13" s="30"/>
      <c r="S13" s="30"/>
    </row>
    <row r="14" spans="1:19" x14ac:dyDescent="0.25">
      <c r="A14" s="29">
        <v>43998</v>
      </c>
      <c r="B14" s="31">
        <v>0.32500000000000001</v>
      </c>
      <c r="C14" s="31" t="s">
        <v>85</v>
      </c>
      <c r="D14" s="31">
        <v>0.6</v>
      </c>
      <c r="E14" s="31" t="s">
        <v>85</v>
      </c>
      <c r="F14" s="31">
        <v>1.93</v>
      </c>
      <c r="G14" s="31">
        <v>2.65</v>
      </c>
      <c r="H14" s="31" t="s">
        <v>85</v>
      </c>
      <c r="I14" s="31" t="s">
        <v>85</v>
      </c>
      <c r="K14" s="27"/>
      <c r="L14" s="30"/>
      <c r="M14" s="30"/>
      <c r="N14" s="30"/>
      <c r="O14" s="30"/>
      <c r="P14" s="30"/>
      <c r="Q14" s="30"/>
      <c r="R14" s="30"/>
      <c r="S14" s="30"/>
    </row>
    <row r="15" spans="1:19" x14ac:dyDescent="0.25">
      <c r="A15" s="29">
        <v>43999</v>
      </c>
      <c r="B15" s="31">
        <v>0.30499999999999999</v>
      </c>
      <c r="C15" s="31" t="s">
        <v>85</v>
      </c>
      <c r="D15" s="31">
        <v>0.55500000000000005</v>
      </c>
      <c r="E15" s="31" t="s">
        <v>85</v>
      </c>
      <c r="F15" s="31">
        <v>1.915</v>
      </c>
      <c r="G15" s="31">
        <v>2.65</v>
      </c>
      <c r="H15" s="31" t="s">
        <v>85</v>
      </c>
      <c r="I15" s="31" t="s">
        <v>85</v>
      </c>
      <c r="K15" s="27"/>
      <c r="L15" s="30"/>
      <c r="M15" s="30"/>
      <c r="N15" s="30"/>
      <c r="O15" s="30"/>
      <c r="P15" s="30"/>
      <c r="Q15" s="30"/>
      <c r="R15" s="30"/>
      <c r="S15" s="30"/>
    </row>
    <row r="16" spans="1:19" x14ac:dyDescent="0.25">
      <c r="A16" s="29">
        <v>44000</v>
      </c>
      <c r="B16" s="31">
        <v>0.28999999999999998</v>
      </c>
      <c r="C16" s="31" t="s">
        <v>85</v>
      </c>
      <c r="D16" s="31">
        <v>0.52</v>
      </c>
      <c r="E16" s="31" t="s">
        <v>85</v>
      </c>
      <c r="F16" s="31">
        <v>1.885</v>
      </c>
      <c r="G16" s="31">
        <v>2.63</v>
      </c>
      <c r="H16" s="31" t="s">
        <v>85</v>
      </c>
      <c r="I16" s="31" t="s">
        <v>85</v>
      </c>
      <c r="K16" s="27"/>
      <c r="L16" s="30"/>
      <c r="M16" s="30"/>
      <c r="N16" s="30"/>
      <c r="O16" s="30"/>
      <c r="P16" s="30"/>
      <c r="Q16" s="30"/>
      <c r="R16" s="30"/>
      <c r="S16" s="30"/>
    </row>
    <row r="17" spans="1:19" x14ac:dyDescent="0.25">
      <c r="A17" s="29">
        <v>44001</v>
      </c>
      <c r="B17" s="31">
        <v>0.24299999999999999</v>
      </c>
      <c r="C17" s="31" t="s">
        <v>85</v>
      </c>
      <c r="D17" s="31">
        <v>0.48499999999999999</v>
      </c>
      <c r="E17" s="31" t="s">
        <v>85</v>
      </c>
      <c r="F17" s="31">
        <v>1.865</v>
      </c>
      <c r="G17" s="31">
        <v>2.62</v>
      </c>
      <c r="H17" s="31" t="s">
        <v>85</v>
      </c>
      <c r="I17" s="31" t="s">
        <v>85</v>
      </c>
      <c r="K17" s="27"/>
      <c r="L17" s="30"/>
      <c r="M17" s="30"/>
      <c r="N17" s="30"/>
      <c r="O17" s="30"/>
      <c r="P17" s="30"/>
      <c r="Q17" s="30"/>
      <c r="R17" s="30"/>
      <c r="S17" s="30"/>
    </row>
    <row r="18" spans="1:19" x14ac:dyDescent="0.25">
      <c r="A18" s="29">
        <v>44004</v>
      </c>
      <c r="B18" s="31">
        <v>0.23499999999999999</v>
      </c>
      <c r="C18" s="31" t="s">
        <v>85</v>
      </c>
      <c r="D18" s="31">
        <v>0.46</v>
      </c>
      <c r="E18" s="31" t="s">
        <v>85</v>
      </c>
      <c r="F18" s="31">
        <v>1.835</v>
      </c>
      <c r="G18" s="31">
        <v>2.61</v>
      </c>
      <c r="H18" s="31" t="s">
        <v>85</v>
      </c>
      <c r="I18" s="31" t="s">
        <v>85</v>
      </c>
      <c r="K18" s="27"/>
      <c r="L18" s="30"/>
      <c r="M18" s="30"/>
      <c r="N18" s="30"/>
      <c r="O18" s="30"/>
      <c r="P18" s="30"/>
      <c r="Q18" s="30"/>
      <c r="R18" s="30"/>
      <c r="S18" s="30"/>
    </row>
    <row r="19" spans="1:19" x14ac:dyDescent="0.25">
      <c r="A19" s="29">
        <v>44005</v>
      </c>
      <c r="B19" s="31">
        <v>0.23300000000000001</v>
      </c>
      <c r="C19" s="31" t="s">
        <v>85</v>
      </c>
      <c r="D19" s="31">
        <v>0.42299999999999999</v>
      </c>
      <c r="E19" s="31" t="s">
        <v>85</v>
      </c>
      <c r="F19" s="31">
        <v>1.8149999999999999</v>
      </c>
      <c r="G19" s="31">
        <v>2.58</v>
      </c>
      <c r="H19" s="31" t="s">
        <v>85</v>
      </c>
      <c r="I19" s="31" t="s">
        <v>85</v>
      </c>
      <c r="K19" s="27"/>
      <c r="L19" s="30"/>
      <c r="M19" s="30"/>
      <c r="N19" s="30"/>
      <c r="O19" s="30"/>
      <c r="P19" s="30"/>
      <c r="Q19" s="30"/>
      <c r="R19" s="30"/>
      <c r="S19" s="30"/>
    </row>
    <row r="20" spans="1:19" x14ac:dyDescent="0.25">
      <c r="A20" s="29">
        <v>44006</v>
      </c>
      <c r="B20" s="31">
        <v>0.22800000000000001</v>
      </c>
      <c r="C20" s="31" t="s">
        <v>85</v>
      </c>
      <c r="D20" s="31">
        <v>0.41299999999999998</v>
      </c>
      <c r="E20" s="31" t="s">
        <v>85</v>
      </c>
      <c r="F20" s="31">
        <v>1.8149999999999999</v>
      </c>
      <c r="G20" s="31">
        <v>2.58</v>
      </c>
      <c r="H20" s="31" t="s">
        <v>85</v>
      </c>
      <c r="I20" s="31" t="s">
        <v>85</v>
      </c>
      <c r="K20" s="27"/>
      <c r="L20" s="30"/>
      <c r="M20" s="30"/>
      <c r="N20" s="30"/>
      <c r="O20" s="30"/>
      <c r="P20" s="30"/>
      <c r="Q20" s="30"/>
      <c r="R20" s="30"/>
      <c r="S20" s="30"/>
    </row>
    <row r="21" spans="1:19" x14ac:dyDescent="0.25">
      <c r="A21" s="29">
        <v>44007</v>
      </c>
      <c r="B21" s="31">
        <v>0.23</v>
      </c>
      <c r="C21" s="31" t="s">
        <v>85</v>
      </c>
      <c r="D21" s="31">
        <v>0.41499999999999998</v>
      </c>
      <c r="E21" s="31" t="s">
        <v>85</v>
      </c>
      <c r="F21" s="31">
        <v>1.8</v>
      </c>
      <c r="G21" s="31">
        <v>2.5550000000000002</v>
      </c>
      <c r="H21" s="31" t="s">
        <v>85</v>
      </c>
      <c r="I21" s="31" t="s">
        <v>85</v>
      </c>
      <c r="K21" s="27"/>
      <c r="L21" s="30"/>
      <c r="M21" s="30"/>
      <c r="N21" s="30"/>
      <c r="O21" s="30"/>
      <c r="P21" s="30"/>
      <c r="Q21" s="30"/>
      <c r="R21" s="30"/>
      <c r="S21" s="30"/>
    </row>
    <row r="22" spans="1:19" x14ac:dyDescent="0.25">
      <c r="A22" s="29">
        <v>44008</v>
      </c>
      <c r="B22" s="31">
        <v>0.23799999999999999</v>
      </c>
      <c r="C22" s="31" t="s">
        <v>85</v>
      </c>
      <c r="D22" s="31">
        <v>0.435</v>
      </c>
      <c r="E22" s="31" t="s">
        <v>85</v>
      </c>
      <c r="F22" s="31">
        <v>1.76</v>
      </c>
      <c r="G22" s="31">
        <v>2.5550000000000002</v>
      </c>
      <c r="H22" s="31" t="s">
        <v>85</v>
      </c>
      <c r="I22" s="31" t="s">
        <v>85</v>
      </c>
      <c r="K22" s="27"/>
      <c r="L22" s="30"/>
      <c r="M22" s="30"/>
      <c r="N22" s="30"/>
      <c r="O22" s="30"/>
      <c r="P22" s="30"/>
      <c r="Q22" s="30"/>
      <c r="R22" s="30"/>
      <c r="S22" s="30"/>
    </row>
    <row r="23" spans="1:19" x14ac:dyDescent="0.25">
      <c r="A23" s="29">
        <v>44011</v>
      </c>
      <c r="B23" s="31">
        <v>0.245</v>
      </c>
      <c r="C23" s="31" t="s">
        <v>85</v>
      </c>
      <c r="D23" s="31">
        <v>0.43</v>
      </c>
      <c r="E23" s="31" t="s">
        <v>85</v>
      </c>
      <c r="F23" s="31">
        <v>1.76</v>
      </c>
      <c r="G23" s="31">
        <v>2.57</v>
      </c>
      <c r="H23" s="31" t="s">
        <v>85</v>
      </c>
      <c r="I23" s="31" t="s">
        <v>85</v>
      </c>
      <c r="K23" s="27"/>
      <c r="L23" s="30"/>
      <c r="M23" s="30"/>
      <c r="N23" s="30"/>
      <c r="O23" s="30"/>
      <c r="P23" s="30"/>
      <c r="Q23" s="30"/>
      <c r="R23" s="30"/>
      <c r="S23" s="30"/>
    </row>
    <row r="24" spans="1:19" x14ac:dyDescent="0.25">
      <c r="A24" s="29">
        <v>44012</v>
      </c>
      <c r="B24" s="31">
        <v>0.25</v>
      </c>
      <c r="C24" s="31" t="s">
        <v>85</v>
      </c>
      <c r="D24" s="31">
        <v>0.435</v>
      </c>
      <c r="E24" s="31" t="s">
        <v>85</v>
      </c>
      <c r="F24" s="31">
        <v>1.76</v>
      </c>
      <c r="G24" s="31">
        <v>2.57</v>
      </c>
      <c r="H24" s="31" t="s">
        <v>85</v>
      </c>
      <c r="I24" s="31" t="s">
        <v>85</v>
      </c>
      <c r="K24" s="27"/>
      <c r="L24" s="30"/>
      <c r="M24" s="30"/>
      <c r="N24" s="30"/>
      <c r="O24" s="30"/>
      <c r="P24" s="30"/>
      <c r="Q24" s="30"/>
      <c r="R24" s="30"/>
      <c r="S24" s="30"/>
    </row>
    <row r="25" spans="1:19" x14ac:dyDescent="0.25">
      <c r="A25" s="29">
        <v>44013</v>
      </c>
      <c r="B25" s="31">
        <v>0.248</v>
      </c>
      <c r="C25" s="31" t="s">
        <v>85</v>
      </c>
      <c r="D25" s="31">
        <v>0.42799999999999999</v>
      </c>
      <c r="E25" s="31" t="s">
        <v>85</v>
      </c>
      <c r="F25" s="31">
        <v>1.76</v>
      </c>
      <c r="G25" s="31">
        <v>2.57</v>
      </c>
      <c r="H25" s="31" t="s">
        <v>85</v>
      </c>
      <c r="I25" s="31" t="s">
        <v>85</v>
      </c>
      <c r="K25" s="27"/>
      <c r="L25" s="30"/>
      <c r="M25" s="30"/>
      <c r="N25" s="30"/>
      <c r="O25" s="30"/>
      <c r="P25" s="30"/>
      <c r="Q25" s="30"/>
      <c r="R25" s="30"/>
      <c r="S25" s="30"/>
    </row>
    <row r="26" spans="1:19" x14ac:dyDescent="0.25">
      <c r="A26" s="29">
        <v>44014</v>
      </c>
      <c r="B26" s="31">
        <v>0.245</v>
      </c>
      <c r="C26" s="31" t="s">
        <v>85</v>
      </c>
      <c r="D26" s="31">
        <v>0.42499999999999999</v>
      </c>
      <c r="E26" s="31" t="s">
        <v>85</v>
      </c>
      <c r="F26" s="31">
        <v>1.74</v>
      </c>
      <c r="G26" s="31">
        <v>2.57</v>
      </c>
      <c r="H26" s="31" t="s">
        <v>85</v>
      </c>
      <c r="I26" s="31" t="s">
        <v>85</v>
      </c>
      <c r="K26" s="27"/>
      <c r="L26" s="30"/>
      <c r="M26" s="30"/>
      <c r="N26" s="30"/>
      <c r="O26" s="30"/>
      <c r="P26" s="30"/>
      <c r="Q26" s="30"/>
      <c r="R26" s="30"/>
      <c r="S26" s="30"/>
    </row>
    <row r="27" spans="1:19" x14ac:dyDescent="0.25">
      <c r="A27" s="29">
        <v>44015</v>
      </c>
      <c r="B27" s="31">
        <v>0.23799999999999999</v>
      </c>
      <c r="C27" s="31" t="s">
        <v>85</v>
      </c>
      <c r="D27" s="31">
        <v>0.42799999999999999</v>
      </c>
      <c r="E27" s="31" t="s">
        <v>85</v>
      </c>
      <c r="F27" s="31">
        <v>1.74</v>
      </c>
      <c r="G27" s="31">
        <v>2.57</v>
      </c>
      <c r="H27" s="31" t="s">
        <v>85</v>
      </c>
      <c r="I27" s="31" t="s">
        <v>85</v>
      </c>
      <c r="K27" s="27"/>
      <c r="L27" s="30"/>
      <c r="M27" s="30"/>
      <c r="N27" s="30"/>
      <c r="O27" s="30"/>
      <c r="P27" s="30"/>
      <c r="Q27" s="30"/>
      <c r="R27" s="30"/>
      <c r="S27" s="30"/>
    </row>
    <row r="28" spans="1:19" x14ac:dyDescent="0.25">
      <c r="A28" s="29">
        <v>44018</v>
      </c>
      <c r="B28" s="31">
        <v>0.23799999999999999</v>
      </c>
      <c r="C28" s="31" t="s">
        <v>85</v>
      </c>
      <c r="D28" s="31">
        <v>0.435</v>
      </c>
      <c r="E28" s="31" t="s">
        <v>85</v>
      </c>
      <c r="F28" s="31">
        <v>1.74</v>
      </c>
      <c r="G28" s="31">
        <v>2.57</v>
      </c>
      <c r="H28" s="31" t="s">
        <v>85</v>
      </c>
      <c r="I28" s="31" t="s">
        <v>85</v>
      </c>
      <c r="K28" s="27"/>
      <c r="L28" s="30"/>
      <c r="M28" s="30"/>
      <c r="N28" s="30"/>
      <c r="O28" s="30"/>
      <c r="P28" s="30"/>
      <c r="Q28" s="30"/>
      <c r="R28" s="30"/>
      <c r="S28" s="30"/>
    </row>
    <row r="29" spans="1:19" x14ac:dyDescent="0.25">
      <c r="A29" s="29">
        <v>44019</v>
      </c>
      <c r="B29" s="31">
        <v>0.23499999999999999</v>
      </c>
      <c r="C29" s="31" t="s">
        <v>85</v>
      </c>
      <c r="D29" s="31">
        <v>0.42299999999999999</v>
      </c>
      <c r="E29" s="31" t="s">
        <v>85</v>
      </c>
      <c r="F29" s="31">
        <v>1.74</v>
      </c>
      <c r="G29" s="31">
        <v>2.57</v>
      </c>
      <c r="H29" s="31" t="s">
        <v>85</v>
      </c>
      <c r="I29" s="31" t="s">
        <v>85</v>
      </c>
      <c r="K29" s="27"/>
      <c r="L29" s="30"/>
      <c r="M29" s="30"/>
      <c r="N29" s="30"/>
      <c r="O29" s="30"/>
      <c r="P29" s="30"/>
      <c r="Q29" s="30"/>
      <c r="R29" s="30"/>
      <c r="S29" s="30"/>
    </row>
    <row r="30" spans="1:19" x14ac:dyDescent="0.25">
      <c r="A30" s="29">
        <v>44020</v>
      </c>
      <c r="B30" s="31">
        <v>0.23899999999999999</v>
      </c>
      <c r="C30" s="31" t="s">
        <v>85</v>
      </c>
      <c r="D30" s="31">
        <v>0.41799999999999998</v>
      </c>
      <c r="E30" s="31" t="s">
        <v>85</v>
      </c>
      <c r="F30" s="31">
        <v>1.7050000000000001</v>
      </c>
      <c r="G30" s="31">
        <v>2.57</v>
      </c>
      <c r="H30" s="31" t="s">
        <v>85</v>
      </c>
      <c r="I30" s="31" t="s">
        <v>85</v>
      </c>
      <c r="K30" s="27"/>
      <c r="L30" s="30"/>
      <c r="M30" s="30"/>
      <c r="N30" s="30"/>
      <c r="O30" s="30"/>
      <c r="P30" s="30"/>
      <c r="Q30" s="30"/>
      <c r="R30" s="30"/>
      <c r="S30" s="30"/>
    </row>
    <row r="31" spans="1:19" x14ac:dyDescent="0.25">
      <c r="A31" s="29">
        <v>44021</v>
      </c>
      <c r="B31" s="31">
        <v>0.23</v>
      </c>
      <c r="C31" s="31" t="s">
        <v>85</v>
      </c>
      <c r="D31" s="31">
        <v>0.41499999999999998</v>
      </c>
      <c r="E31" s="31" t="s">
        <v>85</v>
      </c>
      <c r="F31" s="31">
        <v>1.6950000000000001</v>
      </c>
      <c r="G31" s="31">
        <v>2.57</v>
      </c>
      <c r="H31" s="31" t="s">
        <v>85</v>
      </c>
      <c r="I31" s="31" t="s">
        <v>85</v>
      </c>
      <c r="K31" s="27"/>
      <c r="L31" s="30"/>
      <c r="M31" s="30"/>
      <c r="N31" s="30"/>
      <c r="O31" s="30"/>
      <c r="P31" s="30"/>
      <c r="Q31" s="30"/>
      <c r="R31" s="30"/>
      <c r="S31" s="30"/>
    </row>
    <row r="32" spans="1:19" x14ac:dyDescent="0.25">
      <c r="A32" s="29">
        <v>44022</v>
      </c>
      <c r="B32" s="31">
        <v>0.23799999999999999</v>
      </c>
      <c r="C32" s="31" t="s">
        <v>85</v>
      </c>
      <c r="D32" s="31">
        <v>0.40500000000000003</v>
      </c>
      <c r="E32" s="31" t="s">
        <v>85</v>
      </c>
      <c r="F32" s="31">
        <v>1.6850000000000001</v>
      </c>
      <c r="G32" s="31">
        <v>2.57</v>
      </c>
      <c r="H32" s="31" t="s">
        <v>85</v>
      </c>
      <c r="I32" s="31" t="s">
        <v>85</v>
      </c>
      <c r="K32" s="27"/>
      <c r="L32" s="30"/>
      <c r="M32" s="30"/>
      <c r="N32" s="30"/>
      <c r="O32" s="30"/>
      <c r="P32" s="30"/>
      <c r="Q32" s="30"/>
      <c r="R32" s="30"/>
      <c r="S32" s="30"/>
    </row>
    <row r="33" spans="1:19" x14ac:dyDescent="0.25">
      <c r="A33" s="29">
        <v>44025</v>
      </c>
      <c r="B33" s="31">
        <v>0.23899999999999999</v>
      </c>
      <c r="C33" s="31">
        <v>0.32500000000000001</v>
      </c>
      <c r="D33" s="31">
        <v>0.41099999999999998</v>
      </c>
      <c r="E33" s="31">
        <v>1.089</v>
      </c>
      <c r="F33" s="31">
        <v>1.6559999999999999</v>
      </c>
      <c r="G33" s="31">
        <v>2.5939999999999999</v>
      </c>
      <c r="H33" s="31" t="s">
        <v>85</v>
      </c>
      <c r="I33" s="31" t="s">
        <v>85</v>
      </c>
      <c r="K33" s="27"/>
      <c r="L33" s="30"/>
      <c r="M33" s="30"/>
      <c r="N33" s="30"/>
      <c r="O33" s="30"/>
      <c r="P33" s="30"/>
      <c r="Q33" s="30"/>
      <c r="R33" s="30"/>
      <c r="S33" s="30"/>
    </row>
    <row r="34" spans="1:19" x14ac:dyDescent="0.25">
      <c r="A34" s="29">
        <v>44026</v>
      </c>
      <c r="B34" s="31">
        <v>0.23100000000000001</v>
      </c>
      <c r="C34" s="31">
        <v>0.313</v>
      </c>
      <c r="D34" s="31">
        <v>0.39400000000000002</v>
      </c>
      <c r="E34" s="31">
        <v>1.0169999999999999</v>
      </c>
      <c r="F34" s="31">
        <v>1.5940000000000001</v>
      </c>
      <c r="G34" s="31">
        <v>2.5609999999999999</v>
      </c>
      <c r="H34" s="31" t="s">
        <v>85</v>
      </c>
      <c r="I34" s="31" t="s">
        <v>85</v>
      </c>
      <c r="K34" s="27"/>
      <c r="L34" s="30"/>
      <c r="M34" s="30"/>
      <c r="N34" s="30"/>
      <c r="O34" s="30"/>
      <c r="P34" s="30"/>
      <c r="Q34" s="30"/>
      <c r="R34" s="30"/>
      <c r="S34" s="30"/>
    </row>
    <row r="35" spans="1:19" x14ac:dyDescent="0.25">
      <c r="A35" s="29">
        <v>44027</v>
      </c>
      <c r="B35" s="31">
        <v>0.222</v>
      </c>
      <c r="C35" s="31">
        <v>0.29899999999999999</v>
      </c>
      <c r="D35" s="31">
        <v>0.375</v>
      </c>
      <c r="E35" s="31">
        <v>0.97199999999999998</v>
      </c>
      <c r="F35" s="31">
        <v>1.5329999999999999</v>
      </c>
      <c r="G35" s="31">
        <v>2.5329999999999999</v>
      </c>
      <c r="H35" s="31" t="s">
        <v>85</v>
      </c>
      <c r="I35" s="31" t="s">
        <v>85</v>
      </c>
      <c r="K35" s="27"/>
      <c r="L35" s="30"/>
      <c r="M35" s="30"/>
      <c r="N35" s="30"/>
      <c r="O35" s="30"/>
      <c r="P35" s="30"/>
      <c r="Q35" s="30"/>
      <c r="R35" s="30"/>
      <c r="S35" s="30"/>
    </row>
    <row r="36" spans="1:19" x14ac:dyDescent="0.25">
      <c r="A36" s="29">
        <v>44028</v>
      </c>
      <c r="B36" s="31">
        <v>0.22500000000000001</v>
      </c>
      <c r="C36" s="31">
        <v>0.30199999999999999</v>
      </c>
      <c r="D36" s="31">
        <v>0.378</v>
      </c>
      <c r="E36" s="31">
        <v>0.97199999999999998</v>
      </c>
      <c r="F36" s="31">
        <v>1.5169999999999999</v>
      </c>
      <c r="G36" s="31">
        <v>2.5219999999999998</v>
      </c>
      <c r="H36" s="31" t="s">
        <v>85</v>
      </c>
      <c r="I36" s="31" t="s">
        <v>85</v>
      </c>
      <c r="K36" s="27"/>
      <c r="L36" s="30"/>
      <c r="M36" s="30"/>
      <c r="N36" s="30"/>
      <c r="O36" s="30"/>
      <c r="P36" s="30"/>
      <c r="Q36" s="30"/>
      <c r="R36" s="30"/>
      <c r="S36" s="30"/>
    </row>
    <row r="37" spans="1:19" x14ac:dyDescent="0.25">
      <c r="A37" s="29">
        <v>44029</v>
      </c>
      <c r="B37" s="31">
        <v>0.22800000000000001</v>
      </c>
      <c r="C37" s="31">
        <v>0.30299999999999999</v>
      </c>
      <c r="D37" s="31">
        <v>0.378</v>
      </c>
      <c r="E37" s="31">
        <v>0.96699999999999997</v>
      </c>
      <c r="F37" s="31">
        <v>1.5</v>
      </c>
      <c r="G37" s="31">
        <v>2.5219999999999998</v>
      </c>
      <c r="H37" s="31" t="s">
        <v>85</v>
      </c>
      <c r="I37" s="31" t="s">
        <v>85</v>
      </c>
      <c r="K37" s="27"/>
      <c r="L37" s="30"/>
      <c r="M37" s="30"/>
      <c r="N37" s="30"/>
      <c r="O37" s="30"/>
      <c r="P37" s="30"/>
      <c r="Q37" s="30"/>
      <c r="R37" s="30"/>
      <c r="S37" s="30"/>
    </row>
    <row r="38" spans="1:19" x14ac:dyDescent="0.25">
      <c r="A38" s="29">
        <v>44032</v>
      </c>
      <c r="B38" s="31">
        <v>0.23100000000000001</v>
      </c>
      <c r="C38" s="31">
        <v>0.30499999999999999</v>
      </c>
      <c r="D38" s="31">
        <v>0.378</v>
      </c>
      <c r="E38" s="31">
        <v>0.91700000000000004</v>
      </c>
      <c r="F38" s="31">
        <v>1.4610000000000001</v>
      </c>
      <c r="G38" s="31">
        <v>2.5110000000000001</v>
      </c>
      <c r="H38" s="31" t="s">
        <v>85</v>
      </c>
      <c r="I38" s="31" t="s">
        <v>85</v>
      </c>
      <c r="K38" s="27"/>
      <c r="L38" s="30"/>
      <c r="M38" s="30"/>
      <c r="N38" s="30"/>
      <c r="O38" s="30"/>
      <c r="P38" s="30"/>
      <c r="Q38" s="30"/>
      <c r="R38" s="30"/>
      <c r="S38" s="30"/>
    </row>
    <row r="39" spans="1:19" x14ac:dyDescent="0.25">
      <c r="A39" s="29">
        <v>44033</v>
      </c>
      <c r="B39" s="31">
        <v>0.23100000000000001</v>
      </c>
      <c r="C39" s="31">
        <v>0.30599999999999999</v>
      </c>
      <c r="D39" s="31">
        <v>0.38100000000000001</v>
      </c>
      <c r="E39" s="31">
        <v>0.91700000000000004</v>
      </c>
      <c r="F39" s="31">
        <v>1.417</v>
      </c>
      <c r="G39" s="31">
        <v>2.5110000000000001</v>
      </c>
      <c r="H39" s="31" t="s">
        <v>85</v>
      </c>
      <c r="I39" s="31" t="s">
        <v>85</v>
      </c>
      <c r="K39" s="27"/>
      <c r="L39" s="30"/>
      <c r="M39" s="30"/>
      <c r="N39" s="30"/>
      <c r="O39" s="30"/>
      <c r="P39" s="30"/>
      <c r="Q39" s="30"/>
      <c r="R39" s="30"/>
      <c r="S39" s="30"/>
    </row>
    <row r="40" spans="1:19" x14ac:dyDescent="0.25">
      <c r="A40" s="29">
        <v>44034</v>
      </c>
      <c r="B40" s="31">
        <v>0.23599999999999999</v>
      </c>
      <c r="C40" s="31">
        <v>0.309</v>
      </c>
      <c r="D40" s="31">
        <v>0.38100000000000001</v>
      </c>
      <c r="E40" s="31">
        <v>0.91100000000000003</v>
      </c>
      <c r="F40" s="31">
        <v>1.4279999999999999</v>
      </c>
      <c r="G40" s="31">
        <v>2.5</v>
      </c>
      <c r="H40" s="31" t="s">
        <v>85</v>
      </c>
      <c r="I40" s="31" t="s">
        <v>85</v>
      </c>
      <c r="K40" s="27"/>
      <c r="L40" s="30"/>
      <c r="M40" s="30"/>
      <c r="N40" s="30"/>
      <c r="O40" s="30"/>
      <c r="P40" s="30"/>
      <c r="Q40" s="30"/>
      <c r="R40" s="30"/>
      <c r="S40" s="30"/>
    </row>
    <row r="41" spans="1:19" x14ac:dyDescent="0.25">
      <c r="A41" s="29">
        <v>44035</v>
      </c>
      <c r="B41" s="31">
        <v>0.23599999999999999</v>
      </c>
      <c r="C41" s="31">
        <v>0.309</v>
      </c>
      <c r="D41" s="31">
        <v>0.38100000000000001</v>
      </c>
      <c r="E41" s="31">
        <v>0.91100000000000003</v>
      </c>
      <c r="F41" s="31">
        <v>1.4279999999999999</v>
      </c>
      <c r="G41" s="31">
        <v>2.5</v>
      </c>
      <c r="H41" s="31" t="s">
        <v>85</v>
      </c>
      <c r="I41" s="31" t="s">
        <v>85</v>
      </c>
      <c r="K41" s="27"/>
      <c r="L41" s="30"/>
      <c r="M41" s="30"/>
      <c r="N41" s="30"/>
      <c r="O41" s="30"/>
      <c r="P41" s="30"/>
      <c r="Q41" s="30"/>
      <c r="R41" s="30"/>
      <c r="S41" s="30"/>
    </row>
    <row r="42" spans="1:19" x14ac:dyDescent="0.25">
      <c r="A42" s="29">
        <v>44036</v>
      </c>
      <c r="B42" s="31">
        <v>0.24199999999999999</v>
      </c>
      <c r="C42" s="31">
        <v>0.318</v>
      </c>
      <c r="D42" s="31">
        <v>0.39400000000000002</v>
      </c>
      <c r="E42" s="31">
        <v>0.92200000000000004</v>
      </c>
      <c r="F42" s="31">
        <v>1.4</v>
      </c>
      <c r="G42" s="31">
        <v>2.4940000000000002</v>
      </c>
      <c r="H42" s="31" t="s">
        <v>85</v>
      </c>
      <c r="I42" s="31" t="s">
        <v>85</v>
      </c>
      <c r="K42" s="27"/>
      <c r="L42" s="30"/>
      <c r="M42" s="30"/>
      <c r="N42" s="30"/>
      <c r="O42" s="30"/>
      <c r="P42" s="30"/>
      <c r="Q42" s="30"/>
      <c r="R42" s="30"/>
      <c r="S42" s="30"/>
    </row>
    <row r="43" spans="1:19" x14ac:dyDescent="0.25">
      <c r="A43" s="29">
        <v>44039</v>
      </c>
      <c r="B43" s="31">
        <v>0.29399999999999998</v>
      </c>
      <c r="C43" s="31">
        <v>0.372</v>
      </c>
      <c r="D43" s="31">
        <v>0.45</v>
      </c>
      <c r="E43" s="31">
        <v>0.93300000000000005</v>
      </c>
      <c r="F43" s="31">
        <v>1.4219999999999999</v>
      </c>
      <c r="G43" s="31">
        <v>2.5</v>
      </c>
      <c r="H43" s="31" t="s">
        <v>85</v>
      </c>
      <c r="I43" s="31" t="s">
        <v>85</v>
      </c>
      <c r="K43" s="27"/>
      <c r="L43" s="30"/>
      <c r="M43" s="30"/>
      <c r="N43" s="30"/>
      <c r="O43" s="30"/>
      <c r="P43" s="30"/>
      <c r="Q43" s="30"/>
      <c r="R43" s="30"/>
      <c r="S43" s="30"/>
    </row>
    <row r="44" spans="1:19" x14ac:dyDescent="0.25">
      <c r="A44" s="29">
        <v>44040</v>
      </c>
      <c r="B44" s="31">
        <v>0.375</v>
      </c>
      <c r="C44" s="31">
        <v>0.44900000000000001</v>
      </c>
      <c r="D44" s="31">
        <v>0.52200000000000002</v>
      </c>
      <c r="E44" s="31">
        <v>1.022</v>
      </c>
      <c r="F44" s="31">
        <v>1.456</v>
      </c>
      <c r="G44" s="31">
        <v>2.5110000000000001</v>
      </c>
      <c r="H44" s="31" t="s">
        <v>85</v>
      </c>
      <c r="I44" s="31" t="s">
        <v>85</v>
      </c>
      <c r="K44" s="27"/>
      <c r="L44" s="30"/>
      <c r="M44" s="30"/>
      <c r="N44" s="30"/>
      <c r="O44" s="30"/>
      <c r="P44" s="30"/>
      <c r="Q44" s="30"/>
      <c r="R44" s="30"/>
      <c r="S44" s="30"/>
    </row>
    <row r="45" spans="1:19" x14ac:dyDescent="0.25">
      <c r="A45" s="29">
        <v>44041</v>
      </c>
      <c r="B45" s="31">
        <v>0.4</v>
      </c>
      <c r="C45" s="31">
        <v>0.46700000000000003</v>
      </c>
      <c r="D45" s="31">
        <v>0.53300000000000003</v>
      </c>
      <c r="E45" s="31">
        <v>1.044</v>
      </c>
      <c r="F45" s="31">
        <v>1.4610000000000001</v>
      </c>
      <c r="G45" s="31">
        <v>2.5110000000000001</v>
      </c>
      <c r="H45" s="31" t="s">
        <v>85</v>
      </c>
      <c r="I45" s="31" t="s">
        <v>85</v>
      </c>
      <c r="K45" s="27"/>
      <c r="L45" s="30"/>
      <c r="M45" s="30"/>
      <c r="N45" s="30"/>
      <c r="O45" s="30"/>
      <c r="P45" s="30"/>
      <c r="Q45" s="30"/>
      <c r="R45" s="30"/>
      <c r="S45" s="30"/>
    </row>
    <row r="46" spans="1:19" x14ac:dyDescent="0.25">
      <c r="A46" s="29">
        <v>44042</v>
      </c>
      <c r="B46" s="31">
        <v>0.40300000000000002</v>
      </c>
      <c r="C46" s="31">
        <v>0.47699999999999998</v>
      </c>
      <c r="D46" s="31">
        <v>0.55000000000000004</v>
      </c>
      <c r="E46" s="31">
        <v>1.056</v>
      </c>
      <c r="F46" s="31">
        <v>1.472</v>
      </c>
      <c r="G46" s="31">
        <v>2.5110000000000001</v>
      </c>
      <c r="H46" s="31" t="s">
        <v>85</v>
      </c>
      <c r="I46" s="31" t="s">
        <v>85</v>
      </c>
      <c r="K46" s="27"/>
      <c r="L46" s="30"/>
      <c r="M46" s="30"/>
      <c r="N46" s="30"/>
      <c r="O46" s="30"/>
      <c r="P46" s="30"/>
      <c r="Q46" s="30"/>
      <c r="R46" s="30"/>
      <c r="S46" s="30"/>
    </row>
    <row r="47" spans="1:19" x14ac:dyDescent="0.25">
      <c r="A47" s="29">
        <v>44043</v>
      </c>
      <c r="B47" s="31">
        <v>0.38600000000000001</v>
      </c>
      <c r="C47" s="31">
        <v>0.45400000000000001</v>
      </c>
      <c r="D47" s="31">
        <v>0.52200000000000002</v>
      </c>
      <c r="E47" s="31">
        <v>1.056</v>
      </c>
      <c r="F47" s="31">
        <v>1.472</v>
      </c>
      <c r="G47" s="31">
        <v>2.5110000000000001</v>
      </c>
      <c r="H47" s="31" t="s">
        <v>85</v>
      </c>
      <c r="I47" s="31" t="s">
        <v>85</v>
      </c>
      <c r="K47" s="27"/>
      <c r="L47" s="30"/>
      <c r="M47" s="30"/>
      <c r="N47" s="30"/>
      <c r="O47" s="30"/>
      <c r="P47" s="30"/>
      <c r="Q47" s="30"/>
      <c r="R47" s="30"/>
      <c r="S47" s="30"/>
    </row>
    <row r="48" spans="1:19" x14ac:dyDescent="0.25">
      <c r="A48" s="29">
        <v>44046</v>
      </c>
      <c r="B48" s="31">
        <v>0.38900000000000001</v>
      </c>
      <c r="C48" s="31">
        <v>0.46300000000000002</v>
      </c>
      <c r="D48" s="31">
        <v>0.53600000000000003</v>
      </c>
      <c r="E48" s="31">
        <v>1.0720000000000001</v>
      </c>
      <c r="F48" s="31">
        <v>1.478</v>
      </c>
      <c r="G48" s="31">
        <v>2.5110000000000001</v>
      </c>
      <c r="H48" s="31" t="s">
        <v>85</v>
      </c>
      <c r="I48" s="31" t="s">
        <v>85</v>
      </c>
      <c r="K48" s="27"/>
      <c r="L48" s="30"/>
      <c r="M48" s="30"/>
      <c r="N48" s="30"/>
      <c r="O48" s="30"/>
      <c r="P48" s="30"/>
      <c r="Q48" s="30"/>
      <c r="R48" s="30"/>
      <c r="S48" s="30"/>
    </row>
    <row r="49" spans="1:19" x14ac:dyDescent="0.25">
      <c r="A49" s="29">
        <v>44047</v>
      </c>
      <c r="B49" s="31">
        <v>0.372</v>
      </c>
      <c r="C49" s="31">
        <v>0.436</v>
      </c>
      <c r="D49" s="31">
        <v>0.5</v>
      </c>
      <c r="E49" s="31">
        <v>1.05</v>
      </c>
      <c r="F49" s="31">
        <v>1.472</v>
      </c>
      <c r="G49" s="31">
        <v>2.5110000000000001</v>
      </c>
      <c r="H49" s="31" t="s">
        <v>85</v>
      </c>
      <c r="I49" s="31" t="s">
        <v>85</v>
      </c>
      <c r="K49" s="27"/>
      <c r="L49" s="30"/>
      <c r="M49" s="30"/>
      <c r="N49" s="30"/>
      <c r="O49" s="30"/>
      <c r="P49" s="30"/>
      <c r="Q49" s="30"/>
      <c r="R49" s="30"/>
      <c r="S49" s="30"/>
    </row>
    <row r="50" spans="1:19" x14ac:dyDescent="0.25">
      <c r="A50" s="29">
        <v>44048</v>
      </c>
      <c r="B50" s="31">
        <v>0.35599999999999998</v>
      </c>
      <c r="C50" s="31">
        <v>0.41399999999999998</v>
      </c>
      <c r="D50" s="31">
        <v>0.47199999999999998</v>
      </c>
      <c r="E50" s="31">
        <v>1.0389999999999999</v>
      </c>
      <c r="F50" s="31">
        <v>1.472</v>
      </c>
      <c r="G50" s="31">
        <v>2.4780000000000002</v>
      </c>
      <c r="H50" s="31" t="s">
        <v>85</v>
      </c>
      <c r="I50" s="31" t="s">
        <v>85</v>
      </c>
      <c r="K50" s="27"/>
      <c r="L50" s="30"/>
      <c r="M50" s="30"/>
      <c r="N50" s="30"/>
      <c r="O50" s="30"/>
      <c r="P50" s="30"/>
      <c r="Q50" s="30"/>
      <c r="R50" s="30"/>
      <c r="S50" s="30"/>
    </row>
    <row r="51" spans="1:19" x14ac:dyDescent="0.25">
      <c r="A51" s="29">
        <v>44049</v>
      </c>
      <c r="B51" s="31">
        <v>0.34699999999999998</v>
      </c>
      <c r="C51" s="31">
        <v>0.40400000000000003</v>
      </c>
      <c r="D51" s="31">
        <v>0.46100000000000002</v>
      </c>
      <c r="E51" s="31">
        <v>1.006</v>
      </c>
      <c r="F51" s="31">
        <v>1.4610000000000001</v>
      </c>
      <c r="G51" s="31">
        <v>2.4780000000000002</v>
      </c>
      <c r="H51" s="31" t="s">
        <v>85</v>
      </c>
      <c r="I51" s="31" t="s">
        <v>85</v>
      </c>
      <c r="K51" s="27"/>
      <c r="L51" s="30"/>
      <c r="M51" s="30"/>
      <c r="N51" s="30"/>
      <c r="O51" s="30"/>
      <c r="P51" s="30"/>
      <c r="Q51" s="30"/>
      <c r="R51" s="30"/>
      <c r="S51" s="30"/>
    </row>
    <row r="52" spans="1:19" x14ac:dyDescent="0.25">
      <c r="A52" s="29">
        <v>44050</v>
      </c>
      <c r="B52" s="31">
        <v>0.32800000000000001</v>
      </c>
      <c r="C52" s="31">
        <v>0.38600000000000001</v>
      </c>
      <c r="D52" s="31">
        <v>0.44400000000000001</v>
      </c>
      <c r="E52" s="31">
        <v>1.0169999999999999</v>
      </c>
      <c r="F52" s="31">
        <v>1.444</v>
      </c>
      <c r="G52" s="31">
        <v>2.4670000000000001</v>
      </c>
      <c r="H52" s="31" t="s">
        <v>85</v>
      </c>
      <c r="I52" s="31" t="s">
        <v>85</v>
      </c>
      <c r="K52" s="27"/>
      <c r="L52" s="30"/>
      <c r="M52" s="30"/>
      <c r="N52" s="30"/>
      <c r="O52" s="30"/>
      <c r="P52" s="30"/>
      <c r="Q52" s="30"/>
      <c r="R52" s="30"/>
      <c r="S52" s="30"/>
    </row>
    <row r="53" spans="1:19" x14ac:dyDescent="0.25">
      <c r="A53" s="29">
        <v>44053</v>
      </c>
      <c r="B53" s="31">
        <v>0.311</v>
      </c>
      <c r="C53" s="31">
        <v>0.37</v>
      </c>
      <c r="D53" s="31">
        <v>0.42799999999999999</v>
      </c>
      <c r="E53" s="31">
        <v>0.98299999999999998</v>
      </c>
      <c r="F53" s="31">
        <v>1.4279999999999999</v>
      </c>
      <c r="G53" s="31">
        <v>2.4670000000000001</v>
      </c>
      <c r="H53" s="31" t="s">
        <v>85</v>
      </c>
      <c r="I53" s="31" t="s">
        <v>85</v>
      </c>
      <c r="K53" s="27"/>
      <c r="L53" s="30"/>
      <c r="M53" s="30"/>
      <c r="N53" s="30"/>
      <c r="O53" s="30"/>
      <c r="P53" s="30"/>
      <c r="Q53" s="30"/>
      <c r="R53" s="30"/>
      <c r="S53" s="30"/>
    </row>
    <row r="54" spans="1:19" x14ac:dyDescent="0.25">
      <c r="A54" s="29">
        <v>44054</v>
      </c>
      <c r="B54" s="31">
        <v>0.30599999999999999</v>
      </c>
      <c r="C54" s="31">
        <v>0.35599999999999998</v>
      </c>
      <c r="D54" s="31">
        <v>0.40600000000000003</v>
      </c>
      <c r="E54" s="31">
        <v>0.98899999999999999</v>
      </c>
      <c r="F54" s="31">
        <v>1.4279999999999999</v>
      </c>
      <c r="G54" s="31">
        <v>2.4670000000000001</v>
      </c>
      <c r="H54" s="31" t="s">
        <v>85</v>
      </c>
      <c r="I54" s="31" t="s">
        <v>85</v>
      </c>
      <c r="K54" s="27"/>
      <c r="L54" s="30"/>
      <c r="M54" s="30"/>
      <c r="N54" s="30"/>
      <c r="O54" s="30"/>
      <c r="P54" s="30"/>
      <c r="Q54" s="30"/>
      <c r="R54" s="30"/>
      <c r="S54" s="30"/>
    </row>
    <row r="55" spans="1:19" x14ac:dyDescent="0.25">
      <c r="A55" s="29">
        <v>44055</v>
      </c>
      <c r="B55" s="31">
        <v>0.30599999999999999</v>
      </c>
      <c r="C55" s="31">
        <v>0.35599999999999998</v>
      </c>
      <c r="D55" s="31">
        <v>0.40600000000000003</v>
      </c>
      <c r="E55" s="31">
        <v>0.98899999999999999</v>
      </c>
      <c r="F55" s="31">
        <v>1.4219999999999999</v>
      </c>
      <c r="G55" s="31">
        <v>2.4670000000000001</v>
      </c>
      <c r="H55" s="31" t="s">
        <v>85</v>
      </c>
      <c r="I55" s="31" t="s">
        <v>85</v>
      </c>
      <c r="K55" s="27"/>
      <c r="L55" s="30"/>
      <c r="M55" s="30"/>
      <c r="N55" s="30"/>
      <c r="O55" s="30"/>
      <c r="P55" s="30"/>
      <c r="Q55" s="30"/>
      <c r="R55" s="30"/>
      <c r="S55" s="30"/>
    </row>
    <row r="56" spans="1:19" x14ac:dyDescent="0.25">
      <c r="A56" s="29">
        <v>44056</v>
      </c>
      <c r="B56" s="31">
        <v>0.30599999999999999</v>
      </c>
      <c r="C56" s="31">
        <v>0.35599999999999998</v>
      </c>
      <c r="D56" s="31">
        <v>0.40600000000000003</v>
      </c>
      <c r="E56" s="31">
        <v>0.96099999999999997</v>
      </c>
      <c r="F56" s="31">
        <v>1.4279999999999999</v>
      </c>
      <c r="G56" s="31">
        <v>2.4670000000000001</v>
      </c>
      <c r="H56" s="31" t="s">
        <v>85</v>
      </c>
      <c r="I56" s="31" t="s">
        <v>85</v>
      </c>
      <c r="K56" s="27"/>
      <c r="L56" s="30"/>
      <c r="M56" s="30"/>
      <c r="N56" s="30"/>
      <c r="O56" s="30"/>
      <c r="P56" s="30"/>
      <c r="Q56" s="30"/>
      <c r="R56" s="30"/>
      <c r="S56" s="30"/>
    </row>
    <row r="57" spans="1:19" x14ac:dyDescent="0.25">
      <c r="A57" s="29">
        <v>44057</v>
      </c>
      <c r="B57" s="31">
        <v>0.30599999999999999</v>
      </c>
      <c r="C57" s="31">
        <v>0.35599999999999998</v>
      </c>
      <c r="D57" s="31">
        <v>0.40600000000000003</v>
      </c>
      <c r="E57" s="31">
        <v>0.96099999999999997</v>
      </c>
      <c r="F57" s="31">
        <v>1.4279999999999999</v>
      </c>
      <c r="G57" s="31">
        <v>2.4670000000000001</v>
      </c>
      <c r="H57" s="31" t="s">
        <v>85</v>
      </c>
      <c r="I57" s="31" t="s">
        <v>85</v>
      </c>
      <c r="K57" s="27"/>
      <c r="L57" s="30"/>
      <c r="M57" s="30"/>
      <c r="N57" s="30"/>
      <c r="O57" s="30"/>
      <c r="P57" s="30"/>
      <c r="Q57" s="30"/>
      <c r="R57" s="30"/>
      <c r="S57" s="30"/>
    </row>
    <row r="58" spans="1:19" x14ac:dyDescent="0.25">
      <c r="A58" s="29">
        <v>44060</v>
      </c>
      <c r="B58" s="31">
        <v>0.3</v>
      </c>
      <c r="C58" s="31">
        <v>0.35</v>
      </c>
      <c r="D58" s="31">
        <v>0.4</v>
      </c>
      <c r="E58" s="31">
        <v>0.95</v>
      </c>
      <c r="F58" s="31">
        <v>1.417</v>
      </c>
      <c r="G58" s="31">
        <v>2.4670000000000001</v>
      </c>
      <c r="H58" s="31" t="s">
        <v>85</v>
      </c>
      <c r="I58" s="31" t="s">
        <v>85</v>
      </c>
      <c r="K58" s="27"/>
      <c r="L58" s="30"/>
      <c r="M58" s="30"/>
      <c r="N58" s="30"/>
      <c r="O58" s="30"/>
      <c r="P58" s="30"/>
      <c r="Q58" s="30"/>
      <c r="R58" s="30"/>
      <c r="S58" s="30"/>
    </row>
    <row r="59" spans="1:19" x14ac:dyDescent="0.25">
      <c r="A59" s="29">
        <v>44061</v>
      </c>
      <c r="B59" s="31">
        <v>0.3</v>
      </c>
      <c r="C59" s="31">
        <v>0.35</v>
      </c>
      <c r="D59" s="31">
        <v>0.4</v>
      </c>
      <c r="E59" s="31">
        <v>0.93899999999999995</v>
      </c>
      <c r="F59" s="31">
        <v>1.411</v>
      </c>
      <c r="G59" s="31">
        <v>2.4670000000000001</v>
      </c>
      <c r="H59" s="31" t="s">
        <v>85</v>
      </c>
      <c r="I59" s="31" t="s">
        <v>85</v>
      </c>
      <c r="K59" s="27"/>
      <c r="L59" s="30"/>
      <c r="M59" s="30"/>
      <c r="N59" s="30"/>
      <c r="O59" s="30"/>
      <c r="P59" s="30"/>
      <c r="Q59" s="30"/>
      <c r="R59" s="30"/>
      <c r="S59" s="30"/>
    </row>
    <row r="60" spans="1:19" x14ac:dyDescent="0.25">
      <c r="A60" s="29">
        <v>44062</v>
      </c>
      <c r="B60" s="31">
        <v>0.30499999999999999</v>
      </c>
      <c r="C60" s="31">
        <v>0.35399999999999998</v>
      </c>
      <c r="D60" s="31">
        <v>0.40300000000000002</v>
      </c>
      <c r="E60" s="31">
        <v>0.94799999999999995</v>
      </c>
      <c r="F60" s="31">
        <v>1.425</v>
      </c>
      <c r="G60" s="31">
        <v>2.4750000000000001</v>
      </c>
      <c r="H60" s="31" t="s">
        <v>85</v>
      </c>
      <c r="I60" s="31" t="s">
        <v>85</v>
      </c>
      <c r="K60" s="27"/>
      <c r="L60" s="30"/>
      <c r="M60" s="30"/>
      <c r="N60" s="30"/>
      <c r="O60" s="30"/>
      <c r="P60" s="30"/>
      <c r="Q60" s="30"/>
      <c r="R60" s="30"/>
      <c r="S60" s="30"/>
    </row>
    <row r="61" spans="1:19" x14ac:dyDescent="0.25">
      <c r="A61" s="29">
        <v>44063</v>
      </c>
      <c r="B61" s="31">
        <v>0.30299999999999999</v>
      </c>
      <c r="C61" s="31">
        <v>0.35099999999999998</v>
      </c>
      <c r="D61" s="31">
        <v>0.39800000000000002</v>
      </c>
      <c r="E61" s="31">
        <v>0.94799999999999995</v>
      </c>
      <c r="F61" s="31">
        <v>1.425</v>
      </c>
      <c r="G61" s="31">
        <v>2.4750000000000001</v>
      </c>
      <c r="H61" s="31" t="s">
        <v>85</v>
      </c>
      <c r="I61" s="31" t="s">
        <v>85</v>
      </c>
      <c r="K61" s="27"/>
      <c r="L61" s="30"/>
      <c r="M61" s="30"/>
      <c r="N61" s="30"/>
      <c r="O61" s="30"/>
      <c r="P61" s="30"/>
      <c r="Q61" s="30"/>
      <c r="R61" s="30"/>
      <c r="S61" s="30"/>
    </row>
    <row r="62" spans="1:19" x14ac:dyDescent="0.25">
      <c r="A62" s="29">
        <v>44064</v>
      </c>
      <c r="B62" s="31">
        <v>0.30299999999999999</v>
      </c>
      <c r="C62" s="31">
        <v>0.35099999999999998</v>
      </c>
      <c r="D62" s="31">
        <v>0.39800000000000002</v>
      </c>
      <c r="E62" s="31">
        <v>0.94799999999999995</v>
      </c>
      <c r="F62" s="31">
        <v>1.425</v>
      </c>
      <c r="G62" s="31">
        <v>2.4750000000000001</v>
      </c>
      <c r="H62" s="31" t="s">
        <v>85</v>
      </c>
      <c r="I62" s="31" t="s">
        <v>85</v>
      </c>
      <c r="K62" s="27"/>
      <c r="L62" s="30"/>
      <c r="M62" s="30"/>
      <c r="N62" s="30"/>
      <c r="O62" s="30"/>
      <c r="P62" s="30"/>
      <c r="Q62" s="30"/>
      <c r="R62" s="30"/>
      <c r="S62" s="30"/>
    </row>
    <row r="63" spans="1:19" x14ac:dyDescent="0.25">
      <c r="A63" s="29">
        <v>44067</v>
      </c>
      <c r="B63" s="31">
        <v>0.30299999999999999</v>
      </c>
      <c r="C63" s="31">
        <v>0.35099999999999998</v>
      </c>
      <c r="D63" s="31">
        <v>0.39800000000000002</v>
      </c>
      <c r="E63" s="31">
        <v>0.94799999999999995</v>
      </c>
      <c r="F63" s="31">
        <v>1.415</v>
      </c>
      <c r="G63" s="31">
        <v>2.4649999999999999</v>
      </c>
      <c r="H63" s="31" t="s">
        <v>85</v>
      </c>
      <c r="I63" s="31" t="s">
        <v>85</v>
      </c>
      <c r="K63" s="27"/>
      <c r="L63" s="30"/>
      <c r="M63" s="30"/>
      <c r="N63" s="30"/>
      <c r="O63" s="30"/>
      <c r="P63" s="30"/>
      <c r="Q63" s="30"/>
      <c r="R63" s="30"/>
      <c r="S63" s="30"/>
    </row>
    <row r="64" spans="1:19" x14ac:dyDescent="0.25">
      <c r="A64" s="29">
        <v>44068</v>
      </c>
      <c r="B64" s="31">
        <v>0.29799999999999999</v>
      </c>
      <c r="C64" s="31">
        <v>0.34599999999999997</v>
      </c>
      <c r="D64" s="31">
        <v>0.39300000000000002</v>
      </c>
      <c r="E64" s="31">
        <v>0.93799999999999994</v>
      </c>
      <c r="F64" s="31">
        <v>1.4</v>
      </c>
      <c r="G64" s="31">
        <v>2.4649999999999999</v>
      </c>
      <c r="H64" s="31" t="s">
        <v>85</v>
      </c>
      <c r="I64" s="31" t="s">
        <v>85</v>
      </c>
      <c r="K64" s="27"/>
      <c r="L64" s="30"/>
      <c r="M64" s="30"/>
      <c r="N64" s="30"/>
      <c r="O64" s="30"/>
      <c r="P64" s="30"/>
      <c r="Q64" s="30"/>
      <c r="R64" s="30"/>
      <c r="S64" s="30"/>
    </row>
    <row r="65" spans="1:19" x14ac:dyDescent="0.25">
      <c r="A65" s="29">
        <v>44069</v>
      </c>
      <c r="B65" s="31">
        <v>0.3</v>
      </c>
      <c r="C65" s="31">
        <v>0.34799999999999998</v>
      </c>
      <c r="D65" s="31">
        <v>0.39500000000000002</v>
      </c>
      <c r="E65" s="31">
        <v>0.93799999999999994</v>
      </c>
      <c r="F65" s="31">
        <v>1.4</v>
      </c>
      <c r="G65" s="31">
        <v>2.4649999999999999</v>
      </c>
      <c r="H65" s="31" t="s">
        <v>85</v>
      </c>
      <c r="I65" s="31" t="s">
        <v>85</v>
      </c>
      <c r="K65" s="27"/>
      <c r="L65" s="30"/>
      <c r="M65" s="30"/>
      <c r="N65" s="30"/>
      <c r="O65" s="30"/>
      <c r="P65" s="30"/>
      <c r="Q65" s="30"/>
      <c r="R65" s="30"/>
      <c r="S65" s="30"/>
    </row>
    <row r="66" spans="1:19" x14ac:dyDescent="0.25">
      <c r="A66" s="29">
        <v>44070</v>
      </c>
      <c r="B66" s="31">
        <v>0.29799999999999999</v>
      </c>
      <c r="C66" s="31">
        <v>0.34399999999999997</v>
      </c>
      <c r="D66" s="31">
        <v>0.39</v>
      </c>
      <c r="E66" s="31">
        <v>0.93799999999999994</v>
      </c>
      <c r="F66" s="31">
        <v>1.4</v>
      </c>
      <c r="G66" s="31">
        <v>2.4649999999999999</v>
      </c>
      <c r="H66" s="31" t="s">
        <v>85</v>
      </c>
      <c r="I66" s="31" t="s">
        <v>85</v>
      </c>
      <c r="K66" s="27"/>
      <c r="L66" s="30"/>
      <c r="M66" s="30"/>
      <c r="N66" s="30"/>
      <c r="O66" s="30"/>
      <c r="P66" s="30"/>
      <c r="Q66" s="30"/>
      <c r="R66" s="30"/>
      <c r="S66" s="30"/>
    </row>
    <row r="67" spans="1:19" x14ac:dyDescent="0.25">
      <c r="A67" s="29">
        <v>44071</v>
      </c>
      <c r="B67" s="31">
        <v>0.29299999999999998</v>
      </c>
      <c r="C67" s="31">
        <v>0.33800000000000002</v>
      </c>
      <c r="D67" s="31">
        <v>0.38300000000000001</v>
      </c>
      <c r="E67" s="31">
        <v>0.92800000000000005</v>
      </c>
      <c r="F67" s="31">
        <v>1.39</v>
      </c>
      <c r="G67" s="31">
        <v>2.4550000000000001</v>
      </c>
      <c r="H67" s="31" t="s">
        <v>85</v>
      </c>
      <c r="I67" s="31" t="s">
        <v>85</v>
      </c>
      <c r="K67" s="27"/>
      <c r="L67" s="30"/>
      <c r="M67" s="30"/>
      <c r="N67" s="30"/>
      <c r="O67" s="30"/>
      <c r="P67" s="30"/>
      <c r="Q67" s="30"/>
      <c r="R67" s="30"/>
      <c r="S67" s="30"/>
    </row>
    <row r="68" spans="1:19" x14ac:dyDescent="0.25">
      <c r="A68" s="29">
        <v>44074</v>
      </c>
      <c r="B68" s="31">
        <v>0.27800000000000002</v>
      </c>
      <c r="C68" s="31">
        <v>0.32600000000000001</v>
      </c>
      <c r="D68" s="31">
        <v>0.373</v>
      </c>
      <c r="E68" s="31">
        <v>0.91300000000000003</v>
      </c>
      <c r="F68" s="31">
        <v>1.38</v>
      </c>
      <c r="G68" s="31">
        <v>2.4550000000000001</v>
      </c>
      <c r="H68" s="31" t="s">
        <v>85</v>
      </c>
      <c r="I68" s="31" t="s">
        <v>85</v>
      </c>
      <c r="K68" s="27"/>
      <c r="L68" s="30"/>
      <c r="M68" s="30"/>
      <c r="N68" s="30"/>
      <c r="O68" s="30"/>
      <c r="P68" s="30"/>
      <c r="Q68" s="30"/>
      <c r="R68" s="30"/>
      <c r="S68" s="30"/>
    </row>
    <row r="69" spans="1:19" x14ac:dyDescent="0.25">
      <c r="A69" s="29">
        <v>44075</v>
      </c>
      <c r="B69" s="31">
        <v>0.27800000000000002</v>
      </c>
      <c r="C69" s="31">
        <v>0.32800000000000001</v>
      </c>
      <c r="D69" s="31">
        <v>0.378</v>
      </c>
      <c r="E69" s="31">
        <v>0.90800000000000003</v>
      </c>
      <c r="F69" s="31">
        <v>1.37</v>
      </c>
      <c r="G69" s="31">
        <v>2.4449999999999998</v>
      </c>
      <c r="H69" s="31" t="s">
        <v>85</v>
      </c>
      <c r="I69" s="31" t="s">
        <v>85</v>
      </c>
      <c r="K69" s="27"/>
      <c r="L69" s="30"/>
      <c r="M69" s="30"/>
      <c r="N69" s="30"/>
      <c r="O69" s="30"/>
      <c r="P69" s="30"/>
      <c r="Q69" s="30"/>
      <c r="R69" s="30"/>
      <c r="S69" s="30"/>
    </row>
    <row r="70" spans="1:19" x14ac:dyDescent="0.25">
      <c r="A70" s="29">
        <v>44077</v>
      </c>
      <c r="B70" s="31">
        <v>0.27800000000000002</v>
      </c>
      <c r="C70" s="31">
        <v>0.32600000000000001</v>
      </c>
      <c r="D70" s="31">
        <v>0.373</v>
      </c>
      <c r="E70" s="31">
        <v>0.90500000000000003</v>
      </c>
      <c r="F70" s="31">
        <v>1.36</v>
      </c>
      <c r="G70" s="31">
        <v>2.4449999999999998</v>
      </c>
      <c r="H70" s="31" t="s">
        <v>85</v>
      </c>
      <c r="I70" s="31" t="s">
        <v>85</v>
      </c>
      <c r="K70" s="27"/>
      <c r="L70" s="30"/>
      <c r="M70" s="30"/>
      <c r="N70" s="30"/>
      <c r="O70" s="30"/>
      <c r="P70" s="30"/>
      <c r="Q70" s="30"/>
      <c r="R70" s="30"/>
      <c r="S70" s="30"/>
    </row>
    <row r="71" spans="1:19" x14ac:dyDescent="0.25">
      <c r="A71" s="29">
        <v>44078</v>
      </c>
      <c r="B71" s="31">
        <v>0.26800000000000002</v>
      </c>
      <c r="C71" s="31">
        <v>0.32100000000000001</v>
      </c>
      <c r="D71" s="31">
        <v>0.373</v>
      </c>
      <c r="E71" s="31">
        <v>0.91300000000000003</v>
      </c>
      <c r="F71" s="31">
        <v>1.355</v>
      </c>
      <c r="G71" s="31">
        <v>2.4449999999999998</v>
      </c>
      <c r="H71" s="31" t="s">
        <v>85</v>
      </c>
      <c r="I71" s="31" t="s">
        <v>85</v>
      </c>
      <c r="K71" s="27"/>
      <c r="L71" s="30"/>
      <c r="M71" s="30"/>
      <c r="N71" s="30"/>
      <c r="O71" s="30"/>
      <c r="P71" s="30"/>
      <c r="Q71" s="30"/>
      <c r="R71" s="30"/>
      <c r="S71" s="30"/>
    </row>
    <row r="72" spans="1:19" x14ac:dyDescent="0.25">
      <c r="A72" s="29">
        <v>44081</v>
      </c>
      <c r="B72" s="31">
        <v>0.26800000000000002</v>
      </c>
      <c r="C72" s="31">
        <v>0.32100000000000001</v>
      </c>
      <c r="D72" s="31">
        <v>0.373</v>
      </c>
      <c r="E72" s="31">
        <v>0.91300000000000003</v>
      </c>
      <c r="F72" s="31">
        <v>1.355</v>
      </c>
      <c r="G72" s="31">
        <v>2.4449999999999998</v>
      </c>
      <c r="H72" s="31" t="s">
        <v>85</v>
      </c>
      <c r="I72" s="31" t="s">
        <v>85</v>
      </c>
      <c r="K72" s="27"/>
      <c r="L72" s="30"/>
      <c r="M72" s="30"/>
      <c r="N72" s="30"/>
      <c r="O72" s="30"/>
      <c r="P72" s="30"/>
      <c r="Q72" s="30"/>
      <c r="R72" s="30"/>
      <c r="S72" s="30"/>
    </row>
    <row r="73" spans="1:19" x14ac:dyDescent="0.25">
      <c r="A73" s="29">
        <v>44082</v>
      </c>
      <c r="B73" s="31">
        <v>0.25800000000000001</v>
      </c>
      <c r="C73" s="31">
        <v>0.314</v>
      </c>
      <c r="D73" s="31">
        <v>0.37</v>
      </c>
      <c r="E73" s="31">
        <v>0.90300000000000002</v>
      </c>
      <c r="F73" s="31">
        <v>1.355</v>
      </c>
      <c r="G73" s="31">
        <v>2.4449999999999998</v>
      </c>
      <c r="H73" s="31" t="s">
        <v>85</v>
      </c>
      <c r="I73" s="31" t="s">
        <v>85</v>
      </c>
      <c r="K73" s="27"/>
      <c r="L73" s="30"/>
      <c r="M73" s="30"/>
      <c r="N73" s="30"/>
      <c r="O73" s="30"/>
      <c r="P73" s="30"/>
      <c r="Q73" s="30"/>
      <c r="R73" s="30"/>
      <c r="S73" s="30"/>
    </row>
    <row r="74" spans="1:19" x14ac:dyDescent="0.25">
      <c r="A74" s="29">
        <v>44083</v>
      </c>
      <c r="B74" s="31">
        <v>0.245</v>
      </c>
      <c r="C74" s="31">
        <v>0.307</v>
      </c>
      <c r="D74" s="31">
        <v>0.36799999999999999</v>
      </c>
      <c r="E74" s="31">
        <v>0.88300000000000001</v>
      </c>
      <c r="F74" s="31">
        <v>1.335</v>
      </c>
      <c r="G74" s="31">
        <v>2.4350000000000001</v>
      </c>
      <c r="H74" s="31" t="s">
        <v>85</v>
      </c>
      <c r="I74" s="31" t="s">
        <v>85</v>
      </c>
      <c r="K74" s="27"/>
      <c r="L74" s="30"/>
      <c r="M74" s="30"/>
      <c r="N74" s="30"/>
      <c r="O74" s="30"/>
      <c r="P74" s="30"/>
      <c r="Q74" s="30"/>
      <c r="R74" s="30"/>
      <c r="S74" s="30"/>
    </row>
    <row r="75" spans="1:19" x14ac:dyDescent="0.25">
      <c r="A75" s="29">
        <v>44084</v>
      </c>
      <c r="B75" s="31">
        <v>0.23300000000000001</v>
      </c>
      <c r="C75" s="31">
        <v>0.29299999999999998</v>
      </c>
      <c r="D75" s="31">
        <v>0.35299999999999998</v>
      </c>
      <c r="E75" s="31">
        <v>0.873</v>
      </c>
      <c r="F75" s="31">
        <v>1.335</v>
      </c>
      <c r="G75" s="31">
        <v>2.4249999999999998</v>
      </c>
      <c r="H75" s="31" t="s">
        <v>85</v>
      </c>
      <c r="I75" s="31" t="s">
        <v>85</v>
      </c>
      <c r="K75" s="27"/>
      <c r="L75" s="30"/>
      <c r="M75" s="30"/>
      <c r="N75" s="30"/>
      <c r="O75" s="30"/>
      <c r="P75" s="30"/>
      <c r="Q75" s="30"/>
      <c r="R75" s="30"/>
      <c r="S75" s="30"/>
    </row>
    <row r="76" spans="1:19" x14ac:dyDescent="0.25">
      <c r="A76" s="29">
        <v>44085</v>
      </c>
      <c r="B76" s="31">
        <v>0.22800000000000001</v>
      </c>
      <c r="C76" s="31">
        <v>0.29099999999999998</v>
      </c>
      <c r="D76" s="31">
        <v>0.35299999999999998</v>
      </c>
      <c r="E76" s="31">
        <v>0.873</v>
      </c>
      <c r="F76" s="31">
        <v>1.335</v>
      </c>
      <c r="G76" s="31">
        <v>2.4249999999999998</v>
      </c>
      <c r="H76" s="31" t="s">
        <v>85</v>
      </c>
      <c r="I76" s="31" t="s">
        <v>85</v>
      </c>
      <c r="K76" s="27"/>
      <c r="L76" s="30"/>
      <c r="M76" s="30"/>
      <c r="N76" s="30"/>
      <c r="O76" s="30"/>
      <c r="P76" s="30"/>
      <c r="Q76" s="30"/>
      <c r="R76" s="30"/>
      <c r="S76" s="30"/>
    </row>
    <row r="77" spans="1:19" x14ac:dyDescent="0.25">
      <c r="A77" s="29">
        <v>44088</v>
      </c>
      <c r="B77" s="31">
        <v>0.223</v>
      </c>
      <c r="C77" s="31">
        <v>0.28699999999999998</v>
      </c>
      <c r="D77" s="31">
        <v>0.35</v>
      </c>
      <c r="E77" s="31">
        <v>0.85799999999999998</v>
      </c>
      <c r="F77" s="31">
        <v>1.325</v>
      </c>
      <c r="G77" s="31">
        <v>2.415</v>
      </c>
      <c r="H77" s="31" t="s">
        <v>85</v>
      </c>
      <c r="I77" s="31" t="s">
        <v>85</v>
      </c>
      <c r="K77" s="27"/>
      <c r="L77" s="30"/>
      <c r="M77" s="30"/>
      <c r="N77" s="30"/>
      <c r="O77" s="30"/>
      <c r="P77" s="30"/>
      <c r="Q77" s="30"/>
      <c r="R77" s="30"/>
      <c r="S77" s="30"/>
    </row>
    <row r="78" spans="1:19" x14ac:dyDescent="0.25">
      <c r="A78" s="29">
        <v>44089</v>
      </c>
      <c r="B78" s="31">
        <v>0.218</v>
      </c>
      <c r="C78" s="31">
        <v>0.27800000000000002</v>
      </c>
      <c r="D78" s="31">
        <v>0.33800000000000002</v>
      </c>
      <c r="E78" s="31">
        <v>0.85799999999999998</v>
      </c>
      <c r="F78" s="31">
        <v>1.333</v>
      </c>
      <c r="G78" s="31">
        <v>2.423</v>
      </c>
      <c r="H78" s="31" t="s">
        <v>85</v>
      </c>
      <c r="I78" s="31" t="s">
        <v>85</v>
      </c>
      <c r="K78" s="27"/>
      <c r="L78" s="30"/>
      <c r="M78" s="30"/>
      <c r="N78" s="30"/>
      <c r="O78" s="30"/>
      <c r="P78" s="30"/>
      <c r="Q78" s="30"/>
      <c r="R78" s="30"/>
      <c r="S78" s="30"/>
    </row>
    <row r="79" spans="1:19" x14ac:dyDescent="0.25">
      <c r="A79" s="29">
        <v>44090</v>
      </c>
      <c r="B79" s="31">
        <v>0.218</v>
      </c>
      <c r="C79" s="31">
        <v>0.27400000000000002</v>
      </c>
      <c r="D79" s="31">
        <v>0.33</v>
      </c>
      <c r="E79" s="31">
        <v>0.85</v>
      </c>
      <c r="F79" s="31">
        <v>1.333</v>
      </c>
      <c r="G79" s="31">
        <v>2.423</v>
      </c>
      <c r="H79" s="31" t="s">
        <v>85</v>
      </c>
      <c r="I79" s="31" t="s">
        <v>85</v>
      </c>
      <c r="K79" s="27"/>
      <c r="L79" s="30"/>
      <c r="M79" s="30"/>
      <c r="N79" s="30"/>
      <c r="O79" s="30"/>
      <c r="P79" s="30"/>
      <c r="Q79" s="30"/>
      <c r="R79" s="30"/>
      <c r="S79" s="30"/>
    </row>
    <row r="80" spans="1:19" x14ac:dyDescent="0.25">
      <c r="A80" s="29">
        <v>44091</v>
      </c>
      <c r="B80" s="31">
        <v>0.20799999999999999</v>
      </c>
      <c r="C80" s="31">
        <v>0.26600000000000001</v>
      </c>
      <c r="D80" s="31">
        <v>0.32300000000000001</v>
      </c>
      <c r="E80" s="31">
        <v>0.84</v>
      </c>
      <c r="F80" s="31">
        <v>1.333</v>
      </c>
      <c r="G80" s="31">
        <v>2.423</v>
      </c>
      <c r="H80" s="31" t="s">
        <v>85</v>
      </c>
      <c r="I80" s="31" t="s">
        <v>85</v>
      </c>
      <c r="K80" s="27"/>
      <c r="L80" s="30"/>
      <c r="M80" s="30"/>
      <c r="N80" s="30"/>
      <c r="O80" s="30"/>
      <c r="P80" s="30"/>
      <c r="Q80" s="30"/>
      <c r="R80" s="30"/>
      <c r="S80" s="30"/>
    </row>
    <row r="81" spans="1:19" x14ac:dyDescent="0.25">
      <c r="A81" s="29">
        <v>44092</v>
      </c>
      <c r="B81" s="31">
        <v>0.20799999999999999</v>
      </c>
      <c r="C81" s="31">
        <v>0.26100000000000001</v>
      </c>
      <c r="D81" s="31">
        <v>0.313</v>
      </c>
      <c r="E81" s="31">
        <v>0.78</v>
      </c>
      <c r="F81" s="31">
        <v>1.3149999999999999</v>
      </c>
      <c r="G81" s="31">
        <v>2.423</v>
      </c>
      <c r="H81" s="31" t="s">
        <v>85</v>
      </c>
      <c r="I81" s="31" t="s">
        <v>85</v>
      </c>
      <c r="K81" s="27"/>
      <c r="L81" s="30"/>
      <c r="M81" s="30"/>
      <c r="N81" s="30"/>
      <c r="O81" s="30"/>
      <c r="P81" s="30"/>
      <c r="Q81" s="30"/>
      <c r="R81" s="30"/>
      <c r="S81" s="30"/>
    </row>
    <row r="82" spans="1:19" x14ac:dyDescent="0.25">
      <c r="A82" s="29">
        <v>44095</v>
      </c>
      <c r="B82" s="31">
        <v>0.20799999999999999</v>
      </c>
      <c r="C82" s="31">
        <v>0.26100000000000001</v>
      </c>
      <c r="D82" s="31">
        <v>0.313</v>
      </c>
      <c r="E82" s="31">
        <v>0.78</v>
      </c>
      <c r="F82" s="31">
        <v>1.3149999999999999</v>
      </c>
      <c r="G82" s="31">
        <v>2.423</v>
      </c>
      <c r="H82" s="31" t="s">
        <v>85</v>
      </c>
      <c r="I82" s="31" t="s">
        <v>85</v>
      </c>
      <c r="K82" s="27"/>
      <c r="L82" s="30"/>
      <c r="M82" s="30"/>
      <c r="N82" s="30"/>
      <c r="O82" s="30"/>
      <c r="P82" s="30"/>
      <c r="Q82" s="30"/>
      <c r="R82" s="30"/>
      <c r="S82" s="30"/>
    </row>
    <row r="83" spans="1:19" x14ac:dyDescent="0.25">
      <c r="A83" s="29">
        <v>44096</v>
      </c>
      <c r="B83" s="31">
        <v>0.20499999999999999</v>
      </c>
      <c r="C83" s="31">
        <v>0.25900000000000001</v>
      </c>
      <c r="D83" s="31">
        <v>0.313</v>
      </c>
      <c r="E83" s="31">
        <v>0.77</v>
      </c>
      <c r="F83" s="31">
        <v>1.31</v>
      </c>
      <c r="G83" s="31">
        <v>2.4129999999999998</v>
      </c>
      <c r="H83" s="31" t="s">
        <v>85</v>
      </c>
      <c r="I83" s="31" t="s">
        <v>85</v>
      </c>
      <c r="K83" s="27"/>
      <c r="L83" s="30"/>
      <c r="M83" s="30"/>
      <c r="N83" s="30"/>
      <c r="O83" s="30"/>
      <c r="P83" s="30"/>
      <c r="Q83" s="30"/>
      <c r="R83" s="30"/>
      <c r="S83" s="30"/>
    </row>
    <row r="84" spans="1:19" x14ac:dyDescent="0.25">
      <c r="A84" s="29">
        <v>44097</v>
      </c>
      <c r="B84" s="31">
        <v>0.20799999999999999</v>
      </c>
      <c r="C84" s="31">
        <v>0.25800000000000001</v>
      </c>
      <c r="D84" s="31">
        <v>0.308</v>
      </c>
      <c r="E84" s="31">
        <v>0.76500000000000001</v>
      </c>
      <c r="F84" s="31">
        <v>1.28</v>
      </c>
      <c r="G84" s="31">
        <v>2.395</v>
      </c>
      <c r="H84" s="31" t="s">
        <v>85</v>
      </c>
      <c r="I84" s="31" t="s">
        <v>85</v>
      </c>
      <c r="K84" s="27"/>
      <c r="L84" s="30"/>
      <c r="M84" s="30"/>
      <c r="N84" s="30"/>
      <c r="O84" s="30"/>
      <c r="P84" s="30"/>
      <c r="Q84" s="30"/>
      <c r="R84" s="30"/>
      <c r="S84" s="30"/>
    </row>
    <row r="85" spans="1:19" x14ac:dyDescent="0.25">
      <c r="A85" s="29">
        <v>44098</v>
      </c>
      <c r="B85" s="31">
        <v>0.20300000000000001</v>
      </c>
      <c r="C85" s="31">
        <v>0.252</v>
      </c>
      <c r="D85" s="31">
        <v>0.3</v>
      </c>
      <c r="E85" s="31">
        <v>0.75800000000000001</v>
      </c>
      <c r="F85" s="31">
        <v>1.21</v>
      </c>
      <c r="G85" s="31">
        <v>2.3849999999999998</v>
      </c>
      <c r="H85" s="31" t="s">
        <v>85</v>
      </c>
      <c r="I85" s="31" t="s">
        <v>85</v>
      </c>
      <c r="K85" s="27"/>
      <c r="L85" s="30"/>
      <c r="M85" s="30"/>
      <c r="N85" s="30"/>
      <c r="O85" s="30"/>
      <c r="P85" s="30"/>
      <c r="Q85" s="30"/>
      <c r="R85" s="30"/>
      <c r="S85" s="30"/>
    </row>
    <row r="86" spans="1:19" x14ac:dyDescent="0.25">
      <c r="A86" s="29">
        <v>44099</v>
      </c>
      <c r="B86" s="31">
        <v>0.20300000000000001</v>
      </c>
      <c r="C86" s="31">
        <v>0.252</v>
      </c>
      <c r="D86" s="31">
        <v>0.3</v>
      </c>
      <c r="E86" s="31">
        <v>0.75800000000000001</v>
      </c>
      <c r="F86" s="31">
        <v>1.21</v>
      </c>
      <c r="G86" s="31">
        <v>2.3849999999999998</v>
      </c>
      <c r="H86" s="31" t="s">
        <v>85</v>
      </c>
      <c r="I86" s="31" t="s">
        <v>85</v>
      </c>
      <c r="K86" s="27"/>
      <c r="L86" s="30"/>
      <c r="M86" s="30"/>
      <c r="N86" s="30"/>
      <c r="O86" s="30"/>
      <c r="P86" s="30"/>
      <c r="Q86" s="30"/>
      <c r="R86" s="30"/>
      <c r="S86" s="30"/>
    </row>
    <row r="87" spans="1:19" x14ac:dyDescent="0.25">
      <c r="A87" s="29">
        <v>44102</v>
      </c>
      <c r="B87" s="31">
        <v>0.20499999999999999</v>
      </c>
      <c r="C87" s="31">
        <v>0.25700000000000001</v>
      </c>
      <c r="D87" s="31">
        <v>0.308</v>
      </c>
      <c r="E87" s="31">
        <v>0.755</v>
      </c>
      <c r="F87" s="31">
        <v>1.21</v>
      </c>
      <c r="G87" s="31">
        <v>2.3849999999999998</v>
      </c>
      <c r="H87" s="31" t="s">
        <v>85</v>
      </c>
      <c r="I87" s="31" t="s">
        <v>85</v>
      </c>
      <c r="K87" s="27"/>
      <c r="L87" s="30"/>
      <c r="M87" s="30"/>
      <c r="N87" s="30"/>
      <c r="O87" s="30"/>
      <c r="P87" s="30"/>
      <c r="Q87" s="30"/>
      <c r="R87" s="30"/>
      <c r="S87" s="30"/>
    </row>
    <row r="88" spans="1:19" x14ac:dyDescent="0.25">
      <c r="A88" s="29">
        <v>44103</v>
      </c>
      <c r="B88" s="31">
        <v>0.20499999999999999</v>
      </c>
      <c r="C88" s="31">
        <v>0.25700000000000001</v>
      </c>
      <c r="D88" s="31">
        <v>0.308</v>
      </c>
      <c r="E88" s="31">
        <v>0.753</v>
      </c>
      <c r="F88" s="31">
        <v>1.19</v>
      </c>
      <c r="G88" s="31">
        <v>2.3849999999999998</v>
      </c>
      <c r="H88" s="31" t="s">
        <v>85</v>
      </c>
      <c r="I88" s="31" t="s">
        <v>85</v>
      </c>
      <c r="K88" s="27"/>
      <c r="L88" s="30"/>
      <c r="M88" s="30"/>
      <c r="N88" s="30"/>
      <c r="O88" s="30"/>
      <c r="P88" s="30"/>
      <c r="Q88" s="30"/>
      <c r="R88" s="30"/>
      <c r="S88" s="30"/>
    </row>
    <row r="89" spans="1:19" x14ac:dyDescent="0.25">
      <c r="A89" s="29">
        <v>44104</v>
      </c>
      <c r="B89" s="31">
        <v>0.20599999999999999</v>
      </c>
      <c r="C89" s="31">
        <v>0.25800000000000001</v>
      </c>
      <c r="D89" s="31">
        <v>0.31</v>
      </c>
      <c r="E89" s="31">
        <v>0.748</v>
      </c>
      <c r="F89" s="31">
        <v>1.1850000000000001</v>
      </c>
      <c r="G89" s="31">
        <v>2.3849999999999998</v>
      </c>
      <c r="H89" s="31" t="s">
        <v>85</v>
      </c>
      <c r="I89" s="31" t="s">
        <v>85</v>
      </c>
      <c r="K89" s="27"/>
      <c r="L89" s="30"/>
      <c r="M89" s="30"/>
      <c r="N89" s="30"/>
      <c r="O89" s="30"/>
      <c r="P89" s="30"/>
      <c r="Q89" s="30"/>
      <c r="R89" s="30"/>
      <c r="S89" s="30"/>
    </row>
    <row r="90" spans="1:19" x14ac:dyDescent="0.25">
      <c r="A90" s="29">
        <v>44105</v>
      </c>
      <c r="B90" s="31">
        <v>0.20499999999999999</v>
      </c>
      <c r="C90" s="31">
        <v>0.25800000000000001</v>
      </c>
      <c r="D90" s="31">
        <v>0.31</v>
      </c>
      <c r="E90" s="31">
        <v>0.73799999999999999</v>
      </c>
      <c r="F90" s="31">
        <v>1.175</v>
      </c>
      <c r="G90" s="31">
        <v>2.38</v>
      </c>
      <c r="H90" s="31" t="s">
        <v>85</v>
      </c>
      <c r="I90" s="31" t="s">
        <v>85</v>
      </c>
      <c r="K90" s="27"/>
      <c r="L90" s="30"/>
      <c r="M90" s="30"/>
      <c r="N90" s="30"/>
      <c r="O90" s="30"/>
      <c r="P90" s="30"/>
      <c r="Q90" s="30"/>
      <c r="R90" s="30"/>
      <c r="S90" s="30"/>
    </row>
    <row r="91" spans="1:19" x14ac:dyDescent="0.25">
      <c r="A91" s="29">
        <v>44106</v>
      </c>
      <c r="B91" s="31">
        <v>0.20300000000000001</v>
      </c>
      <c r="C91" s="31">
        <v>0.25600000000000001</v>
      </c>
      <c r="D91" s="31">
        <v>0.308</v>
      </c>
      <c r="E91" s="31">
        <v>0.73799999999999999</v>
      </c>
      <c r="F91" s="31">
        <v>1.17</v>
      </c>
      <c r="G91" s="31">
        <v>2.355</v>
      </c>
      <c r="H91" s="31" t="s">
        <v>85</v>
      </c>
      <c r="I91" s="31" t="s">
        <v>85</v>
      </c>
      <c r="K91" s="27"/>
      <c r="L91" s="30"/>
      <c r="M91" s="30"/>
      <c r="N91" s="30"/>
      <c r="O91" s="30"/>
      <c r="P91" s="30"/>
      <c r="Q91" s="30"/>
      <c r="R91" s="30"/>
      <c r="S91" s="30"/>
    </row>
    <row r="92" spans="1:19" x14ac:dyDescent="0.25">
      <c r="A92" s="29">
        <v>44109</v>
      </c>
      <c r="B92" s="31">
        <v>0.20300000000000001</v>
      </c>
      <c r="C92" s="31">
        <v>0.25600000000000001</v>
      </c>
      <c r="D92" s="31">
        <v>0.308</v>
      </c>
      <c r="E92" s="31">
        <v>0.73499999999999999</v>
      </c>
      <c r="F92" s="31">
        <v>1.153</v>
      </c>
      <c r="G92" s="31">
        <v>2.3149999999999999</v>
      </c>
      <c r="H92" s="31" t="s">
        <v>85</v>
      </c>
      <c r="I92" s="31" t="s">
        <v>85</v>
      </c>
      <c r="K92" s="27"/>
      <c r="L92" s="30"/>
      <c r="M92" s="30"/>
      <c r="N92" s="30"/>
      <c r="O92" s="30"/>
      <c r="P92" s="30"/>
      <c r="Q92" s="30"/>
      <c r="R92" s="30"/>
      <c r="S92" s="30"/>
    </row>
    <row r="93" spans="1:19" x14ac:dyDescent="0.25">
      <c r="A93" s="29">
        <v>44110</v>
      </c>
      <c r="B93" s="31">
        <v>0.2</v>
      </c>
      <c r="C93" s="31">
        <v>0.254</v>
      </c>
      <c r="D93" s="31">
        <v>0.308</v>
      </c>
      <c r="E93" s="31">
        <v>0.73</v>
      </c>
      <c r="F93" s="31">
        <v>1.143</v>
      </c>
      <c r="G93" s="31">
        <v>2.3050000000000002</v>
      </c>
      <c r="H93" s="31" t="s">
        <v>85</v>
      </c>
      <c r="I93" s="31" t="s">
        <v>85</v>
      </c>
      <c r="K93" s="27"/>
      <c r="L93" s="30"/>
      <c r="M93" s="30"/>
      <c r="N93" s="30"/>
      <c r="O93" s="30"/>
      <c r="P93" s="30"/>
      <c r="Q93" s="30"/>
      <c r="R93" s="30"/>
      <c r="S93" s="30"/>
    </row>
    <row r="94" spans="1:19" x14ac:dyDescent="0.25">
      <c r="A94" s="29">
        <v>44111</v>
      </c>
      <c r="B94" s="31">
        <v>0.2</v>
      </c>
      <c r="C94" s="31">
        <v>0.254</v>
      </c>
      <c r="D94" s="31">
        <v>0.308</v>
      </c>
      <c r="E94" s="31">
        <v>0.73</v>
      </c>
      <c r="F94" s="31">
        <v>1.1379999999999999</v>
      </c>
      <c r="G94" s="31">
        <v>2.29</v>
      </c>
      <c r="H94" s="31" t="s">
        <v>85</v>
      </c>
      <c r="I94" s="31" t="s">
        <v>85</v>
      </c>
      <c r="K94" s="27"/>
      <c r="L94" s="30"/>
      <c r="M94" s="30"/>
      <c r="N94" s="30"/>
      <c r="O94" s="30"/>
      <c r="P94" s="30"/>
      <c r="Q94" s="30"/>
      <c r="R94" s="30"/>
      <c r="S94" s="30"/>
    </row>
    <row r="95" spans="1:19" x14ac:dyDescent="0.25">
      <c r="A95" s="29">
        <v>44112</v>
      </c>
      <c r="B95" s="31">
        <v>0.19800000000000001</v>
      </c>
      <c r="C95" s="31">
        <v>0.251</v>
      </c>
      <c r="D95" s="31">
        <v>0.30299999999999999</v>
      </c>
      <c r="E95" s="31">
        <v>0.72</v>
      </c>
      <c r="F95" s="31">
        <v>1.1379999999999999</v>
      </c>
      <c r="G95" s="31">
        <v>2.29</v>
      </c>
      <c r="H95" s="31" t="s">
        <v>85</v>
      </c>
      <c r="I95" s="31" t="s">
        <v>85</v>
      </c>
      <c r="K95" s="27"/>
      <c r="L95" s="30"/>
      <c r="M95" s="30"/>
      <c r="N95" s="30"/>
      <c r="O95" s="30"/>
      <c r="P95" s="30"/>
      <c r="Q95" s="30"/>
      <c r="R95" s="30"/>
      <c r="S95" s="30"/>
    </row>
    <row r="96" spans="1:19" x14ac:dyDescent="0.25">
      <c r="A96" s="29">
        <v>44113</v>
      </c>
      <c r="B96" s="31">
        <v>0.19800000000000001</v>
      </c>
      <c r="C96" s="31">
        <v>0.252</v>
      </c>
      <c r="D96" s="31">
        <v>0.30499999999999999</v>
      </c>
      <c r="E96" s="31">
        <v>0.72</v>
      </c>
      <c r="F96" s="31">
        <v>1.143</v>
      </c>
      <c r="G96" s="31">
        <v>2.3050000000000002</v>
      </c>
      <c r="H96" s="31" t="s">
        <v>85</v>
      </c>
      <c r="I96" s="31" t="s">
        <v>85</v>
      </c>
      <c r="K96" s="27"/>
      <c r="L96" s="30"/>
      <c r="M96" s="30"/>
      <c r="N96" s="30"/>
      <c r="O96" s="30"/>
      <c r="P96" s="30"/>
      <c r="Q96" s="30"/>
      <c r="R96" s="30"/>
      <c r="S96" s="30"/>
    </row>
    <row r="97" spans="1:19" x14ac:dyDescent="0.25">
      <c r="A97" s="29">
        <v>44116</v>
      </c>
      <c r="B97" s="31">
        <v>0.19800000000000001</v>
      </c>
      <c r="C97" s="31">
        <v>0.252</v>
      </c>
      <c r="D97" s="31">
        <v>0.30499999999999999</v>
      </c>
      <c r="E97" s="31">
        <v>0.72</v>
      </c>
      <c r="F97" s="31">
        <v>1.1479999999999999</v>
      </c>
      <c r="G97" s="31">
        <v>2.3050000000000002</v>
      </c>
      <c r="H97" s="31" t="s">
        <v>85</v>
      </c>
      <c r="I97" s="31" t="s">
        <v>85</v>
      </c>
      <c r="K97" s="27"/>
      <c r="L97" s="30"/>
      <c r="M97" s="30"/>
      <c r="N97" s="30"/>
      <c r="O97" s="30"/>
      <c r="P97" s="30"/>
      <c r="Q97" s="30"/>
      <c r="R97" s="30"/>
      <c r="S97" s="30"/>
    </row>
    <row r="98" spans="1:19" x14ac:dyDescent="0.25">
      <c r="A98" s="29">
        <v>44117</v>
      </c>
      <c r="B98" s="31">
        <v>0.193</v>
      </c>
      <c r="C98" s="31">
        <v>0.248</v>
      </c>
      <c r="D98" s="31">
        <v>0.30299999999999999</v>
      </c>
      <c r="E98" s="31">
        <v>0.72</v>
      </c>
      <c r="F98" s="31">
        <v>1.143</v>
      </c>
      <c r="G98" s="31">
        <v>2.29</v>
      </c>
      <c r="H98" s="31" t="s">
        <v>85</v>
      </c>
      <c r="I98" s="31" t="s">
        <v>85</v>
      </c>
      <c r="K98" s="27"/>
      <c r="L98" s="30"/>
      <c r="M98" s="30"/>
      <c r="N98" s="30"/>
      <c r="O98" s="30"/>
      <c r="P98" s="30"/>
      <c r="Q98" s="30"/>
      <c r="R98" s="30"/>
      <c r="S98" s="30"/>
    </row>
    <row r="99" spans="1:19" x14ac:dyDescent="0.25">
      <c r="A99" s="29">
        <v>44118</v>
      </c>
      <c r="B99" s="31">
        <v>0.193</v>
      </c>
      <c r="C99" s="31">
        <v>0.248</v>
      </c>
      <c r="D99" s="31">
        <v>0.30299999999999999</v>
      </c>
      <c r="E99" s="31">
        <v>0.68</v>
      </c>
      <c r="F99" s="31">
        <v>1.0680000000000001</v>
      </c>
      <c r="G99" s="31">
        <v>2.2000000000000002</v>
      </c>
      <c r="H99" s="31" t="s">
        <v>85</v>
      </c>
      <c r="I99" s="31" t="s">
        <v>85</v>
      </c>
      <c r="K99" s="27"/>
      <c r="L99" s="30"/>
      <c r="M99" s="30"/>
      <c r="N99" s="30"/>
      <c r="O99" s="30"/>
      <c r="P99" s="30"/>
      <c r="Q99" s="30"/>
      <c r="R99" s="30"/>
      <c r="S99" s="30"/>
    </row>
    <row r="100" spans="1:19" x14ac:dyDescent="0.25">
      <c r="A100" s="29">
        <v>44119</v>
      </c>
      <c r="B100" s="31">
        <v>0.19500000000000001</v>
      </c>
      <c r="C100" s="31">
        <v>0.247</v>
      </c>
      <c r="D100" s="31">
        <v>0.29799999999999999</v>
      </c>
      <c r="E100" s="31">
        <v>0.68</v>
      </c>
      <c r="F100" s="31">
        <v>1.0680000000000001</v>
      </c>
      <c r="G100" s="31">
        <v>2.2050000000000001</v>
      </c>
      <c r="H100" s="31" t="s">
        <v>85</v>
      </c>
      <c r="I100" s="31" t="s">
        <v>85</v>
      </c>
      <c r="K100" s="27"/>
      <c r="L100" s="30"/>
      <c r="M100" s="30"/>
      <c r="N100" s="30"/>
      <c r="O100" s="30"/>
      <c r="P100" s="30"/>
      <c r="Q100" s="30"/>
      <c r="R100" s="30"/>
      <c r="S100" s="30"/>
    </row>
    <row r="101" spans="1:19" x14ac:dyDescent="0.25">
      <c r="A101" s="29">
        <v>44120</v>
      </c>
      <c r="B101" s="31">
        <v>0.19</v>
      </c>
      <c r="C101" s="31">
        <v>0.24199999999999999</v>
      </c>
      <c r="D101" s="31">
        <v>0.29299999999999998</v>
      </c>
      <c r="E101" s="31">
        <v>0.67500000000000004</v>
      </c>
      <c r="F101" s="31">
        <v>1.0680000000000001</v>
      </c>
      <c r="G101" s="31">
        <v>2.2050000000000001</v>
      </c>
      <c r="H101" s="31" t="s">
        <v>85</v>
      </c>
      <c r="I101" s="31" t="s">
        <v>85</v>
      </c>
      <c r="K101" s="27"/>
      <c r="L101" s="30"/>
      <c r="M101" s="30"/>
      <c r="N101" s="30"/>
      <c r="O101" s="30"/>
      <c r="P101" s="30"/>
      <c r="Q101" s="30"/>
      <c r="R101" s="30"/>
      <c r="S101" s="30"/>
    </row>
    <row r="102" spans="1:19" x14ac:dyDescent="0.25">
      <c r="A102" s="29">
        <v>44123</v>
      </c>
      <c r="B102" s="31">
        <v>0.19500000000000001</v>
      </c>
      <c r="C102" s="31">
        <v>0.247</v>
      </c>
      <c r="D102" s="31">
        <v>0.29799999999999999</v>
      </c>
      <c r="E102" s="31">
        <v>0.68</v>
      </c>
      <c r="F102" s="31">
        <v>1.0680000000000001</v>
      </c>
      <c r="G102" s="31">
        <v>2.2349999999999999</v>
      </c>
      <c r="H102" s="31" t="s">
        <v>85</v>
      </c>
      <c r="I102" s="31" t="s">
        <v>85</v>
      </c>
      <c r="K102" s="27"/>
      <c r="L102" s="30"/>
      <c r="M102" s="30"/>
      <c r="N102" s="30"/>
      <c r="O102" s="30"/>
      <c r="P102" s="30"/>
      <c r="Q102" s="30"/>
      <c r="R102" s="30"/>
      <c r="S102" s="30"/>
    </row>
    <row r="103" spans="1:19" x14ac:dyDescent="0.25">
      <c r="A103" s="29">
        <v>44124</v>
      </c>
      <c r="B103" s="31">
        <v>0.19500000000000001</v>
      </c>
      <c r="C103" s="31">
        <v>0.247</v>
      </c>
      <c r="D103" s="31">
        <v>0.29799999999999999</v>
      </c>
      <c r="E103" s="31">
        <v>0.68</v>
      </c>
      <c r="F103" s="31">
        <v>1.0680000000000001</v>
      </c>
      <c r="G103" s="31">
        <v>2.2349999999999999</v>
      </c>
      <c r="H103" s="31" t="s">
        <v>85</v>
      </c>
      <c r="I103" s="31" t="s">
        <v>85</v>
      </c>
      <c r="K103" s="27"/>
      <c r="L103" s="30"/>
      <c r="M103" s="30"/>
      <c r="N103" s="30"/>
      <c r="O103" s="30"/>
      <c r="P103" s="30"/>
      <c r="Q103" s="30"/>
      <c r="R103" s="30"/>
      <c r="S103" s="30"/>
    </row>
    <row r="104" spans="1:19" x14ac:dyDescent="0.25">
      <c r="A104" s="29">
        <v>44125</v>
      </c>
      <c r="B104" s="31">
        <v>0.19500000000000001</v>
      </c>
      <c r="C104" s="31">
        <v>0.247</v>
      </c>
      <c r="D104" s="31">
        <v>0.29799999999999999</v>
      </c>
      <c r="E104" s="31">
        <v>0.68</v>
      </c>
      <c r="F104" s="31">
        <v>1.0680000000000001</v>
      </c>
      <c r="G104" s="31">
        <v>2.2349999999999999</v>
      </c>
      <c r="H104" s="31" t="s">
        <v>85</v>
      </c>
      <c r="I104" s="31" t="s">
        <v>85</v>
      </c>
      <c r="K104" s="27"/>
      <c r="L104" s="30"/>
      <c r="M104" s="30"/>
      <c r="N104" s="30"/>
      <c r="O104" s="30"/>
      <c r="P104" s="30"/>
      <c r="Q104" s="30"/>
      <c r="R104" s="30"/>
      <c r="S104" s="30"/>
    </row>
    <row r="105" spans="1:19" x14ac:dyDescent="0.25">
      <c r="A105" s="29">
        <v>44126</v>
      </c>
      <c r="B105" s="31">
        <v>0.19500000000000001</v>
      </c>
      <c r="C105" s="31">
        <v>0.247</v>
      </c>
      <c r="D105" s="31">
        <v>0.29799999999999999</v>
      </c>
      <c r="E105" s="31">
        <v>0.68</v>
      </c>
      <c r="F105" s="31">
        <v>1.048</v>
      </c>
      <c r="G105" s="31">
        <v>2.2349999999999999</v>
      </c>
      <c r="H105" s="31" t="s">
        <v>85</v>
      </c>
      <c r="I105" s="31" t="s">
        <v>85</v>
      </c>
      <c r="K105" s="27"/>
      <c r="L105" s="30"/>
      <c r="M105" s="30"/>
      <c r="N105" s="30"/>
      <c r="O105" s="30"/>
      <c r="P105" s="30"/>
      <c r="Q105" s="30"/>
      <c r="R105" s="30"/>
      <c r="S105" s="30"/>
    </row>
    <row r="106" spans="1:19" x14ac:dyDescent="0.25">
      <c r="A106" s="29">
        <v>44127</v>
      </c>
      <c r="B106" s="31">
        <v>0.19500000000000001</v>
      </c>
      <c r="C106" s="31">
        <v>0.247</v>
      </c>
      <c r="D106" s="31">
        <v>0.29799999999999999</v>
      </c>
      <c r="E106" s="31">
        <v>0.68</v>
      </c>
      <c r="F106" s="31">
        <v>1.048</v>
      </c>
      <c r="G106" s="31">
        <v>2.2349999999999999</v>
      </c>
      <c r="H106" s="31" t="s">
        <v>85</v>
      </c>
      <c r="I106" s="31" t="s">
        <v>85</v>
      </c>
      <c r="K106" s="27"/>
      <c r="L106" s="30"/>
      <c r="M106" s="30"/>
      <c r="N106" s="30"/>
      <c r="O106" s="30"/>
      <c r="P106" s="30"/>
      <c r="Q106" s="30"/>
      <c r="R106" s="30"/>
      <c r="S106" s="30"/>
    </row>
    <row r="107" spans="1:19" x14ac:dyDescent="0.25">
      <c r="A107" s="29">
        <v>44130</v>
      </c>
      <c r="B107" s="31">
        <v>0.19500000000000001</v>
      </c>
      <c r="C107" s="31">
        <v>0.247</v>
      </c>
      <c r="D107" s="31">
        <v>0.29799999999999999</v>
      </c>
      <c r="E107" s="31">
        <v>0.68</v>
      </c>
      <c r="F107" s="31">
        <v>1.048</v>
      </c>
      <c r="G107" s="31">
        <v>2.23</v>
      </c>
      <c r="H107" s="31" t="s">
        <v>85</v>
      </c>
      <c r="I107" s="31" t="s">
        <v>85</v>
      </c>
      <c r="K107" s="27"/>
      <c r="L107" s="30"/>
      <c r="M107" s="30"/>
      <c r="N107" s="30"/>
      <c r="O107" s="30"/>
      <c r="P107" s="30"/>
      <c r="Q107" s="30"/>
      <c r="R107" s="30"/>
      <c r="S107" s="30"/>
    </row>
    <row r="108" spans="1:19" x14ac:dyDescent="0.25">
      <c r="A108" s="29">
        <v>44131</v>
      </c>
      <c r="B108" s="31">
        <v>0.19500000000000001</v>
      </c>
      <c r="C108" s="31">
        <v>0.247</v>
      </c>
      <c r="D108" s="31">
        <v>0.29799999999999999</v>
      </c>
      <c r="E108" s="31">
        <v>0.67800000000000005</v>
      </c>
      <c r="F108" s="31">
        <v>1.0629999999999999</v>
      </c>
      <c r="G108" s="31">
        <v>2.23</v>
      </c>
      <c r="H108" s="31" t="s">
        <v>85</v>
      </c>
      <c r="I108" s="31" t="s">
        <v>85</v>
      </c>
      <c r="K108" s="27"/>
      <c r="L108" s="30"/>
      <c r="M108" s="30"/>
      <c r="N108" s="30"/>
      <c r="O108" s="30"/>
      <c r="P108" s="30"/>
      <c r="Q108" s="30"/>
      <c r="R108" s="30"/>
      <c r="S108" s="30"/>
    </row>
    <row r="109" spans="1:19" x14ac:dyDescent="0.25">
      <c r="A109" s="29">
        <v>44132</v>
      </c>
      <c r="B109" s="31">
        <v>0.19</v>
      </c>
      <c r="C109" s="31">
        <v>0.24199999999999999</v>
      </c>
      <c r="D109" s="31">
        <v>0.29299999999999998</v>
      </c>
      <c r="E109" s="31">
        <v>0.67300000000000004</v>
      </c>
      <c r="F109" s="31">
        <v>1.083</v>
      </c>
      <c r="G109" s="31">
        <v>2.23</v>
      </c>
      <c r="H109" s="31" t="s">
        <v>85</v>
      </c>
      <c r="I109" s="31" t="s">
        <v>85</v>
      </c>
      <c r="K109" s="27"/>
      <c r="L109" s="30"/>
      <c r="M109" s="30"/>
      <c r="N109" s="30"/>
      <c r="O109" s="30"/>
      <c r="P109" s="30"/>
      <c r="Q109" s="30"/>
      <c r="R109" s="30"/>
      <c r="S109" s="30"/>
    </row>
    <row r="110" spans="1:19" x14ac:dyDescent="0.25">
      <c r="A110" s="29">
        <v>44133</v>
      </c>
      <c r="B110" s="31">
        <v>0.19500000000000001</v>
      </c>
      <c r="C110" s="31">
        <v>0.247</v>
      </c>
      <c r="D110" s="31">
        <v>0.29799999999999999</v>
      </c>
      <c r="E110" s="31">
        <v>0.67800000000000005</v>
      </c>
      <c r="F110" s="31">
        <v>1.0629999999999999</v>
      </c>
      <c r="G110" s="31">
        <v>2.23</v>
      </c>
      <c r="H110" s="31" t="s">
        <v>85</v>
      </c>
      <c r="I110" s="31" t="s">
        <v>85</v>
      </c>
      <c r="K110" s="27"/>
      <c r="L110" s="30"/>
      <c r="M110" s="30"/>
      <c r="N110" s="30"/>
      <c r="O110" s="30"/>
      <c r="P110" s="30"/>
      <c r="Q110" s="30"/>
      <c r="R110" s="30"/>
      <c r="S110" s="30"/>
    </row>
    <row r="111" spans="1:19" x14ac:dyDescent="0.25">
      <c r="A111" s="29">
        <v>44134</v>
      </c>
      <c r="B111" s="31">
        <v>0.19500000000000001</v>
      </c>
      <c r="C111" s="31">
        <v>0.247</v>
      </c>
      <c r="D111" s="31">
        <v>0.29799999999999999</v>
      </c>
      <c r="E111" s="31">
        <v>0.67800000000000005</v>
      </c>
      <c r="F111" s="31">
        <v>1.0629999999999999</v>
      </c>
      <c r="G111" s="31">
        <v>2.23</v>
      </c>
      <c r="H111" s="31" t="s">
        <v>85</v>
      </c>
      <c r="I111" s="31" t="s">
        <v>85</v>
      </c>
      <c r="K111" s="27"/>
      <c r="L111" s="30"/>
      <c r="M111" s="30"/>
      <c r="N111" s="30"/>
      <c r="O111" s="30"/>
      <c r="P111" s="30"/>
      <c r="Q111" s="30"/>
      <c r="R111" s="30"/>
      <c r="S111" s="30"/>
    </row>
    <row r="112" spans="1:19" x14ac:dyDescent="0.25">
      <c r="A112" s="29">
        <v>44137</v>
      </c>
      <c r="B112" s="31">
        <v>0.19500000000000001</v>
      </c>
      <c r="C112" s="31">
        <v>0.248</v>
      </c>
      <c r="D112" s="31">
        <v>0.3</v>
      </c>
      <c r="E112" s="31">
        <v>0.67800000000000005</v>
      </c>
      <c r="F112" s="31">
        <v>1.073</v>
      </c>
      <c r="G112" s="31">
        <v>2.23</v>
      </c>
      <c r="H112" s="31" t="s">
        <v>85</v>
      </c>
      <c r="I112" s="31" t="s">
        <v>85</v>
      </c>
      <c r="K112" s="27"/>
      <c r="L112" s="30"/>
      <c r="M112" s="30"/>
      <c r="N112" s="30"/>
      <c r="O112" s="30"/>
      <c r="P112" s="30"/>
      <c r="Q112" s="30"/>
      <c r="R112" s="30"/>
      <c r="S112" s="30"/>
    </row>
    <row r="113" spans="1:19" x14ac:dyDescent="0.25">
      <c r="A113" s="29">
        <v>44138</v>
      </c>
      <c r="B113" s="31">
        <v>0.19500000000000001</v>
      </c>
      <c r="C113" s="31">
        <v>0.248</v>
      </c>
      <c r="D113" s="31">
        <v>0.3</v>
      </c>
      <c r="E113" s="31">
        <v>0.66800000000000004</v>
      </c>
      <c r="F113" s="31">
        <v>1.0580000000000001</v>
      </c>
      <c r="G113" s="31">
        <v>2.2149999999999999</v>
      </c>
      <c r="H113" s="31" t="s">
        <v>85</v>
      </c>
      <c r="I113" s="31" t="s">
        <v>85</v>
      </c>
      <c r="K113" s="27"/>
      <c r="L113" s="30"/>
      <c r="M113" s="30"/>
      <c r="N113" s="30"/>
      <c r="O113" s="30"/>
      <c r="P113" s="30"/>
      <c r="Q113" s="30"/>
      <c r="R113" s="30"/>
      <c r="S113" s="30"/>
    </row>
    <row r="114" spans="1:19" x14ac:dyDescent="0.25">
      <c r="A114" s="29">
        <v>44139</v>
      </c>
      <c r="B114" s="31">
        <v>0.19500000000000001</v>
      </c>
      <c r="C114" s="31">
        <v>0.248</v>
      </c>
      <c r="D114" s="31">
        <v>0.3</v>
      </c>
      <c r="E114" s="31">
        <v>0.68300000000000005</v>
      </c>
      <c r="F114" s="31">
        <v>1.0629999999999999</v>
      </c>
      <c r="G114" s="31">
        <v>2.21</v>
      </c>
      <c r="H114" s="31" t="s">
        <v>85</v>
      </c>
      <c r="I114" s="31" t="s">
        <v>85</v>
      </c>
      <c r="K114" s="27"/>
      <c r="L114" s="30"/>
      <c r="M114" s="30"/>
      <c r="N114" s="30"/>
      <c r="O114" s="30"/>
      <c r="P114" s="30"/>
      <c r="Q114" s="30"/>
      <c r="R114" s="30"/>
      <c r="S114" s="30"/>
    </row>
    <row r="115" spans="1:19" x14ac:dyDescent="0.25">
      <c r="A115" s="29">
        <v>44140</v>
      </c>
      <c r="B115" s="31">
        <v>0.19500000000000001</v>
      </c>
      <c r="C115" s="31">
        <v>0.248</v>
      </c>
      <c r="D115" s="31">
        <v>0.3</v>
      </c>
      <c r="E115" s="31">
        <v>0.68300000000000005</v>
      </c>
      <c r="F115" s="31">
        <v>1.0629999999999999</v>
      </c>
      <c r="G115" s="31">
        <v>2.21</v>
      </c>
      <c r="H115" s="31" t="s">
        <v>85</v>
      </c>
      <c r="I115" s="31" t="s">
        <v>85</v>
      </c>
      <c r="K115" s="27"/>
      <c r="L115" s="30"/>
      <c r="M115" s="30"/>
      <c r="N115" s="30"/>
      <c r="O115" s="30"/>
      <c r="P115" s="30"/>
      <c r="Q115" s="30"/>
      <c r="R115" s="30"/>
      <c r="S115" s="30"/>
    </row>
    <row r="116" spans="1:19" x14ac:dyDescent="0.25">
      <c r="A116" s="29">
        <v>44141</v>
      </c>
      <c r="B116" s="31">
        <v>0.19500000000000001</v>
      </c>
      <c r="C116" s="31">
        <v>0.248</v>
      </c>
      <c r="D116" s="31">
        <v>0.3</v>
      </c>
      <c r="E116" s="31">
        <v>0.68500000000000005</v>
      </c>
      <c r="F116" s="31">
        <v>1.0629999999999999</v>
      </c>
      <c r="G116" s="31">
        <v>2.21</v>
      </c>
      <c r="H116" s="31" t="s">
        <v>85</v>
      </c>
      <c r="I116" s="31" t="s">
        <v>85</v>
      </c>
      <c r="K116" s="27"/>
      <c r="L116" s="30"/>
      <c r="M116" s="30"/>
      <c r="N116" s="30"/>
      <c r="O116" s="30"/>
      <c r="P116" s="30"/>
      <c r="Q116" s="30"/>
      <c r="R116" s="30"/>
      <c r="S116" s="30"/>
    </row>
    <row r="117" spans="1:19" x14ac:dyDescent="0.25">
      <c r="A117" s="29">
        <v>44144</v>
      </c>
      <c r="B117" s="31">
        <v>0.19500000000000001</v>
      </c>
      <c r="C117" s="31">
        <v>0.248</v>
      </c>
      <c r="D117" s="31">
        <v>0.3</v>
      </c>
      <c r="E117" s="31">
        <v>0.68500000000000005</v>
      </c>
      <c r="F117" s="31">
        <v>1.0629999999999999</v>
      </c>
      <c r="G117" s="31">
        <v>2.21</v>
      </c>
      <c r="H117" s="31" t="s">
        <v>85</v>
      </c>
      <c r="I117" s="31" t="s">
        <v>85</v>
      </c>
      <c r="K117" s="27"/>
      <c r="L117" s="30"/>
      <c r="M117" s="30"/>
      <c r="N117" s="30"/>
      <c r="O117" s="30"/>
      <c r="P117" s="30"/>
      <c r="Q117" s="30"/>
      <c r="R117" s="30"/>
      <c r="S117" s="30"/>
    </row>
    <row r="118" spans="1:19" x14ac:dyDescent="0.25">
      <c r="A118" s="29">
        <v>44145</v>
      </c>
      <c r="B118" s="31">
        <v>0.19500000000000001</v>
      </c>
      <c r="C118" s="31">
        <v>0.248</v>
      </c>
      <c r="D118" s="31">
        <v>0.3</v>
      </c>
      <c r="E118" s="31">
        <v>0.68500000000000005</v>
      </c>
      <c r="F118" s="31">
        <v>1.0629999999999999</v>
      </c>
      <c r="G118" s="31">
        <v>2.21</v>
      </c>
      <c r="H118" s="31" t="s">
        <v>85</v>
      </c>
      <c r="I118" s="31" t="s">
        <v>85</v>
      </c>
      <c r="K118" s="27"/>
      <c r="L118" s="30"/>
      <c r="M118" s="30"/>
      <c r="N118" s="30"/>
      <c r="O118" s="30"/>
      <c r="P118" s="30"/>
      <c r="Q118" s="30"/>
      <c r="R118" s="30"/>
      <c r="S118" s="30"/>
    </row>
    <row r="119" spans="1:19" x14ac:dyDescent="0.25">
      <c r="A119" s="29">
        <v>44146</v>
      </c>
      <c r="B119" s="31">
        <v>0.19500000000000001</v>
      </c>
      <c r="C119" s="31">
        <v>0.248</v>
      </c>
      <c r="D119" s="31">
        <v>0.3</v>
      </c>
      <c r="E119" s="31">
        <v>0.68500000000000005</v>
      </c>
      <c r="F119" s="31">
        <v>1.0629999999999999</v>
      </c>
      <c r="G119" s="31">
        <v>2.21</v>
      </c>
      <c r="H119" s="31" t="s">
        <v>85</v>
      </c>
      <c r="I119" s="31" t="s">
        <v>85</v>
      </c>
      <c r="K119" s="27"/>
      <c r="L119" s="30"/>
      <c r="M119" s="30"/>
      <c r="N119" s="30"/>
      <c r="O119" s="30"/>
      <c r="P119" s="30"/>
      <c r="Q119" s="30"/>
      <c r="R119" s="30"/>
      <c r="S119" s="30"/>
    </row>
    <row r="120" spans="1:19" x14ac:dyDescent="0.25">
      <c r="A120" s="29">
        <v>44147</v>
      </c>
      <c r="B120" s="31">
        <v>0.19500000000000001</v>
      </c>
      <c r="C120" s="31">
        <v>0.248</v>
      </c>
      <c r="D120" s="31">
        <v>0.3</v>
      </c>
      <c r="E120" s="31">
        <v>0.68500000000000005</v>
      </c>
      <c r="F120" s="31">
        <v>1.0629999999999999</v>
      </c>
      <c r="G120" s="31">
        <v>2.21</v>
      </c>
      <c r="H120" s="31" t="s">
        <v>85</v>
      </c>
      <c r="I120" s="31" t="s">
        <v>85</v>
      </c>
      <c r="K120" s="27"/>
      <c r="L120" s="30"/>
      <c r="M120" s="30"/>
      <c r="N120" s="30"/>
      <c r="O120" s="30"/>
      <c r="P120" s="30"/>
      <c r="Q120" s="30"/>
      <c r="R120" s="30"/>
      <c r="S120" s="30"/>
    </row>
    <row r="121" spans="1:19" x14ac:dyDescent="0.25">
      <c r="A121" s="29">
        <v>44148</v>
      </c>
      <c r="B121" s="31">
        <v>0.19500000000000001</v>
      </c>
      <c r="C121" s="31">
        <v>0.248</v>
      </c>
      <c r="D121" s="31">
        <v>0.3</v>
      </c>
      <c r="E121" s="31">
        <v>0.68500000000000005</v>
      </c>
      <c r="F121" s="31">
        <v>1.0629999999999999</v>
      </c>
      <c r="G121" s="31">
        <v>2.21</v>
      </c>
      <c r="H121" s="31" t="s">
        <v>85</v>
      </c>
      <c r="I121" s="31" t="s">
        <v>85</v>
      </c>
      <c r="K121" s="27"/>
      <c r="L121" s="30"/>
      <c r="M121" s="30"/>
      <c r="N121" s="30"/>
      <c r="O121" s="30"/>
      <c r="P121" s="30"/>
      <c r="Q121" s="30"/>
      <c r="R121" s="30"/>
      <c r="S121" s="30"/>
    </row>
    <row r="122" spans="1:19" x14ac:dyDescent="0.25">
      <c r="A122" s="29">
        <v>44151</v>
      </c>
      <c r="B122" s="31">
        <v>0.19500000000000001</v>
      </c>
      <c r="C122" s="31">
        <v>0.248</v>
      </c>
      <c r="D122" s="31">
        <v>0.3</v>
      </c>
      <c r="E122" s="31">
        <v>0.68500000000000005</v>
      </c>
      <c r="F122" s="31">
        <v>1.0629999999999999</v>
      </c>
      <c r="G122" s="31">
        <v>2.21</v>
      </c>
      <c r="H122" s="31" t="s">
        <v>85</v>
      </c>
      <c r="I122" s="31" t="s">
        <v>85</v>
      </c>
      <c r="K122" s="27"/>
      <c r="L122" s="30"/>
      <c r="M122" s="30"/>
      <c r="N122" s="30"/>
      <c r="O122" s="30"/>
      <c r="P122" s="30"/>
      <c r="Q122" s="30"/>
      <c r="R122" s="30"/>
      <c r="S122" s="30"/>
    </row>
    <row r="123" spans="1:19" x14ac:dyDescent="0.25">
      <c r="A123" s="29">
        <v>44152</v>
      </c>
      <c r="B123" s="31">
        <v>0.19500000000000001</v>
      </c>
      <c r="C123" s="31">
        <v>0.248</v>
      </c>
      <c r="D123" s="31">
        <v>0.3</v>
      </c>
      <c r="E123" s="31">
        <v>0.68500000000000005</v>
      </c>
      <c r="F123" s="31">
        <v>1.0629999999999999</v>
      </c>
      <c r="G123" s="31">
        <v>2.21</v>
      </c>
      <c r="H123" s="31" t="s">
        <v>85</v>
      </c>
      <c r="I123" s="31" t="s">
        <v>85</v>
      </c>
      <c r="K123" s="27"/>
      <c r="L123" s="30"/>
      <c r="M123" s="30"/>
      <c r="N123" s="30"/>
      <c r="O123" s="30"/>
      <c r="P123" s="30"/>
      <c r="Q123" s="30"/>
      <c r="R123" s="30"/>
      <c r="S123" s="30"/>
    </row>
    <row r="124" spans="1:19" x14ac:dyDescent="0.25">
      <c r="A124" s="29">
        <v>44153</v>
      </c>
      <c r="B124" s="31">
        <v>0.19500000000000001</v>
      </c>
      <c r="C124" s="31">
        <v>0.248</v>
      </c>
      <c r="D124" s="31">
        <v>0.3</v>
      </c>
      <c r="E124" s="31">
        <v>0.68500000000000005</v>
      </c>
      <c r="F124" s="31">
        <v>1.0629999999999999</v>
      </c>
      <c r="G124" s="31">
        <v>2.21</v>
      </c>
      <c r="H124" s="31" t="s">
        <v>85</v>
      </c>
      <c r="I124" s="31" t="s">
        <v>85</v>
      </c>
      <c r="K124" s="27"/>
      <c r="L124" s="30"/>
      <c r="M124" s="30"/>
      <c r="N124" s="30"/>
      <c r="O124" s="30"/>
      <c r="P124" s="30"/>
      <c r="Q124" s="30"/>
      <c r="R124" s="30"/>
      <c r="S124" s="30"/>
    </row>
    <row r="125" spans="1:19" x14ac:dyDescent="0.25">
      <c r="A125" s="29">
        <v>44154</v>
      </c>
      <c r="B125" s="31">
        <v>0.19500000000000001</v>
      </c>
      <c r="C125" s="31">
        <v>0.248</v>
      </c>
      <c r="D125" s="31">
        <v>0.3</v>
      </c>
      <c r="E125" s="31">
        <v>0.68500000000000005</v>
      </c>
      <c r="F125" s="31">
        <v>1.0629999999999999</v>
      </c>
      <c r="G125" s="31">
        <v>2.21</v>
      </c>
      <c r="H125" s="31" t="s">
        <v>85</v>
      </c>
      <c r="I125" s="31" t="s">
        <v>85</v>
      </c>
      <c r="K125" s="27"/>
      <c r="L125" s="30"/>
      <c r="M125" s="30"/>
      <c r="N125" s="30"/>
      <c r="O125" s="30"/>
      <c r="P125" s="30"/>
      <c r="Q125" s="30"/>
      <c r="R125" s="30"/>
      <c r="S125" s="30"/>
    </row>
    <row r="126" spans="1:19" x14ac:dyDescent="0.25">
      <c r="A126" s="29">
        <v>44155</v>
      </c>
      <c r="B126" s="31">
        <v>0.19500000000000001</v>
      </c>
      <c r="C126" s="31">
        <v>0.248</v>
      </c>
      <c r="D126" s="31">
        <v>0.3</v>
      </c>
      <c r="E126" s="31">
        <v>0.68500000000000005</v>
      </c>
      <c r="F126" s="31">
        <v>1.073</v>
      </c>
      <c r="G126" s="31">
        <v>2.21</v>
      </c>
      <c r="H126" s="31" t="s">
        <v>85</v>
      </c>
      <c r="I126" s="31" t="s">
        <v>85</v>
      </c>
      <c r="K126" s="27"/>
      <c r="L126" s="30"/>
      <c r="M126" s="30"/>
      <c r="N126" s="30"/>
      <c r="O126" s="30"/>
      <c r="P126" s="30"/>
      <c r="Q126" s="30"/>
      <c r="R126" s="30"/>
      <c r="S126" s="30"/>
    </row>
    <row r="127" spans="1:19" x14ac:dyDescent="0.25">
      <c r="A127" s="29">
        <v>44158</v>
      </c>
      <c r="B127" s="31">
        <v>0.19500000000000001</v>
      </c>
      <c r="C127" s="31">
        <v>0.247</v>
      </c>
      <c r="D127" s="31">
        <v>0.29799999999999999</v>
      </c>
      <c r="E127" s="31">
        <v>0.69</v>
      </c>
      <c r="F127" s="31">
        <v>1.0629999999999999</v>
      </c>
      <c r="G127" s="31">
        <v>2.21</v>
      </c>
      <c r="H127" s="31" t="s">
        <v>85</v>
      </c>
      <c r="I127" s="31" t="s">
        <v>85</v>
      </c>
      <c r="K127" s="27"/>
      <c r="L127" s="30"/>
      <c r="M127" s="30"/>
      <c r="N127" s="30"/>
      <c r="O127" s="30"/>
      <c r="P127" s="30"/>
      <c r="Q127" s="30"/>
      <c r="R127" s="30"/>
      <c r="S127" s="30"/>
    </row>
    <row r="128" spans="1:19" x14ac:dyDescent="0.25">
      <c r="A128" s="29">
        <v>44159</v>
      </c>
      <c r="B128" s="31">
        <v>0.19500000000000001</v>
      </c>
      <c r="C128" s="31">
        <v>0.24199999999999999</v>
      </c>
      <c r="D128" s="31">
        <v>0.28799999999999998</v>
      </c>
      <c r="E128" s="31">
        <v>0.68</v>
      </c>
      <c r="F128" s="31">
        <v>1.0129999999999999</v>
      </c>
      <c r="G128" s="31">
        <v>2.21</v>
      </c>
      <c r="H128" s="31" t="s">
        <v>85</v>
      </c>
      <c r="I128" s="31" t="s">
        <v>85</v>
      </c>
      <c r="K128" s="27"/>
      <c r="L128" s="30"/>
      <c r="M128" s="30"/>
      <c r="N128" s="30"/>
      <c r="O128" s="30"/>
      <c r="P128" s="30"/>
      <c r="Q128" s="30"/>
      <c r="R128" s="30"/>
      <c r="S128" s="30"/>
    </row>
    <row r="129" spans="1:19" x14ac:dyDescent="0.25">
      <c r="A129" s="29">
        <v>44160</v>
      </c>
      <c r="B129" s="31">
        <v>0.188</v>
      </c>
      <c r="C129" s="31">
        <v>0.23400000000000001</v>
      </c>
      <c r="D129" s="31">
        <v>0.28000000000000003</v>
      </c>
      <c r="E129" s="31">
        <v>0.66500000000000004</v>
      </c>
      <c r="F129" s="31">
        <v>0.99299999999999999</v>
      </c>
      <c r="G129" s="31">
        <v>2.1549999999999998</v>
      </c>
      <c r="H129" s="31" t="s">
        <v>85</v>
      </c>
      <c r="I129" s="31" t="s">
        <v>85</v>
      </c>
      <c r="K129" s="27"/>
      <c r="L129" s="30"/>
      <c r="M129" s="30"/>
      <c r="N129" s="30"/>
      <c r="O129" s="30"/>
      <c r="P129" s="30"/>
      <c r="Q129" s="30"/>
      <c r="R129" s="30"/>
      <c r="S129" s="30"/>
    </row>
    <row r="130" spans="1:19" x14ac:dyDescent="0.25">
      <c r="A130" s="29">
        <v>44161</v>
      </c>
      <c r="B130" s="31">
        <v>0.188</v>
      </c>
      <c r="C130" s="31">
        <v>0.23200000000000001</v>
      </c>
      <c r="D130" s="31">
        <v>0.27500000000000002</v>
      </c>
      <c r="E130" s="31">
        <v>0.66500000000000004</v>
      </c>
      <c r="F130" s="31">
        <v>0.99299999999999999</v>
      </c>
      <c r="G130" s="31">
        <v>2.1549999999999998</v>
      </c>
      <c r="H130" s="31" t="s">
        <v>85</v>
      </c>
      <c r="I130" s="31" t="s">
        <v>85</v>
      </c>
      <c r="K130" s="27"/>
      <c r="L130" s="30"/>
      <c r="M130" s="30"/>
      <c r="N130" s="30"/>
      <c r="O130" s="30"/>
      <c r="P130" s="30"/>
      <c r="Q130" s="30"/>
      <c r="R130" s="30"/>
      <c r="S130" s="30"/>
    </row>
    <row r="131" spans="1:19" x14ac:dyDescent="0.25">
      <c r="A131" s="29">
        <v>44162</v>
      </c>
      <c r="B131" s="31">
        <v>0.188</v>
      </c>
      <c r="C131" s="31">
        <v>0.22700000000000001</v>
      </c>
      <c r="D131" s="31">
        <v>0.26500000000000001</v>
      </c>
      <c r="E131" s="31">
        <v>0.66500000000000004</v>
      </c>
      <c r="F131" s="31">
        <v>0.99299999999999999</v>
      </c>
      <c r="G131" s="31">
        <v>2.1549999999999998</v>
      </c>
      <c r="H131" s="31" t="s">
        <v>85</v>
      </c>
      <c r="I131" s="31" t="s">
        <v>85</v>
      </c>
      <c r="K131" s="27"/>
      <c r="L131" s="30"/>
      <c r="M131" s="30"/>
      <c r="N131" s="30"/>
      <c r="O131" s="30"/>
      <c r="P131" s="30"/>
      <c r="Q131" s="30"/>
      <c r="R131" s="30"/>
      <c r="S131" s="30"/>
    </row>
    <row r="132" spans="1:19" x14ac:dyDescent="0.25">
      <c r="A132" s="29">
        <v>44165</v>
      </c>
      <c r="B132" s="31">
        <v>0.19</v>
      </c>
      <c r="C132" s="31">
        <v>0.22700000000000001</v>
      </c>
      <c r="D132" s="31">
        <v>0.26300000000000001</v>
      </c>
      <c r="E132" s="31">
        <v>0.65500000000000003</v>
      </c>
      <c r="F132" s="31">
        <v>0.98299999999999998</v>
      </c>
      <c r="G132" s="31">
        <v>2.145</v>
      </c>
      <c r="H132" s="31" t="s">
        <v>85</v>
      </c>
      <c r="I132" s="31" t="s">
        <v>85</v>
      </c>
      <c r="K132" s="27"/>
      <c r="L132" s="30"/>
      <c r="M132" s="30"/>
      <c r="N132" s="30"/>
      <c r="O132" s="30"/>
      <c r="P132" s="30"/>
      <c r="Q132" s="30"/>
      <c r="R132" s="30"/>
      <c r="S132" s="30"/>
    </row>
    <row r="133" spans="1:19" x14ac:dyDescent="0.25">
      <c r="A133" s="29">
        <v>44166</v>
      </c>
      <c r="B133" s="31">
        <v>0.188</v>
      </c>
      <c r="C133" s="31">
        <v>0.222</v>
      </c>
      <c r="D133" s="31">
        <v>0.255</v>
      </c>
      <c r="E133" s="31">
        <v>0.65500000000000003</v>
      </c>
      <c r="F133" s="31">
        <v>0.95799999999999996</v>
      </c>
      <c r="G133" s="31">
        <v>2.11</v>
      </c>
      <c r="H133" s="31" t="s">
        <v>85</v>
      </c>
      <c r="I133" s="31" t="s">
        <v>85</v>
      </c>
      <c r="K133" s="27"/>
      <c r="L133" s="30"/>
      <c r="M133" s="30"/>
      <c r="N133" s="30"/>
      <c r="O133" s="30"/>
      <c r="P133" s="30"/>
      <c r="Q133" s="30"/>
      <c r="R133" s="30"/>
      <c r="S133" s="30"/>
    </row>
    <row r="134" spans="1:19" x14ac:dyDescent="0.25">
      <c r="A134" s="29">
        <v>44167</v>
      </c>
      <c r="B134" s="31">
        <v>0.188</v>
      </c>
      <c r="C134" s="31">
        <v>0.221</v>
      </c>
      <c r="D134" s="31">
        <v>0.253</v>
      </c>
      <c r="E134" s="31">
        <v>0.65300000000000002</v>
      </c>
      <c r="F134" s="31">
        <v>0.98799999999999999</v>
      </c>
      <c r="G134" s="31">
        <v>2.13</v>
      </c>
      <c r="H134" s="31" t="s">
        <v>85</v>
      </c>
      <c r="I134" s="31" t="s">
        <v>85</v>
      </c>
      <c r="K134" s="27"/>
      <c r="L134" s="30"/>
      <c r="M134" s="30"/>
      <c r="N134" s="30"/>
      <c r="O134" s="30"/>
      <c r="P134" s="30"/>
      <c r="Q134" s="30"/>
      <c r="R134" s="30"/>
      <c r="S134" s="30"/>
    </row>
    <row r="135" spans="1:19" x14ac:dyDescent="0.25">
      <c r="A135" s="29">
        <v>44168</v>
      </c>
      <c r="B135" s="31">
        <v>0.188</v>
      </c>
      <c r="C135" s="31">
        <v>0.218</v>
      </c>
      <c r="D135" s="31">
        <v>0.248</v>
      </c>
      <c r="E135" s="31">
        <v>0.65300000000000002</v>
      </c>
      <c r="F135" s="31">
        <v>0.95799999999999996</v>
      </c>
      <c r="G135" s="31">
        <v>2.105</v>
      </c>
      <c r="H135" s="31" t="s">
        <v>85</v>
      </c>
      <c r="I135" s="31" t="s">
        <v>85</v>
      </c>
      <c r="K135" s="27"/>
      <c r="L135" s="30"/>
      <c r="M135" s="30"/>
      <c r="N135" s="30"/>
      <c r="O135" s="30"/>
      <c r="P135" s="30"/>
      <c r="Q135" s="30"/>
      <c r="R135" s="30"/>
      <c r="S135" s="30"/>
    </row>
    <row r="136" spans="1:19" x14ac:dyDescent="0.25">
      <c r="A136" s="29">
        <v>44169</v>
      </c>
      <c r="B136" s="31">
        <v>0.188</v>
      </c>
      <c r="C136" s="31">
        <v>0.218</v>
      </c>
      <c r="D136" s="31">
        <v>0.248</v>
      </c>
      <c r="E136" s="31">
        <v>0.65300000000000002</v>
      </c>
      <c r="F136" s="31">
        <v>0.95799999999999996</v>
      </c>
      <c r="G136" s="31">
        <v>2.105</v>
      </c>
      <c r="H136" s="31" t="s">
        <v>85</v>
      </c>
      <c r="I136" s="31" t="s">
        <v>85</v>
      </c>
      <c r="K136" s="27"/>
      <c r="L136" s="30"/>
      <c r="M136" s="30"/>
      <c r="N136" s="30"/>
      <c r="O136" s="30"/>
      <c r="P136" s="30"/>
      <c r="Q136" s="30"/>
      <c r="R136" s="30"/>
      <c r="S136" s="30"/>
    </row>
    <row r="137" spans="1:19" x14ac:dyDescent="0.25">
      <c r="A137" s="29">
        <v>44172</v>
      </c>
      <c r="B137" s="31">
        <v>0.188</v>
      </c>
      <c r="C137" s="31">
        <v>0.218</v>
      </c>
      <c r="D137" s="31">
        <v>0.248</v>
      </c>
      <c r="E137" s="31">
        <v>0.64300000000000002</v>
      </c>
      <c r="F137" s="31">
        <v>0.94799999999999995</v>
      </c>
      <c r="G137" s="31">
        <v>2.105</v>
      </c>
      <c r="H137" s="31" t="s">
        <v>85</v>
      </c>
      <c r="I137" s="31" t="s">
        <v>85</v>
      </c>
      <c r="K137" s="27"/>
      <c r="L137" s="30"/>
      <c r="M137" s="30"/>
      <c r="N137" s="30"/>
      <c r="O137" s="30"/>
      <c r="P137" s="30"/>
      <c r="Q137" s="30"/>
      <c r="R137" s="30"/>
      <c r="S137" s="30"/>
    </row>
    <row r="138" spans="1:19" x14ac:dyDescent="0.25">
      <c r="A138" s="29">
        <v>44173</v>
      </c>
      <c r="B138" s="31">
        <v>0.188</v>
      </c>
      <c r="C138" s="31">
        <v>0.218</v>
      </c>
      <c r="D138" s="31">
        <v>0.248</v>
      </c>
      <c r="E138" s="31">
        <v>0.64300000000000002</v>
      </c>
      <c r="F138" s="31">
        <v>0.94799999999999995</v>
      </c>
      <c r="G138" s="31">
        <v>2.105</v>
      </c>
      <c r="H138" s="31" t="s">
        <v>85</v>
      </c>
      <c r="I138" s="31" t="s">
        <v>85</v>
      </c>
      <c r="K138" s="27"/>
      <c r="L138" s="30"/>
      <c r="M138" s="30"/>
      <c r="N138" s="30"/>
      <c r="O138" s="30"/>
      <c r="P138" s="30"/>
      <c r="Q138" s="30"/>
      <c r="R138" s="30"/>
      <c r="S138" s="30"/>
    </row>
    <row r="139" spans="1:19" x14ac:dyDescent="0.25">
      <c r="A139" s="29">
        <v>44174</v>
      </c>
      <c r="B139" s="31">
        <v>0.188</v>
      </c>
      <c r="C139" s="31">
        <v>0.218</v>
      </c>
      <c r="D139" s="31">
        <v>0.248</v>
      </c>
      <c r="E139" s="31">
        <v>0.64300000000000002</v>
      </c>
      <c r="F139" s="31">
        <v>0.94799999999999995</v>
      </c>
      <c r="G139" s="31">
        <v>2.105</v>
      </c>
      <c r="H139" s="31" t="s">
        <v>85</v>
      </c>
      <c r="I139" s="31" t="s">
        <v>85</v>
      </c>
      <c r="K139" s="27"/>
      <c r="L139" s="30"/>
      <c r="M139" s="30"/>
      <c r="N139" s="30"/>
      <c r="O139" s="30"/>
      <c r="P139" s="30"/>
      <c r="Q139" s="30"/>
      <c r="R139" s="30"/>
      <c r="S139" s="30"/>
    </row>
    <row r="140" spans="1:19" x14ac:dyDescent="0.25">
      <c r="A140" s="29">
        <v>44175</v>
      </c>
      <c r="B140" s="31">
        <v>0.187</v>
      </c>
      <c r="C140" s="31">
        <v>0.218</v>
      </c>
      <c r="D140" s="31">
        <v>0.248</v>
      </c>
      <c r="E140" s="31">
        <v>0.64300000000000002</v>
      </c>
      <c r="F140" s="31">
        <v>0.94799999999999995</v>
      </c>
      <c r="G140" s="31">
        <v>2.105</v>
      </c>
      <c r="H140" s="31" t="s">
        <v>85</v>
      </c>
      <c r="I140" s="31" t="s">
        <v>85</v>
      </c>
      <c r="K140" s="27"/>
      <c r="L140" s="30"/>
      <c r="M140" s="30"/>
      <c r="N140" s="30"/>
      <c r="O140" s="30"/>
      <c r="P140" s="30"/>
      <c r="Q140" s="30"/>
      <c r="R140" s="30"/>
      <c r="S140" s="30"/>
    </row>
    <row r="141" spans="1:19" x14ac:dyDescent="0.25">
      <c r="A141" s="29">
        <v>44176</v>
      </c>
      <c r="B141" s="31">
        <v>0.187</v>
      </c>
      <c r="C141" s="31">
        <v>0.218</v>
      </c>
      <c r="D141" s="31">
        <v>0.248</v>
      </c>
      <c r="E141" s="31">
        <v>0.64300000000000002</v>
      </c>
      <c r="F141" s="31">
        <v>0.94799999999999995</v>
      </c>
      <c r="G141" s="31">
        <v>2.105</v>
      </c>
      <c r="H141" s="31" t="s">
        <v>85</v>
      </c>
      <c r="I141" s="31" t="s">
        <v>85</v>
      </c>
      <c r="K141" s="27"/>
      <c r="L141" s="30"/>
      <c r="M141" s="30"/>
      <c r="N141" s="30"/>
      <c r="O141" s="30"/>
      <c r="P141" s="30"/>
      <c r="Q141" s="30"/>
      <c r="R141" s="30"/>
      <c r="S141" s="30"/>
    </row>
    <row r="142" spans="1:19" x14ac:dyDescent="0.25">
      <c r="A142" s="29">
        <v>44179</v>
      </c>
      <c r="B142" s="31">
        <v>0.187</v>
      </c>
      <c r="C142" s="31">
        <v>0.218</v>
      </c>
      <c r="D142" s="31">
        <v>0.248</v>
      </c>
      <c r="E142" s="31">
        <v>0.64300000000000002</v>
      </c>
      <c r="F142" s="31">
        <v>0.94799999999999995</v>
      </c>
      <c r="G142" s="31">
        <v>2.105</v>
      </c>
      <c r="H142" s="31" t="s">
        <v>85</v>
      </c>
      <c r="I142" s="31" t="s">
        <v>85</v>
      </c>
      <c r="K142" s="27"/>
      <c r="L142" s="30"/>
      <c r="M142" s="30"/>
      <c r="N142" s="30"/>
      <c r="O142" s="30"/>
      <c r="P142" s="30"/>
      <c r="Q142" s="30"/>
      <c r="R142" s="30"/>
      <c r="S142" s="30"/>
    </row>
    <row r="143" spans="1:19" x14ac:dyDescent="0.25">
      <c r="A143" s="29">
        <v>44180</v>
      </c>
      <c r="B143" s="31">
        <v>0.187</v>
      </c>
      <c r="C143" s="31">
        <v>0.22</v>
      </c>
      <c r="D143" s="31">
        <v>0.253</v>
      </c>
      <c r="E143" s="31">
        <v>0.65</v>
      </c>
      <c r="F143" s="31">
        <v>0.94799999999999995</v>
      </c>
      <c r="G143" s="31">
        <v>2.105</v>
      </c>
      <c r="H143" s="31" t="s">
        <v>85</v>
      </c>
      <c r="I143" s="31" t="s">
        <v>85</v>
      </c>
      <c r="K143" s="27"/>
      <c r="L143" s="30"/>
      <c r="M143" s="30"/>
      <c r="N143" s="30"/>
      <c r="O143" s="30"/>
      <c r="P143" s="30"/>
      <c r="Q143" s="30"/>
      <c r="R143" s="30"/>
      <c r="S143" s="30"/>
    </row>
    <row r="144" spans="1:19" x14ac:dyDescent="0.25">
      <c r="A144" s="29">
        <v>44181</v>
      </c>
      <c r="B144" s="31">
        <v>0.187</v>
      </c>
      <c r="C144" s="31">
        <v>0.221</v>
      </c>
      <c r="D144" s="31">
        <v>0.255</v>
      </c>
      <c r="E144" s="31">
        <v>0.65</v>
      </c>
      <c r="F144" s="31">
        <v>0.94799999999999995</v>
      </c>
      <c r="G144" s="31">
        <v>2.105</v>
      </c>
      <c r="H144" s="31" t="s">
        <v>85</v>
      </c>
      <c r="I144" s="31" t="s">
        <v>85</v>
      </c>
      <c r="K144" s="27"/>
      <c r="L144" s="30"/>
      <c r="M144" s="30"/>
      <c r="N144" s="30"/>
      <c r="O144" s="30"/>
      <c r="P144" s="30"/>
      <c r="Q144" s="30"/>
      <c r="R144" s="30"/>
      <c r="S144" s="30"/>
    </row>
    <row r="145" spans="1:19" x14ac:dyDescent="0.25">
      <c r="A145" s="29">
        <v>44182</v>
      </c>
      <c r="B145" s="31">
        <v>0.192</v>
      </c>
      <c r="C145" s="31">
        <v>0.22600000000000001</v>
      </c>
      <c r="D145" s="31">
        <v>0.26</v>
      </c>
      <c r="E145" s="31">
        <v>0.65</v>
      </c>
      <c r="F145" s="31">
        <v>0.94799999999999995</v>
      </c>
      <c r="G145" s="31">
        <v>2.105</v>
      </c>
      <c r="H145" s="31" t="s">
        <v>85</v>
      </c>
      <c r="I145" s="31" t="s">
        <v>85</v>
      </c>
      <c r="K145" s="27"/>
      <c r="L145" s="30"/>
      <c r="M145" s="30"/>
      <c r="N145" s="30"/>
      <c r="O145" s="30"/>
      <c r="P145" s="30"/>
      <c r="Q145" s="30"/>
      <c r="R145" s="30"/>
      <c r="S145" s="30"/>
    </row>
    <row r="146" spans="1:19" x14ac:dyDescent="0.25">
      <c r="A146" s="29">
        <v>44183</v>
      </c>
      <c r="B146" s="31">
        <v>0.19400000000000001</v>
      </c>
      <c r="C146" s="31">
        <v>0.23100000000000001</v>
      </c>
      <c r="D146" s="31">
        <v>0.26800000000000002</v>
      </c>
      <c r="E146" s="31">
        <v>0.65</v>
      </c>
      <c r="F146" s="31">
        <v>0.94799999999999995</v>
      </c>
      <c r="G146" s="31">
        <v>2.105</v>
      </c>
      <c r="H146" s="31" t="s">
        <v>85</v>
      </c>
      <c r="I146" s="31" t="s">
        <v>85</v>
      </c>
      <c r="K146" s="27"/>
      <c r="L146" s="30"/>
      <c r="M146" s="30"/>
      <c r="N146" s="30"/>
      <c r="O146" s="30"/>
      <c r="P146" s="30"/>
      <c r="Q146" s="30"/>
      <c r="R146" s="30"/>
      <c r="S146" s="30"/>
    </row>
    <row r="147" spans="1:19" x14ac:dyDescent="0.25">
      <c r="A147" s="29">
        <v>44186</v>
      </c>
      <c r="B147" s="31">
        <v>0.19400000000000001</v>
      </c>
      <c r="C147" s="31">
        <v>0.23</v>
      </c>
      <c r="D147" s="31">
        <v>0.26500000000000001</v>
      </c>
      <c r="E147" s="31">
        <v>0.65</v>
      </c>
      <c r="F147" s="31">
        <v>0.94799999999999995</v>
      </c>
      <c r="G147" s="31">
        <v>2.105</v>
      </c>
      <c r="H147" s="31" t="s">
        <v>85</v>
      </c>
      <c r="I147" s="31" t="s">
        <v>85</v>
      </c>
      <c r="K147" s="27"/>
      <c r="L147" s="30"/>
      <c r="M147" s="30"/>
      <c r="N147" s="30"/>
      <c r="O147" s="30"/>
      <c r="P147" s="30"/>
      <c r="Q147" s="30"/>
      <c r="R147" s="30"/>
      <c r="S147" s="30"/>
    </row>
    <row r="148" spans="1:19" x14ac:dyDescent="0.25">
      <c r="A148" s="29">
        <v>44187</v>
      </c>
      <c r="B148" s="31">
        <v>0.19800000000000001</v>
      </c>
      <c r="C148" s="31">
        <v>0.23300000000000001</v>
      </c>
      <c r="D148" s="31">
        <v>0.26800000000000002</v>
      </c>
      <c r="E148" s="31">
        <v>0.65</v>
      </c>
      <c r="F148" s="31">
        <v>0.94799999999999995</v>
      </c>
      <c r="G148" s="31">
        <v>2.105</v>
      </c>
      <c r="H148" s="31" t="s">
        <v>85</v>
      </c>
      <c r="I148" s="31" t="s">
        <v>85</v>
      </c>
      <c r="K148" s="27"/>
      <c r="L148" s="30"/>
      <c r="M148" s="30"/>
      <c r="N148" s="30"/>
      <c r="O148" s="30"/>
      <c r="P148" s="30"/>
      <c r="Q148" s="30"/>
      <c r="R148" s="30"/>
      <c r="S148" s="30"/>
    </row>
    <row r="149" spans="1:19" x14ac:dyDescent="0.25">
      <c r="A149" s="29">
        <v>44188</v>
      </c>
      <c r="B149" s="31">
        <v>0.19800000000000001</v>
      </c>
      <c r="C149" s="31">
        <v>0.23300000000000001</v>
      </c>
      <c r="D149" s="31">
        <v>0.26800000000000002</v>
      </c>
      <c r="E149" s="31">
        <v>0.65</v>
      </c>
      <c r="F149" s="31">
        <v>0.94799999999999995</v>
      </c>
      <c r="G149" s="31">
        <v>2.105</v>
      </c>
      <c r="H149" s="31" t="s">
        <v>85</v>
      </c>
      <c r="I149" s="31" t="s">
        <v>85</v>
      </c>
      <c r="K149" s="27"/>
      <c r="L149" s="30"/>
      <c r="M149" s="30"/>
      <c r="N149" s="30"/>
      <c r="O149" s="30"/>
      <c r="P149" s="30"/>
      <c r="Q149" s="30"/>
      <c r="R149" s="30"/>
      <c r="S149" s="30"/>
    </row>
    <row r="150" spans="1:19" x14ac:dyDescent="0.25">
      <c r="A150" s="29">
        <v>44189</v>
      </c>
      <c r="B150" s="31">
        <v>0.2</v>
      </c>
      <c r="C150" s="31">
        <v>0.23699999999999999</v>
      </c>
      <c r="D150" s="31">
        <v>0.27300000000000002</v>
      </c>
      <c r="E150" s="31">
        <v>0.66</v>
      </c>
      <c r="F150" s="31">
        <v>0.95799999999999996</v>
      </c>
      <c r="G150" s="31">
        <v>2.105</v>
      </c>
      <c r="H150" s="31" t="s">
        <v>85</v>
      </c>
      <c r="I150" s="31" t="s">
        <v>85</v>
      </c>
      <c r="K150" s="27"/>
      <c r="L150" s="30"/>
      <c r="M150" s="30"/>
      <c r="N150" s="30"/>
      <c r="O150" s="30"/>
      <c r="P150" s="30"/>
      <c r="Q150" s="30"/>
      <c r="R150" s="30"/>
      <c r="S150" s="30"/>
    </row>
    <row r="151" spans="1:19" x14ac:dyDescent="0.25">
      <c r="A151" s="29">
        <v>44190</v>
      </c>
      <c r="B151" s="31">
        <v>0.20499999999999999</v>
      </c>
      <c r="C151" s="31">
        <v>0.24199999999999999</v>
      </c>
      <c r="D151" s="31">
        <v>0.27800000000000002</v>
      </c>
      <c r="E151" s="31">
        <v>0.66</v>
      </c>
      <c r="F151" s="31">
        <v>0.95799999999999996</v>
      </c>
      <c r="G151" s="31">
        <v>2.105</v>
      </c>
      <c r="H151" s="31" t="s">
        <v>85</v>
      </c>
      <c r="I151" s="31" t="s">
        <v>85</v>
      </c>
      <c r="K151" s="27"/>
      <c r="L151" s="30"/>
      <c r="M151" s="30"/>
      <c r="N151" s="30"/>
      <c r="O151" s="30"/>
      <c r="P151" s="30"/>
      <c r="Q151" s="30"/>
      <c r="R151" s="30"/>
      <c r="S151" s="30"/>
    </row>
    <row r="152" spans="1:19" x14ac:dyDescent="0.25">
      <c r="A152" s="29">
        <v>44193</v>
      </c>
      <c r="B152" s="31">
        <v>0.21</v>
      </c>
      <c r="C152" s="31">
        <v>0.247</v>
      </c>
      <c r="D152" s="31">
        <v>0.28299999999999997</v>
      </c>
      <c r="E152" s="31">
        <v>0.66</v>
      </c>
      <c r="F152" s="31">
        <v>0.95799999999999996</v>
      </c>
      <c r="G152" s="31">
        <v>2.105</v>
      </c>
      <c r="H152" s="31" t="s">
        <v>85</v>
      </c>
      <c r="I152" s="31" t="s">
        <v>85</v>
      </c>
      <c r="K152" s="27"/>
      <c r="L152" s="30"/>
      <c r="M152" s="30"/>
      <c r="N152" s="30"/>
      <c r="O152" s="30"/>
      <c r="P152" s="30"/>
      <c r="Q152" s="30"/>
      <c r="R152" s="30"/>
      <c r="S152" s="30"/>
    </row>
    <row r="153" spans="1:19" x14ac:dyDescent="0.25">
      <c r="A153" s="29">
        <v>44194</v>
      </c>
      <c r="B153" s="31">
        <v>0.218</v>
      </c>
      <c r="C153" s="31">
        <v>0.25600000000000001</v>
      </c>
      <c r="D153" s="31">
        <v>0.29299999999999998</v>
      </c>
      <c r="E153" s="31">
        <v>0.67</v>
      </c>
      <c r="F153" s="31">
        <v>0.95799999999999996</v>
      </c>
      <c r="G153" s="31">
        <v>2.105</v>
      </c>
      <c r="H153" s="31" t="s">
        <v>85</v>
      </c>
      <c r="I153" s="31" t="s">
        <v>85</v>
      </c>
      <c r="K153" s="27"/>
      <c r="L153" s="30"/>
      <c r="M153" s="30"/>
      <c r="N153" s="30"/>
      <c r="O153" s="30"/>
      <c r="P153" s="30"/>
      <c r="Q153" s="30"/>
      <c r="R153" s="30"/>
      <c r="S153" s="30"/>
    </row>
    <row r="154" spans="1:19" x14ac:dyDescent="0.25">
      <c r="A154" s="29">
        <v>44195</v>
      </c>
      <c r="B154" s="31">
        <v>0.22800000000000001</v>
      </c>
      <c r="C154" s="31">
        <v>0.26700000000000002</v>
      </c>
      <c r="D154" s="31">
        <v>0.30499999999999999</v>
      </c>
      <c r="E154" s="31">
        <v>0.67</v>
      </c>
      <c r="F154" s="31">
        <v>0.95799999999999996</v>
      </c>
      <c r="G154" s="31">
        <v>2.105</v>
      </c>
      <c r="H154" s="31" t="s">
        <v>85</v>
      </c>
      <c r="I154" s="31" t="s">
        <v>85</v>
      </c>
      <c r="K154" s="27"/>
      <c r="L154" s="30"/>
      <c r="M154" s="30"/>
      <c r="N154" s="30"/>
      <c r="O154" s="30"/>
      <c r="P154" s="30"/>
      <c r="Q154" s="30"/>
      <c r="R154" s="30"/>
      <c r="S154" s="30"/>
    </row>
    <row r="155" spans="1:19" x14ac:dyDescent="0.25">
      <c r="A155" s="29">
        <v>44196</v>
      </c>
      <c r="B155" s="31">
        <v>0.22500000000000001</v>
      </c>
      <c r="C155" s="31">
        <v>0.25900000000000001</v>
      </c>
      <c r="D155" s="31">
        <v>0.29299999999999998</v>
      </c>
      <c r="E155" s="31">
        <v>0.67</v>
      </c>
      <c r="F155" s="31">
        <v>0.95799999999999996</v>
      </c>
      <c r="G155" s="31">
        <v>2.105</v>
      </c>
      <c r="H155" s="31" t="s">
        <v>85</v>
      </c>
      <c r="I155" s="31" t="s">
        <v>85</v>
      </c>
      <c r="K155" s="27"/>
      <c r="L155" s="30"/>
      <c r="M155" s="30"/>
      <c r="N155" s="30"/>
      <c r="O155" s="30"/>
      <c r="P155" s="30"/>
      <c r="Q155" s="30"/>
      <c r="R155" s="30"/>
      <c r="S155" s="30"/>
    </row>
    <row r="156" spans="1:19" x14ac:dyDescent="0.25">
      <c r="A156" s="29">
        <v>44200</v>
      </c>
      <c r="B156" s="31">
        <v>0.23499999999999999</v>
      </c>
      <c r="C156" s="31">
        <v>0.26200000000000001</v>
      </c>
      <c r="D156" s="31">
        <v>0.28799999999999998</v>
      </c>
      <c r="E156" s="31">
        <v>0.68</v>
      </c>
      <c r="F156" s="31">
        <v>0.95799999999999996</v>
      </c>
      <c r="G156" s="31">
        <v>2.105</v>
      </c>
      <c r="H156" s="31" t="s">
        <v>85</v>
      </c>
      <c r="I156" s="31" t="s">
        <v>85</v>
      </c>
      <c r="K156" s="27"/>
      <c r="L156" s="30"/>
      <c r="M156" s="30"/>
      <c r="N156" s="30"/>
      <c r="O156" s="30"/>
      <c r="P156" s="30"/>
      <c r="Q156" s="30"/>
      <c r="R156" s="30"/>
      <c r="S156" s="30"/>
    </row>
    <row r="157" spans="1:19" x14ac:dyDescent="0.25">
      <c r="A157" s="29">
        <v>44201</v>
      </c>
      <c r="B157" s="31">
        <v>0.23300000000000001</v>
      </c>
      <c r="C157" s="31">
        <v>0.26100000000000001</v>
      </c>
      <c r="D157" s="31">
        <v>0.28799999999999998</v>
      </c>
      <c r="E157" s="31">
        <v>0.68</v>
      </c>
      <c r="F157" s="31">
        <v>0.95799999999999996</v>
      </c>
      <c r="G157" s="31">
        <v>2.105</v>
      </c>
      <c r="H157" s="31" t="s">
        <v>85</v>
      </c>
      <c r="I157" s="31" t="s">
        <v>85</v>
      </c>
      <c r="K157" s="27"/>
      <c r="L157" s="30"/>
      <c r="M157" s="30"/>
      <c r="N157" s="30"/>
      <c r="O157" s="30"/>
      <c r="P157" s="30"/>
      <c r="Q157" s="30"/>
      <c r="R157" s="30"/>
      <c r="S157" s="30"/>
    </row>
    <row r="158" spans="1:19" x14ac:dyDescent="0.25">
      <c r="A158" s="29">
        <v>44202</v>
      </c>
      <c r="B158" s="31">
        <v>0.22500000000000001</v>
      </c>
      <c r="C158" s="31">
        <v>0.255</v>
      </c>
      <c r="D158" s="31">
        <v>0.28499999999999998</v>
      </c>
      <c r="E158" s="31">
        <v>0.68</v>
      </c>
      <c r="F158" s="31">
        <v>0.98299999999999998</v>
      </c>
      <c r="G158" s="31">
        <v>2.1150000000000002</v>
      </c>
      <c r="H158" s="31" t="s">
        <v>85</v>
      </c>
      <c r="I158" s="31" t="s">
        <v>85</v>
      </c>
      <c r="K158" s="27"/>
      <c r="L158" s="30"/>
      <c r="M158" s="30"/>
      <c r="N158" s="30"/>
      <c r="O158" s="30"/>
      <c r="P158" s="30"/>
      <c r="Q158" s="30"/>
      <c r="R158" s="30"/>
      <c r="S158" s="30"/>
    </row>
    <row r="159" spans="1:19" x14ac:dyDescent="0.25">
      <c r="A159" s="29">
        <v>44203</v>
      </c>
      <c r="B159" s="31">
        <v>0.22</v>
      </c>
      <c r="C159" s="31">
        <v>0.252</v>
      </c>
      <c r="D159" s="31">
        <v>0.28299999999999997</v>
      </c>
      <c r="E159" s="31">
        <v>0.68</v>
      </c>
      <c r="F159" s="31">
        <v>0.96799999999999997</v>
      </c>
      <c r="G159" s="31">
        <v>2.1150000000000002</v>
      </c>
      <c r="H159" s="31" t="s">
        <v>85</v>
      </c>
      <c r="I159" s="31" t="s">
        <v>85</v>
      </c>
      <c r="K159" s="27"/>
      <c r="L159" s="30"/>
      <c r="M159" s="30"/>
      <c r="N159" s="30"/>
      <c r="O159" s="30"/>
      <c r="P159" s="30"/>
      <c r="Q159" s="30"/>
      <c r="R159" s="30"/>
      <c r="S159" s="30"/>
    </row>
    <row r="160" spans="1:19" x14ac:dyDescent="0.25">
      <c r="A160" s="29">
        <v>44204</v>
      </c>
      <c r="B160" s="31">
        <v>0.22</v>
      </c>
      <c r="C160" s="31">
        <v>0.252</v>
      </c>
      <c r="D160" s="31">
        <v>0.28299999999999997</v>
      </c>
      <c r="E160" s="31">
        <v>0.68</v>
      </c>
      <c r="F160" s="31">
        <v>0.96799999999999997</v>
      </c>
      <c r="G160" s="31">
        <v>2.1150000000000002</v>
      </c>
      <c r="H160" s="31" t="s">
        <v>85</v>
      </c>
      <c r="I160" s="31" t="s">
        <v>85</v>
      </c>
      <c r="K160" s="27"/>
      <c r="L160" s="30"/>
      <c r="M160" s="30"/>
      <c r="N160" s="30"/>
      <c r="O160" s="30"/>
      <c r="P160" s="30"/>
      <c r="Q160" s="30"/>
      <c r="R160" s="30"/>
      <c r="S160" s="30"/>
    </row>
    <row r="161" spans="1:19" x14ac:dyDescent="0.25">
      <c r="A161" s="29">
        <v>44207</v>
      </c>
      <c r="B161" s="31">
        <v>0.223</v>
      </c>
      <c r="C161" s="31">
        <v>0.25800000000000001</v>
      </c>
      <c r="D161" s="31">
        <v>0.29299999999999998</v>
      </c>
      <c r="E161" s="31">
        <v>0.68</v>
      </c>
      <c r="F161" s="31">
        <v>0.96799999999999997</v>
      </c>
      <c r="G161" s="31">
        <v>2.1150000000000002</v>
      </c>
      <c r="H161" s="31" t="s">
        <v>85</v>
      </c>
      <c r="I161" s="31" t="s">
        <v>85</v>
      </c>
      <c r="K161" s="27"/>
      <c r="L161" s="30"/>
      <c r="M161" s="30"/>
      <c r="N161" s="30"/>
      <c r="O161" s="30"/>
      <c r="P161" s="30"/>
      <c r="Q161" s="30"/>
      <c r="R161" s="30"/>
      <c r="S161" s="30"/>
    </row>
    <row r="162" spans="1:19" x14ac:dyDescent="0.25">
      <c r="A162" s="29">
        <v>44208</v>
      </c>
      <c r="B162" s="31">
        <v>0.22</v>
      </c>
      <c r="C162" s="31">
        <v>0.252</v>
      </c>
      <c r="D162" s="31">
        <v>0.28299999999999997</v>
      </c>
      <c r="E162" s="31">
        <v>0.68</v>
      </c>
      <c r="F162" s="31">
        <v>0.96799999999999997</v>
      </c>
      <c r="G162" s="31">
        <v>2.1150000000000002</v>
      </c>
      <c r="H162" s="31" t="s">
        <v>85</v>
      </c>
      <c r="I162" s="31" t="s">
        <v>85</v>
      </c>
      <c r="K162" s="27"/>
      <c r="L162" s="30"/>
      <c r="M162" s="30"/>
      <c r="N162" s="30"/>
      <c r="O162" s="30"/>
      <c r="P162" s="30"/>
      <c r="Q162" s="30"/>
      <c r="R162" s="30"/>
      <c r="S162" s="30"/>
    </row>
    <row r="163" spans="1:19" x14ac:dyDescent="0.25">
      <c r="A163" s="29">
        <v>44209</v>
      </c>
      <c r="B163" s="31">
        <v>0.223</v>
      </c>
      <c r="C163" s="31">
        <v>0.254</v>
      </c>
      <c r="D163" s="31">
        <v>0.28499999999999998</v>
      </c>
      <c r="E163" s="31">
        <v>0.65</v>
      </c>
      <c r="F163" s="31">
        <v>0.94799999999999995</v>
      </c>
      <c r="G163" s="31">
        <v>2.105</v>
      </c>
      <c r="H163" s="31" t="s">
        <v>85</v>
      </c>
      <c r="I163" s="31" t="s">
        <v>85</v>
      </c>
      <c r="K163" s="27"/>
      <c r="L163" s="30"/>
      <c r="M163" s="30"/>
      <c r="N163" s="30"/>
      <c r="O163" s="30"/>
      <c r="P163" s="30"/>
      <c r="Q163" s="30"/>
      <c r="R163" s="30"/>
      <c r="S163" s="30"/>
    </row>
    <row r="164" spans="1:19" x14ac:dyDescent="0.25">
      <c r="A164" s="29">
        <v>44210</v>
      </c>
      <c r="B164" s="31">
        <v>0.22</v>
      </c>
      <c r="C164" s="31">
        <v>0.252</v>
      </c>
      <c r="D164" s="31">
        <v>0.28299999999999997</v>
      </c>
      <c r="E164" s="31">
        <v>0.66500000000000004</v>
      </c>
      <c r="F164" s="31">
        <v>0.94499999999999995</v>
      </c>
      <c r="G164" s="31">
        <v>2.105</v>
      </c>
      <c r="H164" s="31" t="s">
        <v>85</v>
      </c>
      <c r="I164" s="31" t="s">
        <v>85</v>
      </c>
      <c r="K164" s="27"/>
      <c r="L164" s="30"/>
      <c r="M164" s="30"/>
      <c r="N164" s="30"/>
      <c r="O164" s="30"/>
      <c r="P164" s="30"/>
      <c r="Q164" s="30"/>
      <c r="R164" s="30"/>
      <c r="S164" s="30"/>
    </row>
    <row r="165" spans="1:19" x14ac:dyDescent="0.25">
      <c r="A165" s="29">
        <v>44211</v>
      </c>
      <c r="B165" s="31">
        <v>0.223</v>
      </c>
      <c r="C165" s="31">
        <v>0.25800000000000001</v>
      </c>
      <c r="D165" s="31">
        <v>0.29299999999999998</v>
      </c>
      <c r="E165" s="31">
        <v>0.67</v>
      </c>
      <c r="F165" s="31">
        <v>0.94499999999999995</v>
      </c>
      <c r="G165" s="31">
        <v>2.105</v>
      </c>
      <c r="H165" s="31" t="s">
        <v>85</v>
      </c>
      <c r="I165" s="31" t="s">
        <v>85</v>
      </c>
      <c r="K165" s="27"/>
      <c r="L165" s="30"/>
      <c r="M165" s="30"/>
      <c r="N165" s="30"/>
      <c r="O165" s="30"/>
      <c r="P165" s="30"/>
      <c r="Q165" s="30"/>
      <c r="R165" s="30"/>
      <c r="S165" s="30"/>
    </row>
    <row r="166" spans="1:19" x14ac:dyDescent="0.25">
      <c r="A166" s="29">
        <v>44214</v>
      </c>
      <c r="B166" s="31">
        <v>0.23799999999999999</v>
      </c>
      <c r="C166" s="31">
        <v>0.28599999999999998</v>
      </c>
      <c r="D166" s="31">
        <v>0.33300000000000002</v>
      </c>
      <c r="E166" s="31">
        <v>0.68500000000000005</v>
      </c>
      <c r="F166" s="31">
        <v>0.95299999999999996</v>
      </c>
      <c r="G166" s="31">
        <v>2.12</v>
      </c>
      <c r="H166" s="31" t="s">
        <v>85</v>
      </c>
      <c r="I166" s="31" t="s">
        <v>85</v>
      </c>
      <c r="K166" s="27"/>
      <c r="L166" s="30"/>
      <c r="M166" s="30"/>
      <c r="N166" s="30"/>
      <c r="O166" s="30"/>
      <c r="P166" s="30"/>
      <c r="Q166" s="30"/>
      <c r="R166" s="30"/>
      <c r="S166" s="30"/>
    </row>
    <row r="167" spans="1:19" x14ac:dyDescent="0.25">
      <c r="A167" s="29">
        <v>44215</v>
      </c>
      <c r="B167" s="31">
        <v>0.255</v>
      </c>
      <c r="C167" s="31">
        <v>0.309</v>
      </c>
      <c r="D167" s="31">
        <v>0.36299999999999999</v>
      </c>
      <c r="E167" s="31">
        <v>0.69</v>
      </c>
      <c r="F167" s="31">
        <v>0.96299999999999997</v>
      </c>
      <c r="G167" s="31">
        <v>2.12</v>
      </c>
      <c r="H167" s="31" t="s">
        <v>85</v>
      </c>
      <c r="I167" s="31" t="s">
        <v>85</v>
      </c>
      <c r="K167" s="27"/>
      <c r="L167" s="30"/>
      <c r="M167" s="30"/>
      <c r="N167" s="30"/>
      <c r="O167" s="30"/>
      <c r="P167" s="30"/>
      <c r="Q167" s="30"/>
      <c r="R167" s="30"/>
      <c r="S167" s="30"/>
    </row>
    <row r="168" spans="1:19" x14ac:dyDescent="0.25">
      <c r="A168" s="29">
        <v>44216</v>
      </c>
      <c r="B168" s="31">
        <v>0.25</v>
      </c>
      <c r="C168" s="31">
        <v>0.30499999999999999</v>
      </c>
      <c r="D168" s="31">
        <v>0.36</v>
      </c>
      <c r="E168" s="31">
        <v>0.69</v>
      </c>
      <c r="F168" s="31">
        <v>0.96299999999999997</v>
      </c>
      <c r="G168" s="31">
        <v>2.12</v>
      </c>
      <c r="H168" s="31" t="s">
        <v>85</v>
      </c>
      <c r="I168" s="31" t="s">
        <v>85</v>
      </c>
      <c r="K168" s="27"/>
      <c r="L168" s="30"/>
      <c r="M168" s="30"/>
      <c r="N168" s="30"/>
      <c r="O168" s="30"/>
      <c r="P168" s="30"/>
      <c r="Q168" s="30"/>
      <c r="R168" s="30"/>
      <c r="S168" s="30"/>
    </row>
    <row r="169" spans="1:19" x14ac:dyDescent="0.25">
      <c r="A169" s="29">
        <v>44217</v>
      </c>
      <c r="B169" s="31">
        <v>0.25</v>
      </c>
      <c r="C169" s="31">
        <v>0.30499999999999999</v>
      </c>
      <c r="D169" s="31">
        <v>0.36</v>
      </c>
      <c r="E169" s="31">
        <v>0.69</v>
      </c>
      <c r="F169" s="31">
        <v>0.96299999999999997</v>
      </c>
      <c r="G169" s="31">
        <v>2.12</v>
      </c>
      <c r="H169" s="31" t="s">
        <v>85</v>
      </c>
      <c r="I169" s="31" t="s">
        <v>85</v>
      </c>
      <c r="K169" s="27"/>
      <c r="L169" s="30"/>
      <c r="M169" s="30"/>
      <c r="N169" s="30"/>
      <c r="O169" s="30"/>
      <c r="P169" s="30"/>
      <c r="Q169" s="30"/>
      <c r="R169" s="30"/>
      <c r="S169" s="30"/>
    </row>
    <row r="170" spans="1:19" x14ac:dyDescent="0.25">
      <c r="A170" s="29">
        <v>44218</v>
      </c>
      <c r="B170" s="31">
        <v>0.25</v>
      </c>
      <c r="C170" s="31">
        <v>0.30399999999999999</v>
      </c>
      <c r="D170" s="31">
        <v>0.35799999999999998</v>
      </c>
      <c r="E170" s="31">
        <v>0.69</v>
      </c>
      <c r="F170" s="31">
        <v>0.96299999999999997</v>
      </c>
      <c r="G170" s="31">
        <v>2.12</v>
      </c>
      <c r="H170" s="31" t="s">
        <v>85</v>
      </c>
      <c r="I170" s="31" t="s">
        <v>85</v>
      </c>
      <c r="K170" s="27"/>
      <c r="L170" s="30"/>
      <c r="M170" s="30"/>
      <c r="N170" s="30"/>
      <c r="O170" s="30"/>
      <c r="P170" s="30"/>
      <c r="Q170" s="30"/>
      <c r="R170" s="30"/>
      <c r="S170" s="30"/>
    </row>
    <row r="171" spans="1:19" x14ac:dyDescent="0.25">
      <c r="A171" s="29">
        <v>44221</v>
      </c>
      <c r="B171" s="31">
        <v>0.313</v>
      </c>
      <c r="C171" s="31">
        <v>0.36699999999999999</v>
      </c>
      <c r="D171" s="31">
        <v>0.42</v>
      </c>
      <c r="E171" s="31">
        <v>0.69799999999999995</v>
      </c>
      <c r="F171" s="31">
        <v>0.96499999999999997</v>
      </c>
      <c r="G171" s="31">
        <v>2.12</v>
      </c>
      <c r="H171" s="31" t="s">
        <v>85</v>
      </c>
      <c r="I171" s="31" t="s">
        <v>85</v>
      </c>
      <c r="K171" s="27"/>
      <c r="L171" s="30"/>
      <c r="M171" s="30"/>
      <c r="N171" s="30"/>
      <c r="O171" s="30"/>
      <c r="P171" s="30"/>
      <c r="Q171" s="30"/>
      <c r="R171" s="30"/>
      <c r="S171" s="30"/>
    </row>
    <row r="172" spans="1:19" x14ac:dyDescent="0.25">
      <c r="A172" s="29">
        <v>44222</v>
      </c>
      <c r="B172" s="31">
        <v>0.35299999999999998</v>
      </c>
      <c r="C172" s="31">
        <v>0.40600000000000003</v>
      </c>
      <c r="D172" s="31">
        <v>0.45800000000000002</v>
      </c>
      <c r="E172" s="31">
        <v>0.69799999999999995</v>
      </c>
      <c r="F172" s="31">
        <v>0.96499999999999997</v>
      </c>
      <c r="G172" s="31">
        <v>2.12</v>
      </c>
      <c r="H172" s="31" t="s">
        <v>85</v>
      </c>
      <c r="I172" s="31" t="s">
        <v>85</v>
      </c>
      <c r="K172" s="27"/>
      <c r="L172" s="30"/>
      <c r="M172" s="30"/>
      <c r="N172" s="30"/>
      <c r="O172" s="30"/>
      <c r="P172" s="30"/>
      <c r="Q172" s="30"/>
      <c r="R172" s="30"/>
      <c r="S172" s="30"/>
    </row>
    <row r="173" spans="1:19" x14ac:dyDescent="0.25">
      <c r="A173" s="29">
        <v>44223</v>
      </c>
      <c r="B173" s="31">
        <v>0.47</v>
      </c>
      <c r="C173" s="31">
        <v>0.59199999999999997</v>
      </c>
      <c r="D173" s="31">
        <v>0.71299999999999997</v>
      </c>
      <c r="E173" s="31">
        <v>0.71799999999999997</v>
      </c>
      <c r="F173" s="31">
        <v>0.97499999999999998</v>
      </c>
      <c r="G173" s="31">
        <v>2.12</v>
      </c>
      <c r="H173" s="31" t="s">
        <v>85</v>
      </c>
      <c r="I173" s="31" t="s">
        <v>85</v>
      </c>
      <c r="K173" s="27"/>
      <c r="L173" s="30"/>
      <c r="M173" s="30"/>
      <c r="N173" s="30"/>
      <c r="O173" s="30"/>
      <c r="P173" s="30"/>
      <c r="Q173" s="30"/>
      <c r="R173" s="30"/>
      <c r="S173" s="30"/>
    </row>
    <row r="174" spans="1:19" x14ac:dyDescent="0.25">
      <c r="A174" s="29">
        <v>44224</v>
      </c>
      <c r="B174" s="31">
        <v>0.65100000000000002</v>
      </c>
      <c r="C174" s="31">
        <v>0.69599999999999995</v>
      </c>
      <c r="D174" s="31">
        <v>0.74</v>
      </c>
      <c r="E174" s="31">
        <v>0.83</v>
      </c>
      <c r="F174" s="31">
        <v>1.01</v>
      </c>
      <c r="G174" s="31">
        <v>2.12</v>
      </c>
      <c r="H174" s="31" t="s">
        <v>85</v>
      </c>
      <c r="I174" s="31" t="s">
        <v>85</v>
      </c>
      <c r="K174" s="27"/>
      <c r="L174" s="30"/>
      <c r="M174" s="30"/>
      <c r="N174" s="30"/>
      <c r="O174" s="30"/>
      <c r="P174" s="30"/>
      <c r="Q174" s="30"/>
      <c r="R174" s="30"/>
      <c r="S174" s="30"/>
    </row>
    <row r="175" spans="1:19" x14ac:dyDescent="0.25">
      <c r="A175" s="29">
        <v>44225</v>
      </c>
      <c r="B175" s="31">
        <v>0.69</v>
      </c>
      <c r="C175" s="31">
        <v>0.74299999999999999</v>
      </c>
      <c r="D175" s="31">
        <v>0.79500000000000004</v>
      </c>
      <c r="E175" s="31">
        <v>0.86499999999999999</v>
      </c>
      <c r="F175" s="31">
        <v>1.03</v>
      </c>
      <c r="G175" s="31">
        <v>2.12</v>
      </c>
      <c r="H175" s="31" t="s">
        <v>85</v>
      </c>
      <c r="I175" s="31" t="s">
        <v>85</v>
      </c>
      <c r="K175" s="27"/>
      <c r="L175" s="30"/>
      <c r="M175" s="30"/>
      <c r="N175" s="30"/>
      <c r="O175" s="30"/>
      <c r="P175" s="30"/>
      <c r="Q175" s="30"/>
      <c r="R175" s="30"/>
      <c r="S175" s="30"/>
    </row>
    <row r="176" spans="1:19" x14ac:dyDescent="0.25">
      <c r="A176" s="29">
        <v>44228</v>
      </c>
      <c r="B176" s="31">
        <v>0.71</v>
      </c>
      <c r="C176" s="31">
        <v>0.76300000000000001</v>
      </c>
      <c r="D176" s="31">
        <v>0.81499999999999995</v>
      </c>
      <c r="E176" s="31">
        <v>0.89</v>
      </c>
      <c r="F176" s="31">
        <v>1.05</v>
      </c>
      <c r="G176" s="31">
        <v>2.12</v>
      </c>
      <c r="H176" s="31" t="s">
        <v>85</v>
      </c>
      <c r="I176" s="31" t="s">
        <v>85</v>
      </c>
      <c r="K176" s="27"/>
      <c r="L176" s="30"/>
      <c r="M176" s="30"/>
      <c r="N176" s="30"/>
      <c r="O176" s="30"/>
      <c r="P176" s="30"/>
      <c r="Q176" s="30"/>
      <c r="R176" s="30"/>
      <c r="S176" s="30"/>
    </row>
    <row r="177" spans="1:19" x14ac:dyDescent="0.25">
      <c r="A177" s="29">
        <v>44229</v>
      </c>
      <c r="B177" s="31">
        <v>1.67</v>
      </c>
      <c r="C177" s="31">
        <v>1.7</v>
      </c>
      <c r="D177" s="31">
        <v>1.73</v>
      </c>
      <c r="E177" s="31">
        <v>1.085</v>
      </c>
      <c r="F177" s="31">
        <v>1.2050000000000001</v>
      </c>
      <c r="G177" s="31">
        <v>2.0950000000000002</v>
      </c>
      <c r="H177" s="31" t="s">
        <v>85</v>
      </c>
      <c r="I177" s="31" t="s">
        <v>85</v>
      </c>
      <c r="K177" s="27"/>
      <c r="L177" s="30"/>
      <c r="M177" s="30"/>
      <c r="N177" s="30"/>
      <c r="O177" s="30"/>
      <c r="P177" s="30"/>
      <c r="Q177" s="30"/>
      <c r="R177" s="30"/>
      <c r="S177" s="30"/>
    </row>
    <row r="178" spans="1:19" x14ac:dyDescent="0.25">
      <c r="A178" s="29">
        <v>44230</v>
      </c>
      <c r="B178" s="31">
        <v>2.415</v>
      </c>
      <c r="C178" s="31">
        <v>2.3929999999999998</v>
      </c>
      <c r="D178" s="31">
        <v>2.37</v>
      </c>
      <c r="E178" s="31">
        <v>1.68</v>
      </c>
      <c r="F178" s="31">
        <v>1.7350000000000001</v>
      </c>
      <c r="G178" s="31">
        <v>2.1850000000000001</v>
      </c>
      <c r="H178" s="31" t="s">
        <v>85</v>
      </c>
      <c r="I178" s="31" t="s">
        <v>85</v>
      </c>
      <c r="K178" s="27"/>
      <c r="L178" s="30"/>
      <c r="M178" s="30"/>
      <c r="N178" s="30"/>
      <c r="O178" s="30"/>
      <c r="P178" s="30"/>
      <c r="Q178" s="30"/>
      <c r="R178" s="30"/>
      <c r="S178" s="30"/>
    </row>
    <row r="179" spans="1:19" x14ac:dyDescent="0.25">
      <c r="A179" s="29">
        <v>44231</v>
      </c>
      <c r="B179" s="31">
        <v>1.97</v>
      </c>
      <c r="C179" s="31">
        <v>1.9730000000000001</v>
      </c>
      <c r="D179" s="31">
        <v>1.9750000000000001</v>
      </c>
      <c r="E179" s="31">
        <v>1.7549999999999999</v>
      </c>
      <c r="F179" s="31">
        <v>1.825</v>
      </c>
      <c r="G179" s="31">
        <v>2.1850000000000001</v>
      </c>
      <c r="H179" s="31" t="s">
        <v>85</v>
      </c>
      <c r="I179" s="31" t="s">
        <v>85</v>
      </c>
      <c r="K179" s="27"/>
      <c r="L179" s="30"/>
      <c r="M179" s="30"/>
      <c r="N179" s="30"/>
      <c r="O179" s="30"/>
      <c r="P179" s="30"/>
      <c r="Q179" s="30"/>
      <c r="R179" s="30"/>
      <c r="S179" s="30"/>
    </row>
    <row r="180" spans="1:19" x14ac:dyDescent="0.25">
      <c r="A180" s="29">
        <v>44232</v>
      </c>
      <c r="B180" s="31">
        <v>1.88</v>
      </c>
      <c r="C180" s="31">
        <v>1.873</v>
      </c>
      <c r="D180" s="31">
        <v>1.865</v>
      </c>
      <c r="E180" s="31">
        <v>1.74</v>
      </c>
      <c r="F180" s="31">
        <v>1.7849999999999999</v>
      </c>
      <c r="G180" s="31">
        <v>2.1549999999999998</v>
      </c>
      <c r="H180" s="31" t="s">
        <v>85</v>
      </c>
      <c r="I180" s="31" t="s">
        <v>85</v>
      </c>
      <c r="K180" s="27"/>
      <c r="L180" s="30"/>
      <c r="M180" s="30"/>
      <c r="N180" s="30"/>
      <c r="O180" s="30"/>
      <c r="P180" s="30"/>
      <c r="Q180" s="30"/>
      <c r="R180" s="30"/>
      <c r="S180" s="30"/>
    </row>
    <row r="181" spans="1:19" x14ac:dyDescent="0.25">
      <c r="A181" s="29">
        <v>44235</v>
      </c>
      <c r="B181" s="31">
        <v>1.8680000000000001</v>
      </c>
      <c r="C181" s="31">
        <v>1.8320000000000001</v>
      </c>
      <c r="D181" s="31">
        <v>1.7949999999999999</v>
      </c>
      <c r="E181" s="31">
        <v>1.75</v>
      </c>
      <c r="F181" s="31">
        <v>1.7909999999999999</v>
      </c>
      <c r="G181" s="31">
        <v>2.1360000000000001</v>
      </c>
      <c r="H181" s="31" t="s">
        <v>85</v>
      </c>
      <c r="I181" s="31" t="s">
        <v>85</v>
      </c>
      <c r="K181" s="27"/>
      <c r="L181" s="30"/>
      <c r="M181" s="30"/>
      <c r="N181" s="30"/>
      <c r="O181" s="30"/>
      <c r="P181" s="30"/>
      <c r="Q181" s="30"/>
      <c r="R181" s="30"/>
      <c r="S181" s="30"/>
    </row>
    <row r="182" spans="1:19" x14ac:dyDescent="0.25">
      <c r="A182" s="29">
        <v>44236</v>
      </c>
      <c r="B182" s="31">
        <v>1.9319999999999999</v>
      </c>
      <c r="C182" s="31">
        <v>1.909</v>
      </c>
      <c r="D182" s="31">
        <v>1.8859999999999999</v>
      </c>
      <c r="E182" s="31">
        <v>1.7589999999999999</v>
      </c>
      <c r="F182" s="31">
        <v>1.8</v>
      </c>
      <c r="G182" s="31">
        <v>2.1269999999999998</v>
      </c>
      <c r="H182" s="31" t="s">
        <v>85</v>
      </c>
      <c r="I182" s="31" t="s">
        <v>85</v>
      </c>
      <c r="K182" s="27"/>
      <c r="L182" s="30"/>
      <c r="M182" s="30"/>
      <c r="N182" s="30"/>
      <c r="O182" s="30"/>
      <c r="P182" s="30"/>
      <c r="Q182" s="30"/>
      <c r="R182" s="30"/>
      <c r="S182" s="30"/>
    </row>
    <row r="183" spans="1:19" x14ac:dyDescent="0.25">
      <c r="A183" s="29">
        <v>44244</v>
      </c>
      <c r="B183" s="31">
        <v>1.877</v>
      </c>
      <c r="C183" s="31">
        <v>1.8680000000000001</v>
      </c>
      <c r="D183" s="31">
        <v>1.859</v>
      </c>
      <c r="E183" s="31">
        <v>1.8140000000000001</v>
      </c>
      <c r="F183" s="31">
        <v>1.8640000000000001</v>
      </c>
      <c r="G183" s="31">
        <v>2.1360000000000001</v>
      </c>
      <c r="H183" s="31" t="s">
        <v>85</v>
      </c>
      <c r="I183" s="31" t="s">
        <v>85</v>
      </c>
      <c r="K183" s="27"/>
      <c r="L183" s="30"/>
      <c r="M183" s="30"/>
      <c r="N183" s="30"/>
      <c r="O183" s="30"/>
      <c r="P183" s="30"/>
      <c r="Q183" s="30"/>
      <c r="R183" s="30"/>
      <c r="S183" s="30"/>
    </row>
    <row r="184" spans="1:19" x14ac:dyDescent="0.25">
      <c r="A184" s="29">
        <v>44245</v>
      </c>
      <c r="B184" s="31">
        <v>1.232</v>
      </c>
      <c r="C184" s="31">
        <v>1.2410000000000001</v>
      </c>
      <c r="D184" s="31">
        <v>1.25</v>
      </c>
      <c r="E184" s="31">
        <v>1.714</v>
      </c>
      <c r="F184" s="31">
        <v>1.782</v>
      </c>
      <c r="G184" s="31">
        <v>2.1</v>
      </c>
      <c r="H184" s="31" t="s">
        <v>85</v>
      </c>
      <c r="I184" s="31" t="s">
        <v>85</v>
      </c>
      <c r="K184" s="27"/>
      <c r="L184" s="30"/>
      <c r="M184" s="30"/>
      <c r="N184" s="30"/>
      <c r="O184" s="30"/>
      <c r="P184" s="30"/>
      <c r="Q184" s="30"/>
      <c r="R184" s="30"/>
      <c r="S184" s="30"/>
    </row>
    <row r="185" spans="1:19" x14ac:dyDescent="0.25">
      <c r="A185" s="29">
        <v>44246</v>
      </c>
      <c r="B185" s="31">
        <v>0.84099999999999997</v>
      </c>
      <c r="C185" s="31">
        <v>0.85699999999999998</v>
      </c>
      <c r="D185" s="31">
        <v>0.873</v>
      </c>
      <c r="E185" s="31">
        <v>1.4590000000000001</v>
      </c>
      <c r="F185" s="31">
        <v>1.573</v>
      </c>
      <c r="G185" s="31">
        <v>2.036</v>
      </c>
      <c r="H185" s="31" t="s">
        <v>85</v>
      </c>
      <c r="I185" s="31" t="s">
        <v>85</v>
      </c>
      <c r="K185" s="27"/>
      <c r="L185" s="30"/>
      <c r="M185" s="30"/>
      <c r="N185" s="30"/>
      <c r="O185" s="30"/>
      <c r="P185" s="30"/>
      <c r="Q185" s="30"/>
      <c r="R185" s="30"/>
      <c r="S185" s="30"/>
    </row>
    <row r="186" spans="1:19" x14ac:dyDescent="0.25">
      <c r="A186" s="29">
        <v>44249</v>
      </c>
      <c r="B186" s="31">
        <v>0.51400000000000001</v>
      </c>
      <c r="C186" s="31">
        <v>0.54100000000000004</v>
      </c>
      <c r="D186" s="31">
        <v>0.56799999999999995</v>
      </c>
      <c r="E186" s="31">
        <v>1.2230000000000001</v>
      </c>
      <c r="F186" s="31">
        <v>1.395</v>
      </c>
      <c r="G186" s="31">
        <v>1.9179999999999999</v>
      </c>
      <c r="H186" s="31" t="s">
        <v>85</v>
      </c>
      <c r="I186" s="31" t="s">
        <v>85</v>
      </c>
      <c r="K186" s="27"/>
      <c r="L186" s="30"/>
      <c r="M186" s="30"/>
      <c r="N186" s="30"/>
      <c r="O186" s="30"/>
      <c r="P186" s="30"/>
      <c r="Q186" s="30"/>
      <c r="R186" s="30"/>
      <c r="S186" s="30"/>
    </row>
    <row r="187" spans="1:19" x14ac:dyDescent="0.25">
      <c r="A187" s="29">
        <v>44250</v>
      </c>
      <c r="B187" s="31">
        <v>0.54100000000000004</v>
      </c>
      <c r="C187" s="31">
        <v>0.57299999999999995</v>
      </c>
      <c r="D187" s="31">
        <v>0.60499999999999998</v>
      </c>
      <c r="E187" s="31">
        <v>1.1950000000000001</v>
      </c>
      <c r="F187" s="31">
        <v>1.377</v>
      </c>
      <c r="G187" s="31">
        <v>1.9179999999999999</v>
      </c>
      <c r="H187" s="31" t="s">
        <v>85</v>
      </c>
      <c r="I187" s="31" t="s">
        <v>85</v>
      </c>
      <c r="K187" s="27"/>
      <c r="L187" s="30"/>
      <c r="M187" s="30"/>
      <c r="N187" s="30"/>
      <c r="O187" s="30"/>
      <c r="P187" s="30"/>
      <c r="Q187" s="30"/>
      <c r="R187" s="30"/>
      <c r="S187" s="30"/>
    </row>
    <row r="188" spans="1:19" x14ac:dyDescent="0.25">
      <c r="A188" s="29">
        <v>44251</v>
      </c>
      <c r="B188" s="31">
        <v>0.52300000000000002</v>
      </c>
      <c r="C188" s="31">
        <v>0.53200000000000003</v>
      </c>
      <c r="D188" s="31">
        <v>0.54100000000000004</v>
      </c>
      <c r="E188" s="31">
        <v>1.1359999999999999</v>
      </c>
      <c r="F188" s="31">
        <v>1.3180000000000001</v>
      </c>
      <c r="G188" s="31">
        <v>1.905</v>
      </c>
      <c r="H188" s="31" t="s">
        <v>85</v>
      </c>
      <c r="I188" s="31" t="s">
        <v>85</v>
      </c>
      <c r="K188" s="27"/>
      <c r="L188" s="30"/>
      <c r="M188" s="30"/>
      <c r="N188" s="30"/>
      <c r="O188" s="30"/>
      <c r="P188" s="30"/>
      <c r="Q188" s="30"/>
      <c r="R188" s="30"/>
      <c r="S188" s="30"/>
    </row>
    <row r="189" spans="1:19" x14ac:dyDescent="0.25">
      <c r="A189" s="29">
        <v>44252</v>
      </c>
      <c r="B189" s="31">
        <v>0.505</v>
      </c>
      <c r="C189" s="31">
        <v>0.52500000000000002</v>
      </c>
      <c r="D189" s="31">
        <v>0.54500000000000004</v>
      </c>
      <c r="E189" s="31">
        <v>1.1180000000000001</v>
      </c>
      <c r="F189" s="31">
        <v>1.3089999999999999</v>
      </c>
      <c r="G189" s="31">
        <v>1.895</v>
      </c>
      <c r="H189" s="31" t="s">
        <v>85</v>
      </c>
      <c r="I189" s="31" t="s">
        <v>85</v>
      </c>
      <c r="K189" s="27"/>
      <c r="L189" s="30"/>
      <c r="M189" s="30"/>
      <c r="N189" s="30"/>
      <c r="O189" s="30"/>
      <c r="P189" s="30"/>
      <c r="Q189" s="30"/>
      <c r="R189" s="30"/>
      <c r="S189" s="30"/>
    </row>
    <row r="190" spans="1:19" x14ac:dyDescent="0.25">
      <c r="A190" s="29">
        <v>44253</v>
      </c>
      <c r="B190" s="31">
        <v>0.46800000000000003</v>
      </c>
      <c r="C190" s="31">
        <v>0.50700000000000001</v>
      </c>
      <c r="D190" s="31">
        <v>0.54500000000000004</v>
      </c>
      <c r="E190" s="31">
        <v>1.091</v>
      </c>
      <c r="F190" s="31">
        <v>1.282</v>
      </c>
      <c r="G190" s="31">
        <v>1.8859999999999999</v>
      </c>
      <c r="H190" s="31" t="s">
        <v>85</v>
      </c>
      <c r="I190" s="31" t="s">
        <v>85</v>
      </c>
      <c r="K190" s="27"/>
      <c r="L190" s="30"/>
      <c r="M190" s="30"/>
      <c r="N190" s="30"/>
      <c r="O190" s="30"/>
      <c r="P190" s="30"/>
      <c r="Q190" s="30"/>
      <c r="R190" s="30"/>
      <c r="S190" s="30"/>
    </row>
    <row r="191" spans="1:19" x14ac:dyDescent="0.25">
      <c r="A191" s="29">
        <v>44256</v>
      </c>
      <c r="B191" s="31">
        <v>0.48199999999999998</v>
      </c>
      <c r="C191" s="31">
        <v>0.53200000000000003</v>
      </c>
      <c r="D191" s="31">
        <v>0.58199999999999996</v>
      </c>
      <c r="E191" s="31">
        <v>1.091</v>
      </c>
      <c r="F191" s="31">
        <v>1.282</v>
      </c>
      <c r="G191" s="31">
        <v>1.8859999999999999</v>
      </c>
      <c r="H191" s="31" t="s">
        <v>85</v>
      </c>
      <c r="I191" s="31" t="s">
        <v>85</v>
      </c>
      <c r="K191" s="27"/>
      <c r="L191" s="30"/>
      <c r="M191" s="30"/>
      <c r="N191" s="30"/>
      <c r="O191" s="30"/>
      <c r="P191" s="30"/>
      <c r="Q191" s="30"/>
      <c r="R191" s="30"/>
      <c r="S191" s="30"/>
    </row>
    <row r="192" spans="1:19" x14ac:dyDescent="0.25">
      <c r="A192" s="29">
        <v>44257</v>
      </c>
      <c r="B192" s="31">
        <v>0.47299999999999998</v>
      </c>
      <c r="C192" s="31">
        <v>0.51400000000000001</v>
      </c>
      <c r="D192" s="31">
        <v>0.55500000000000005</v>
      </c>
      <c r="E192" s="31">
        <v>1.091</v>
      </c>
      <c r="F192" s="31">
        <v>1.264</v>
      </c>
      <c r="G192" s="31">
        <v>1.8680000000000001</v>
      </c>
      <c r="H192" s="31" t="s">
        <v>85</v>
      </c>
      <c r="I192" s="31" t="s">
        <v>85</v>
      </c>
      <c r="K192" s="27"/>
      <c r="L192" s="30"/>
      <c r="M192" s="30"/>
      <c r="N192" s="30"/>
      <c r="O192" s="30"/>
      <c r="P192" s="30"/>
      <c r="Q192" s="30"/>
      <c r="R192" s="30"/>
      <c r="S192" s="30"/>
    </row>
    <row r="193" spans="1:19" x14ac:dyDescent="0.25">
      <c r="A193" s="29">
        <v>44258</v>
      </c>
      <c r="B193" s="31">
        <v>0.44500000000000001</v>
      </c>
      <c r="C193" s="31">
        <v>0.498</v>
      </c>
      <c r="D193" s="31">
        <v>0.55000000000000004</v>
      </c>
      <c r="E193" s="31">
        <v>1.0549999999999999</v>
      </c>
      <c r="F193" s="31">
        <v>1.236</v>
      </c>
      <c r="G193" s="31">
        <v>1.859</v>
      </c>
      <c r="H193" s="31" t="s">
        <v>85</v>
      </c>
      <c r="I193" s="31" t="s">
        <v>85</v>
      </c>
      <c r="K193" s="27"/>
      <c r="L193" s="30"/>
      <c r="M193" s="30"/>
      <c r="N193" s="30"/>
      <c r="O193" s="30"/>
      <c r="P193" s="30"/>
      <c r="Q193" s="30"/>
      <c r="R193" s="30"/>
      <c r="S193" s="30"/>
    </row>
    <row r="194" spans="1:19" x14ac:dyDescent="0.25">
      <c r="A194" s="29">
        <v>44259</v>
      </c>
      <c r="B194" s="31">
        <v>0.44500000000000001</v>
      </c>
      <c r="C194" s="31">
        <v>0.49099999999999999</v>
      </c>
      <c r="D194" s="31">
        <v>0.53600000000000003</v>
      </c>
      <c r="E194" s="31">
        <v>1.0549999999999999</v>
      </c>
      <c r="F194" s="31">
        <v>1.2230000000000001</v>
      </c>
      <c r="G194" s="31">
        <v>1.859</v>
      </c>
      <c r="H194" s="31" t="s">
        <v>85</v>
      </c>
      <c r="I194" s="31" t="s">
        <v>85</v>
      </c>
      <c r="K194" s="27"/>
      <c r="L194" s="30"/>
      <c r="M194" s="30"/>
      <c r="N194" s="30"/>
      <c r="O194" s="30"/>
      <c r="P194" s="30"/>
      <c r="Q194" s="30"/>
      <c r="R194" s="30"/>
      <c r="S194" s="30"/>
    </row>
    <row r="195" spans="1:19" x14ac:dyDescent="0.25">
      <c r="A195" s="29">
        <v>44260</v>
      </c>
      <c r="B195" s="31">
        <v>0.45</v>
      </c>
      <c r="C195" s="31">
        <v>0.49299999999999999</v>
      </c>
      <c r="D195" s="31">
        <v>0.53600000000000003</v>
      </c>
      <c r="E195" s="31">
        <v>1.0549999999999999</v>
      </c>
      <c r="F195" s="31">
        <v>1.2230000000000001</v>
      </c>
      <c r="G195" s="31">
        <v>1.859</v>
      </c>
      <c r="H195" s="31" t="s">
        <v>85</v>
      </c>
      <c r="I195" s="31" t="s">
        <v>85</v>
      </c>
      <c r="K195" s="27"/>
      <c r="L195" s="30"/>
      <c r="M195" s="30"/>
      <c r="N195" s="30"/>
      <c r="O195" s="30"/>
      <c r="P195" s="30"/>
      <c r="Q195" s="30"/>
      <c r="R195" s="30"/>
      <c r="S195" s="30"/>
    </row>
    <row r="196" spans="1:19" x14ac:dyDescent="0.25">
      <c r="A196" s="29">
        <v>44263</v>
      </c>
      <c r="B196" s="31">
        <v>0.436</v>
      </c>
      <c r="C196" s="31">
        <v>0.48599999999999999</v>
      </c>
      <c r="D196" s="31">
        <v>0.53600000000000003</v>
      </c>
      <c r="E196" s="31">
        <v>1.0449999999999999</v>
      </c>
      <c r="F196" s="31">
        <v>1.2230000000000001</v>
      </c>
      <c r="G196" s="31">
        <v>1.859</v>
      </c>
      <c r="H196" s="31" t="s">
        <v>85</v>
      </c>
      <c r="I196" s="31" t="s">
        <v>85</v>
      </c>
      <c r="K196" s="27"/>
      <c r="L196" s="30"/>
      <c r="M196" s="30"/>
      <c r="N196" s="30"/>
      <c r="O196" s="30"/>
      <c r="P196" s="30"/>
      <c r="Q196" s="30"/>
      <c r="R196" s="30"/>
      <c r="S196" s="30"/>
    </row>
    <row r="197" spans="1:19" x14ac:dyDescent="0.25">
      <c r="A197" s="29">
        <v>44264</v>
      </c>
      <c r="B197" s="31">
        <v>0.42699999999999999</v>
      </c>
      <c r="C197" s="31">
        <v>0.46800000000000003</v>
      </c>
      <c r="D197" s="31">
        <v>0.50900000000000001</v>
      </c>
      <c r="E197" s="31">
        <v>1.0449999999999999</v>
      </c>
      <c r="F197" s="31">
        <v>1.218</v>
      </c>
      <c r="G197" s="31">
        <v>1.855</v>
      </c>
      <c r="H197" s="31" t="s">
        <v>85</v>
      </c>
      <c r="I197" s="31" t="s">
        <v>85</v>
      </c>
      <c r="K197" s="27"/>
      <c r="L197" s="30"/>
      <c r="M197" s="30"/>
      <c r="N197" s="30"/>
      <c r="O197" s="30"/>
      <c r="P197" s="30"/>
      <c r="Q197" s="30"/>
      <c r="R197" s="30"/>
      <c r="S197" s="30"/>
    </row>
    <row r="198" spans="1:19" x14ac:dyDescent="0.25">
      <c r="A198" s="29">
        <v>44265</v>
      </c>
      <c r="B198" s="31">
        <v>0.38600000000000001</v>
      </c>
      <c r="C198" s="31">
        <v>0.41399999999999998</v>
      </c>
      <c r="D198" s="31">
        <v>0.441</v>
      </c>
      <c r="E198" s="31">
        <v>1.032</v>
      </c>
      <c r="F198" s="31">
        <v>1.214</v>
      </c>
      <c r="G198" s="31">
        <v>1.841</v>
      </c>
      <c r="H198" s="31" t="s">
        <v>85</v>
      </c>
      <c r="I198" s="31" t="s">
        <v>85</v>
      </c>
      <c r="K198" s="27"/>
      <c r="L198" s="30"/>
      <c r="M198" s="30"/>
      <c r="N198" s="30"/>
      <c r="O198" s="30"/>
      <c r="P198" s="30"/>
      <c r="Q198" s="30"/>
      <c r="R198" s="30"/>
      <c r="S198" s="30"/>
    </row>
    <row r="199" spans="1:19" x14ac:dyDescent="0.25">
      <c r="A199" s="29">
        <v>44266</v>
      </c>
      <c r="B199" s="31">
        <v>0.373</v>
      </c>
      <c r="C199" s="31">
        <v>0.40699999999999997</v>
      </c>
      <c r="D199" s="31">
        <v>0.441</v>
      </c>
      <c r="E199" s="31">
        <v>1.018</v>
      </c>
      <c r="F199" s="31">
        <v>1.177</v>
      </c>
      <c r="G199" s="31">
        <v>1.8320000000000001</v>
      </c>
      <c r="H199" s="31" t="s">
        <v>85</v>
      </c>
      <c r="I199" s="31" t="s">
        <v>85</v>
      </c>
      <c r="K199" s="27"/>
      <c r="L199" s="30"/>
      <c r="M199" s="30"/>
      <c r="N199" s="30"/>
      <c r="O199" s="30"/>
      <c r="P199" s="30"/>
      <c r="Q199" s="30"/>
      <c r="R199" s="30"/>
      <c r="S199" s="30"/>
    </row>
    <row r="200" spans="1:19" x14ac:dyDescent="0.25">
      <c r="A200" s="29">
        <v>44267</v>
      </c>
      <c r="B200" s="31">
        <v>0.377</v>
      </c>
      <c r="C200" s="31">
        <v>0.40899999999999997</v>
      </c>
      <c r="D200" s="31">
        <v>0.441</v>
      </c>
      <c r="E200" s="31">
        <v>0.99099999999999999</v>
      </c>
      <c r="F200" s="31">
        <v>1.159</v>
      </c>
      <c r="G200" s="31">
        <v>1.827</v>
      </c>
      <c r="H200" s="31" t="s">
        <v>85</v>
      </c>
      <c r="I200" s="31" t="s">
        <v>85</v>
      </c>
      <c r="K200" s="27"/>
      <c r="L200" s="30"/>
      <c r="M200" s="30"/>
      <c r="N200" s="30"/>
      <c r="O200" s="30"/>
      <c r="P200" s="30"/>
      <c r="Q200" s="30"/>
      <c r="R200" s="30"/>
      <c r="S200" s="30"/>
    </row>
    <row r="201" spans="1:19" x14ac:dyDescent="0.25">
      <c r="A201" s="29">
        <v>44270</v>
      </c>
      <c r="B201" s="31">
        <v>0.373</v>
      </c>
      <c r="C201" s="31">
        <v>0.40300000000000002</v>
      </c>
      <c r="D201" s="31">
        <v>0.432</v>
      </c>
      <c r="E201" s="31">
        <v>1.0089999999999999</v>
      </c>
      <c r="F201" s="31">
        <v>1.177</v>
      </c>
      <c r="G201" s="31">
        <v>1.8320000000000001</v>
      </c>
      <c r="H201" s="31" t="s">
        <v>85</v>
      </c>
      <c r="I201" s="31" t="s">
        <v>85</v>
      </c>
      <c r="K201" s="27"/>
      <c r="L201" s="30"/>
      <c r="M201" s="30"/>
      <c r="N201" s="30"/>
      <c r="O201" s="30"/>
      <c r="P201" s="30"/>
      <c r="Q201" s="30"/>
      <c r="R201" s="30"/>
      <c r="S201" s="30"/>
    </row>
    <row r="202" spans="1:19" x14ac:dyDescent="0.25">
      <c r="A202" s="29">
        <v>44271</v>
      </c>
      <c r="B202" s="31">
        <v>0.36399999999999999</v>
      </c>
      <c r="C202" s="31">
        <v>0.39700000000000002</v>
      </c>
      <c r="D202" s="31">
        <v>0.43</v>
      </c>
      <c r="E202" s="31">
        <v>1.0049999999999999</v>
      </c>
      <c r="F202" s="31">
        <v>1.1819999999999999</v>
      </c>
      <c r="G202" s="31">
        <v>1.8320000000000001</v>
      </c>
      <c r="H202" s="31" t="s">
        <v>85</v>
      </c>
      <c r="I202" s="31" t="s">
        <v>85</v>
      </c>
      <c r="K202" s="27"/>
      <c r="L202" s="30"/>
      <c r="M202" s="30"/>
      <c r="N202" s="30"/>
      <c r="O202" s="30"/>
      <c r="P202" s="30"/>
      <c r="Q202" s="30"/>
      <c r="R202" s="30"/>
      <c r="S202" s="30"/>
    </row>
    <row r="203" spans="1:19" x14ac:dyDescent="0.25">
      <c r="A203" s="29">
        <v>44272</v>
      </c>
      <c r="B203" s="31">
        <v>0.36399999999999999</v>
      </c>
      <c r="C203" s="31">
        <v>0.39700000000000002</v>
      </c>
      <c r="D203" s="31">
        <v>0.43</v>
      </c>
      <c r="E203" s="31">
        <v>1.0049999999999999</v>
      </c>
      <c r="F203" s="31">
        <v>1.1819999999999999</v>
      </c>
      <c r="G203" s="31">
        <v>1.8320000000000001</v>
      </c>
      <c r="H203" s="31" t="s">
        <v>85</v>
      </c>
      <c r="I203" s="31" t="s">
        <v>85</v>
      </c>
      <c r="K203" s="27"/>
      <c r="L203" s="30"/>
      <c r="M203" s="30"/>
      <c r="N203" s="30"/>
      <c r="O203" s="30"/>
      <c r="P203" s="30"/>
      <c r="Q203" s="30"/>
      <c r="R203" s="30"/>
      <c r="S203" s="30"/>
    </row>
    <row r="204" spans="1:19" x14ac:dyDescent="0.25">
      <c r="A204" s="29">
        <v>44273</v>
      </c>
      <c r="B204" s="31">
        <v>0.35499999999999998</v>
      </c>
      <c r="C204" s="31">
        <v>0.39</v>
      </c>
      <c r="D204" s="31">
        <v>0.42499999999999999</v>
      </c>
      <c r="E204" s="31">
        <v>1.0049999999999999</v>
      </c>
      <c r="F204" s="31">
        <v>1.1819999999999999</v>
      </c>
      <c r="G204" s="31">
        <v>1.8320000000000001</v>
      </c>
      <c r="H204" s="31" t="s">
        <v>85</v>
      </c>
      <c r="I204" s="31" t="s">
        <v>85</v>
      </c>
      <c r="K204" s="27"/>
      <c r="L204" s="30"/>
      <c r="M204" s="30"/>
      <c r="N204" s="30"/>
      <c r="O204" s="30"/>
      <c r="P204" s="30"/>
      <c r="Q204" s="30"/>
      <c r="R204" s="30"/>
      <c r="S204" s="30"/>
    </row>
    <row r="205" spans="1:19" x14ac:dyDescent="0.25">
      <c r="A205" s="29">
        <v>44274</v>
      </c>
      <c r="B205" s="31">
        <v>0.35199999999999998</v>
      </c>
      <c r="C205" s="31">
        <v>0.38800000000000001</v>
      </c>
      <c r="D205" s="31">
        <v>0.42299999999999999</v>
      </c>
      <c r="E205" s="31">
        <v>0.98599999999999999</v>
      </c>
      <c r="F205" s="31">
        <v>1.1639999999999999</v>
      </c>
      <c r="G205" s="31">
        <v>1.7949999999999999</v>
      </c>
      <c r="H205" s="31" t="s">
        <v>85</v>
      </c>
      <c r="I205" s="31" t="s">
        <v>85</v>
      </c>
      <c r="K205" s="27"/>
      <c r="L205" s="30"/>
      <c r="M205" s="30"/>
      <c r="N205" s="30"/>
      <c r="O205" s="30"/>
      <c r="P205" s="30"/>
      <c r="Q205" s="30"/>
      <c r="R205" s="30"/>
      <c r="S205" s="30"/>
    </row>
    <row r="206" spans="1:19" x14ac:dyDescent="0.25">
      <c r="A206" s="29">
        <v>44277</v>
      </c>
      <c r="B206" s="31">
        <v>0.34799999999999998</v>
      </c>
      <c r="C206" s="31">
        <v>0.38200000000000001</v>
      </c>
      <c r="D206" s="31">
        <v>0.41599999999999998</v>
      </c>
      <c r="E206" s="31">
        <v>0.96799999999999997</v>
      </c>
      <c r="F206" s="31">
        <v>1.145</v>
      </c>
      <c r="G206" s="31">
        <v>1.786</v>
      </c>
      <c r="H206" s="31" t="s">
        <v>85</v>
      </c>
      <c r="I206" s="31" t="s">
        <v>85</v>
      </c>
      <c r="K206" s="27"/>
      <c r="L206" s="30"/>
      <c r="M206" s="30"/>
      <c r="N206" s="30"/>
      <c r="O206" s="30"/>
      <c r="P206" s="30"/>
      <c r="Q206" s="30"/>
      <c r="R206" s="30"/>
      <c r="S206" s="30"/>
    </row>
    <row r="207" spans="1:19" x14ac:dyDescent="0.25">
      <c r="A207" s="29">
        <v>44278</v>
      </c>
      <c r="B207" s="31">
        <v>0.34499999999999997</v>
      </c>
      <c r="C207" s="31">
        <v>0.38</v>
      </c>
      <c r="D207" s="31">
        <v>0.41399999999999998</v>
      </c>
      <c r="E207" s="31">
        <v>0.96799999999999997</v>
      </c>
      <c r="F207" s="31">
        <v>1.1359999999999999</v>
      </c>
      <c r="G207" s="31">
        <v>1.768</v>
      </c>
      <c r="H207" s="31" t="s">
        <v>85</v>
      </c>
      <c r="I207" s="31" t="s">
        <v>85</v>
      </c>
      <c r="K207" s="27"/>
      <c r="L207" s="30"/>
      <c r="M207" s="30"/>
      <c r="N207" s="30"/>
      <c r="O207" s="30"/>
      <c r="P207" s="30"/>
      <c r="Q207" s="30"/>
      <c r="R207" s="30"/>
      <c r="S207" s="30"/>
    </row>
    <row r="208" spans="1:19" x14ac:dyDescent="0.25">
      <c r="A208" s="29">
        <v>44279</v>
      </c>
      <c r="B208" s="31">
        <v>0.34300000000000003</v>
      </c>
      <c r="C208" s="31">
        <v>0.379</v>
      </c>
      <c r="D208" s="31">
        <v>0.41399999999999998</v>
      </c>
      <c r="E208" s="31">
        <v>0.96799999999999997</v>
      </c>
      <c r="F208" s="31">
        <v>1.1359999999999999</v>
      </c>
      <c r="G208" s="31">
        <v>1.768</v>
      </c>
      <c r="H208" s="31" t="s">
        <v>85</v>
      </c>
      <c r="I208" s="31" t="s">
        <v>85</v>
      </c>
      <c r="K208" s="27"/>
      <c r="L208" s="30"/>
      <c r="M208" s="30"/>
      <c r="N208" s="30"/>
      <c r="O208" s="30"/>
      <c r="P208" s="30"/>
      <c r="Q208" s="30"/>
      <c r="R208" s="30"/>
      <c r="S208" s="30"/>
    </row>
    <row r="209" spans="1:19" x14ac:dyDescent="0.25">
      <c r="A209" s="29">
        <v>44280</v>
      </c>
      <c r="B209" s="31">
        <v>0.34300000000000003</v>
      </c>
      <c r="C209" s="31">
        <v>0.379</v>
      </c>
      <c r="D209" s="31">
        <v>0.41399999999999998</v>
      </c>
      <c r="E209" s="31">
        <v>0.96799999999999997</v>
      </c>
      <c r="F209" s="31">
        <v>1.1359999999999999</v>
      </c>
      <c r="G209" s="31">
        <v>1.768</v>
      </c>
      <c r="H209" s="31" t="s">
        <v>85</v>
      </c>
      <c r="I209" s="31" t="s">
        <v>85</v>
      </c>
      <c r="K209" s="27"/>
      <c r="L209" s="30"/>
      <c r="M209" s="30"/>
      <c r="N209" s="30"/>
      <c r="O209" s="30"/>
      <c r="P209" s="30"/>
      <c r="Q209" s="30"/>
      <c r="R209" s="30"/>
      <c r="S209" s="30"/>
    </row>
    <row r="210" spans="1:19" x14ac:dyDescent="0.25">
      <c r="A210" s="29">
        <v>44281</v>
      </c>
      <c r="B210" s="31">
        <v>0.34100000000000003</v>
      </c>
      <c r="C210" s="31">
        <v>0.376</v>
      </c>
      <c r="D210" s="31">
        <v>0.41099999999999998</v>
      </c>
      <c r="E210" s="31">
        <v>0.96799999999999997</v>
      </c>
      <c r="F210" s="31">
        <v>1.1359999999999999</v>
      </c>
      <c r="G210" s="31">
        <v>1.768</v>
      </c>
      <c r="H210" s="31" t="s">
        <v>85</v>
      </c>
      <c r="I210" s="31" t="s">
        <v>85</v>
      </c>
      <c r="K210" s="27"/>
      <c r="L210" s="30"/>
      <c r="M210" s="30"/>
      <c r="N210" s="30"/>
      <c r="O210" s="30"/>
      <c r="P210" s="30"/>
      <c r="Q210" s="30"/>
      <c r="R210" s="30"/>
      <c r="S210" s="30"/>
    </row>
    <row r="211" spans="1:19" x14ac:dyDescent="0.25">
      <c r="A211" s="29">
        <v>44284</v>
      </c>
      <c r="B211" s="31">
        <v>0.33900000000000002</v>
      </c>
      <c r="C211" s="31">
        <v>0.375</v>
      </c>
      <c r="D211" s="31">
        <v>0.41099999999999998</v>
      </c>
      <c r="E211" s="31">
        <v>0.96799999999999997</v>
      </c>
      <c r="F211" s="31">
        <v>1.1359999999999999</v>
      </c>
      <c r="G211" s="31">
        <v>1.768</v>
      </c>
      <c r="H211" s="31" t="s">
        <v>85</v>
      </c>
      <c r="I211" s="31" t="s">
        <v>85</v>
      </c>
      <c r="K211" s="27"/>
      <c r="L211" s="30"/>
      <c r="M211" s="30"/>
      <c r="N211" s="30"/>
      <c r="O211" s="30"/>
      <c r="P211" s="30"/>
      <c r="Q211" s="30"/>
      <c r="R211" s="30"/>
      <c r="S211" s="30"/>
    </row>
    <row r="212" spans="1:19" x14ac:dyDescent="0.25">
      <c r="A212" s="29">
        <v>44285</v>
      </c>
      <c r="B212" s="31">
        <v>0.33400000000000002</v>
      </c>
      <c r="C212" s="31">
        <v>0.37</v>
      </c>
      <c r="D212" s="31">
        <v>0.40500000000000003</v>
      </c>
      <c r="E212" s="31">
        <v>0.96799999999999997</v>
      </c>
      <c r="F212" s="31">
        <v>1.1359999999999999</v>
      </c>
      <c r="G212" s="31">
        <v>1.768</v>
      </c>
      <c r="H212" s="31" t="s">
        <v>85</v>
      </c>
      <c r="I212" s="31" t="s">
        <v>85</v>
      </c>
      <c r="K212" s="27"/>
      <c r="L212" s="30"/>
      <c r="M212" s="30"/>
      <c r="N212" s="30"/>
      <c r="O212" s="30"/>
      <c r="P212" s="30"/>
      <c r="Q212" s="30"/>
      <c r="R212" s="30"/>
      <c r="S212" s="30"/>
    </row>
    <row r="213" spans="1:19" x14ac:dyDescent="0.25">
      <c r="A213" s="29">
        <v>44286</v>
      </c>
      <c r="B213" s="31">
        <v>0.33400000000000002</v>
      </c>
      <c r="C213" s="31">
        <v>0.37</v>
      </c>
      <c r="D213" s="31">
        <v>0.40500000000000003</v>
      </c>
      <c r="E213" s="31">
        <v>0.96399999999999997</v>
      </c>
      <c r="F213" s="31">
        <v>1.1319999999999999</v>
      </c>
      <c r="G213" s="31">
        <v>1.768</v>
      </c>
      <c r="H213" s="31" t="s">
        <v>85</v>
      </c>
      <c r="I213" s="31" t="s">
        <v>85</v>
      </c>
      <c r="K213" s="27"/>
      <c r="L213" s="30"/>
      <c r="M213" s="30"/>
      <c r="N213" s="30"/>
      <c r="O213" s="30"/>
      <c r="P213" s="30"/>
      <c r="Q213" s="30"/>
      <c r="R213" s="30"/>
      <c r="S213" s="30"/>
    </row>
    <row r="214" spans="1:19" x14ac:dyDescent="0.25">
      <c r="A214" s="29">
        <v>44287</v>
      </c>
      <c r="B214" s="31">
        <v>0.34100000000000003</v>
      </c>
      <c r="C214" s="31">
        <v>0.374</v>
      </c>
      <c r="D214" s="31">
        <v>0.40699999999999997</v>
      </c>
      <c r="E214" s="31">
        <v>0.96399999999999997</v>
      </c>
      <c r="F214" s="31">
        <v>1.1319999999999999</v>
      </c>
      <c r="G214" s="31">
        <v>1.768</v>
      </c>
      <c r="H214" s="31" t="s">
        <v>85</v>
      </c>
      <c r="I214" s="31" t="s">
        <v>85</v>
      </c>
      <c r="K214" s="27"/>
      <c r="L214" s="30"/>
      <c r="M214" s="30"/>
      <c r="N214" s="30"/>
      <c r="O214" s="30"/>
      <c r="P214" s="30"/>
      <c r="Q214" s="30"/>
      <c r="R214" s="30"/>
      <c r="S214" s="30"/>
    </row>
    <row r="215" spans="1:19" x14ac:dyDescent="0.25">
      <c r="A215" s="29">
        <v>44288</v>
      </c>
      <c r="B215" s="31">
        <v>0.34100000000000003</v>
      </c>
      <c r="C215" s="31">
        <v>0.374</v>
      </c>
      <c r="D215" s="31">
        <v>0.40699999999999997</v>
      </c>
      <c r="E215" s="31">
        <v>0.96399999999999997</v>
      </c>
      <c r="F215" s="31">
        <v>1.1319999999999999</v>
      </c>
      <c r="G215" s="31">
        <v>1.768</v>
      </c>
      <c r="H215" s="31" t="s">
        <v>85</v>
      </c>
      <c r="I215" s="31" t="s">
        <v>85</v>
      </c>
      <c r="K215" s="27"/>
      <c r="L215" s="30"/>
      <c r="M215" s="30"/>
      <c r="N215" s="30"/>
      <c r="O215" s="30"/>
      <c r="P215" s="30"/>
      <c r="Q215" s="30"/>
      <c r="R215" s="30"/>
      <c r="S215" s="30"/>
    </row>
    <row r="216" spans="1:19" x14ac:dyDescent="0.25">
      <c r="A216" s="29">
        <v>44291</v>
      </c>
      <c r="B216" s="31">
        <v>0.33900000000000002</v>
      </c>
      <c r="C216" s="31">
        <v>0.373</v>
      </c>
      <c r="D216" s="31">
        <v>0.40699999999999997</v>
      </c>
      <c r="E216" s="31">
        <v>0.96399999999999997</v>
      </c>
      <c r="F216" s="31">
        <v>1.1319999999999999</v>
      </c>
      <c r="G216" s="31">
        <v>1.768</v>
      </c>
      <c r="H216" s="31" t="s">
        <v>85</v>
      </c>
      <c r="I216" s="31" t="s">
        <v>85</v>
      </c>
      <c r="K216" s="27"/>
      <c r="L216" s="30"/>
      <c r="M216" s="30"/>
      <c r="N216" s="30"/>
      <c r="O216" s="30"/>
      <c r="P216" s="30"/>
      <c r="Q216" s="30"/>
      <c r="R216" s="30"/>
      <c r="S216" s="30"/>
    </row>
    <row r="217" spans="1:19" x14ac:dyDescent="0.25">
      <c r="A217" s="29">
        <v>44292</v>
      </c>
      <c r="B217" s="31">
        <v>0.34499999999999997</v>
      </c>
      <c r="C217" s="31">
        <v>0.38100000000000001</v>
      </c>
      <c r="D217" s="31">
        <v>0.41599999999999998</v>
      </c>
      <c r="E217" s="31">
        <v>0.96399999999999997</v>
      </c>
      <c r="F217" s="31">
        <v>1.1319999999999999</v>
      </c>
      <c r="G217" s="31">
        <v>1.768</v>
      </c>
      <c r="H217" s="31" t="s">
        <v>85</v>
      </c>
      <c r="I217" s="31" t="s">
        <v>85</v>
      </c>
      <c r="K217" s="27"/>
      <c r="L217" s="30"/>
      <c r="M217" s="30"/>
      <c r="N217" s="30"/>
      <c r="O217" s="30"/>
      <c r="P217" s="30"/>
      <c r="Q217" s="30"/>
      <c r="R217" s="30"/>
      <c r="S217" s="30"/>
    </row>
    <row r="218" spans="1:19" x14ac:dyDescent="0.25">
      <c r="A218" s="29">
        <v>44293</v>
      </c>
      <c r="B218" s="31">
        <v>0.36399999999999999</v>
      </c>
      <c r="C218" s="31">
        <v>0.41</v>
      </c>
      <c r="D218" s="31">
        <v>0.45500000000000002</v>
      </c>
      <c r="E218" s="31">
        <v>0.96399999999999997</v>
      </c>
      <c r="F218" s="31">
        <v>1.1319999999999999</v>
      </c>
      <c r="G218" s="31">
        <v>1.768</v>
      </c>
      <c r="H218" s="31" t="s">
        <v>85</v>
      </c>
      <c r="I218" s="31" t="s">
        <v>85</v>
      </c>
      <c r="K218" s="27"/>
      <c r="L218" s="30"/>
      <c r="M218" s="30"/>
      <c r="N218" s="30"/>
      <c r="O218" s="30"/>
      <c r="P218" s="30"/>
      <c r="Q218" s="30"/>
      <c r="R218" s="30"/>
      <c r="S218" s="30"/>
    </row>
    <row r="219" spans="1:19" x14ac:dyDescent="0.25">
      <c r="A219" s="29">
        <v>44294</v>
      </c>
      <c r="B219" s="31">
        <v>0.35699999999999998</v>
      </c>
      <c r="C219" s="31">
        <v>0.40300000000000002</v>
      </c>
      <c r="D219" s="31">
        <v>0.44800000000000001</v>
      </c>
      <c r="E219" s="31">
        <v>0.96399999999999997</v>
      </c>
      <c r="F219" s="31">
        <v>1.1319999999999999</v>
      </c>
      <c r="G219" s="31">
        <v>1.768</v>
      </c>
      <c r="H219" s="31" t="s">
        <v>85</v>
      </c>
      <c r="I219" s="31" t="s">
        <v>85</v>
      </c>
      <c r="K219" s="27"/>
      <c r="L219" s="30"/>
      <c r="M219" s="30"/>
      <c r="N219" s="30"/>
      <c r="O219" s="30"/>
      <c r="P219" s="30"/>
      <c r="Q219" s="30"/>
      <c r="R219" s="30"/>
      <c r="S219" s="30"/>
    </row>
    <row r="220" spans="1:19" x14ac:dyDescent="0.25">
      <c r="A220" s="29">
        <v>44295</v>
      </c>
      <c r="B220" s="31">
        <v>0.373</v>
      </c>
      <c r="C220" s="31">
        <v>0.41299999999999998</v>
      </c>
      <c r="D220" s="31">
        <v>0.45200000000000001</v>
      </c>
      <c r="E220" s="31">
        <v>0.96399999999999997</v>
      </c>
      <c r="F220" s="31">
        <v>1.1319999999999999</v>
      </c>
      <c r="G220" s="31">
        <v>1.768</v>
      </c>
      <c r="H220" s="31" t="s">
        <v>85</v>
      </c>
      <c r="I220" s="31" t="s">
        <v>85</v>
      </c>
      <c r="K220" s="27"/>
      <c r="L220" s="30"/>
      <c r="M220" s="30"/>
      <c r="N220" s="30"/>
      <c r="O220" s="30"/>
      <c r="P220" s="30"/>
      <c r="Q220" s="30"/>
      <c r="R220" s="30"/>
      <c r="S220" s="30"/>
    </row>
    <row r="221" spans="1:19" x14ac:dyDescent="0.25">
      <c r="A221" s="29">
        <v>44298</v>
      </c>
      <c r="B221" s="31">
        <v>0.51800000000000002</v>
      </c>
      <c r="C221" s="31">
        <v>0.55600000000000005</v>
      </c>
      <c r="D221" s="31">
        <v>0.59299999999999997</v>
      </c>
      <c r="E221" s="31">
        <v>0.97699999999999998</v>
      </c>
      <c r="F221" s="31">
        <v>1.141</v>
      </c>
      <c r="G221" s="31">
        <v>1.768</v>
      </c>
      <c r="H221" s="31" t="s">
        <v>85</v>
      </c>
      <c r="I221" s="31" t="s">
        <v>85</v>
      </c>
      <c r="K221" s="27"/>
      <c r="L221" s="30"/>
      <c r="M221" s="30"/>
      <c r="N221" s="30"/>
      <c r="O221" s="30"/>
      <c r="P221" s="30"/>
      <c r="Q221" s="30"/>
      <c r="R221" s="30"/>
      <c r="S221" s="30"/>
    </row>
    <row r="222" spans="1:19" x14ac:dyDescent="0.25">
      <c r="A222" s="29">
        <v>44299</v>
      </c>
      <c r="B222" s="31">
        <v>0.505</v>
      </c>
      <c r="C222" s="31">
        <v>0.53600000000000003</v>
      </c>
      <c r="D222" s="31">
        <v>0.56599999999999995</v>
      </c>
      <c r="E222" s="31">
        <v>0.995</v>
      </c>
      <c r="F222" s="31">
        <v>1.159</v>
      </c>
      <c r="G222" s="31">
        <v>1.7769999999999999</v>
      </c>
      <c r="H222" s="31" t="s">
        <v>85</v>
      </c>
      <c r="I222" s="31" t="s">
        <v>85</v>
      </c>
      <c r="K222" s="27"/>
      <c r="L222" s="30"/>
      <c r="M222" s="30"/>
      <c r="N222" s="30"/>
      <c r="O222" s="30"/>
      <c r="P222" s="30"/>
      <c r="Q222" s="30"/>
      <c r="R222" s="30"/>
      <c r="S222" s="30"/>
    </row>
    <row r="223" spans="1:19" x14ac:dyDescent="0.25">
      <c r="A223" s="29">
        <v>44300</v>
      </c>
      <c r="B223" s="31">
        <v>0.51600000000000001</v>
      </c>
      <c r="C223" s="31">
        <v>0.54</v>
      </c>
      <c r="D223" s="31">
        <v>0.56399999999999995</v>
      </c>
      <c r="E223" s="31">
        <v>0.995</v>
      </c>
      <c r="F223" s="31">
        <v>1.159</v>
      </c>
      <c r="G223" s="31">
        <v>1.7769999999999999</v>
      </c>
      <c r="H223" s="31" t="s">
        <v>85</v>
      </c>
      <c r="I223" s="31" t="s">
        <v>85</v>
      </c>
      <c r="K223" s="27"/>
      <c r="L223" s="30"/>
      <c r="M223" s="30"/>
      <c r="N223" s="30"/>
      <c r="O223" s="30"/>
      <c r="P223" s="30"/>
      <c r="Q223" s="30"/>
      <c r="R223" s="30"/>
      <c r="S223" s="30"/>
    </row>
    <row r="224" spans="1:19" x14ac:dyDescent="0.25">
      <c r="A224" s="29">
        <v>44301</v>
      </c>
      <c r="B224" s="31">
        <v>0.52</v>
      </c>
      <c r="C224" s="31">
        <v>0.54700000000000004</v>
      </c>
      <c r="D224" s="31">
        <v>0.57299999999999995</v>
      </c>
      <c r="E224" s="31">
        <v>1</v>
      </c>
      <c r="F224" s="31">
        <v>1.159</v>
      </c>
      <c r="G224" s="31">
        <v>1.7769999999999999</v>
      </c>
      <c r="H224" s="31" t="s">
        <v>85</v>
      </c>
      <c r="I224" s="31" t="s">
        <v>85</v>
      </c>
      <c r="K224" s="27"/>
      <c r="L224" s="30"/>
      <c r="M224" s="30"/>
      <c r="N224" s="30"/>
      <c r="O224" s="30"/>
      <c r="P224" s="30"/>
      <c r="Q224" s="30"/>
      <c r="R224" s="30"/>
      <c r="S224" s="30"/>
    </row>
    <row r="225" spans="1:19" x14ac:dyDescent="0.25">
      <c r="A225" s="29">
        <v>44302</v>
      </c>
      <c r="B225" s="31">
        <v>0.55500000000000005</v>
      </c>
      <c r="C225" s="31">
        <v>0.59000000000000008</v>
      </c>
      <c r="D225" s="31">
        <v>0.625</v>
      </c>
      <c r="E225" s="31">
        <v>1.0089999999999999</v>
      </c>
      <c r="F225" s="31">
        <v>1.159</v>
      </c>
      <c r="G225" s="31">
        <v>1.7770000000000001</v>
      </c>
      <c r="H225" s="31" t="s">
        <v>85</v>
      </c>
      <c r="I225" s="31" t="s">
        <v>85</v>
      </c>
      <c r="K225" s="27"/>
      <c r="L225" s="30"/>
      <c r="M225" s="30"/>
      <c r="N225" s="30"/>
      <c r="O225" s="30"/>
      <c r="P225" s="30"/>
      <c r="Q225" s="30"/>
      <c r="R225" s="30"/>
      <c r="S225" s="30"/>
    </row>
    <row r="226" spans="1:19" x14ac:dyDescent="0.25">
      <c r="A226" s="29">
        <v>44305</v>
      </c>
      <c r="B226" s="31">
        <v>0.56800000000000006</v>
      </c>
      <c r="C226" s="31">
        <v>0.60650000000000004</v>
      </c>
      <c r="D226" s="31">
        <v>0.64500000000000002</v>
      </c>
      <c r="E226" s="31">
        <v>1.0089999999999999</v>
      </c>
      <c r="F226" s="31">
        <v>1.159</v>
      </c>
      <c r="G226" s="31">
        <v>1.7680000000000002</v>
      </c>
      <c r="H226" s="31" t="s">
        <v>85</v>
      </c>
      <c r="I226" s="31" t="s">
        <v>85</v>
      </c>
      <c r="K226" s="27"/>
      <c r="L226" s="30"/>
      <c r="M226" s="30"/>
      <c r="N226" s="30"/>
      <c r="O226" s="30"/>
      <c r="P226" s="30"/>
      <c r="Q226" s="30"/>
      <c r="R226" s="30"/>
      <c r="S226" s="30"/>
    </row>
    <row r="227" spans="1:19" x14ac:dyDescent="0.25">
      <c r="A227" s="29">
        <v>44306</v>
      </c>
      <c r="B227" s="31">
        <v>0.56800000000000006</v>
      </c>
      <c r="C227" s="31">
        <v>0.60450000000000004</v>
      </c>
      <c r="D227" s="31">
        <v>0.64100000000000001</v>
      </c>
      <c r="E227" s="31">
        <v>1.0089999999999999</v>
      </c>
      <c r="F227" s="31">
        <v>1.159</v>
      </c>
      <c r="G227" s="31">
        <v>1.7680000000000002</v>
      </c>
      <c r="H227" s="31" t="s">
        <v>85</v>
      </c>
      <c r="I227" s="31" t="s">
        <v>85</v>
      </c>
      <c r="K227" s="27"/>
      <c r="L227" s="30"/>
      <c r="M227" s="30"/>
      <c r="N227" s="30"/>
      <c r="O227" s="30"/>
      <c r="P227" s="30"/>
      <c r="Q227" s="30"/>
      <c r="R227" s="30"/>
      <c r="S227" s="30"/>
    </row>
    <row r="228" spans="1:19" x14ac:dyDescent="0.25">
      <c r="A228" s="29">
        <v>44308</v>
      </c>
      <c r="B228" s="31">
        <v>0.56600000000000006</v>
      </c>
      <c r="C228" s="31">
        <v>0.60350000000000004</v>
      </c>
      <c r="D228" s="31">
        <v>0.64100000000000001</v>
      </c>
      <c r="E228" s="31">
        <v>1.002</v>
      </c>
      <c r="F228" s="31">
        <v>1.1679999999999999</v>
      </c>
      <c r="G228" s="31">
        <v>1.7680000000000002</v>
      </c>
      <c r="H228" s="31" t="s">
        <v>85</v>
      </c>
      <c r="I228" s="31" t="s">
        <v>85</v>
      </c>
      <c r="K228" s="27"/>
      <c r="L228" s="30"/>
      <c r="M228" s="30"/>
      <c r="N228" s="30"/>
      <c r="O228" s="30"/>
      <c r="P228" s="30"/>
      <c r="Q228" s="30"/>
      <c r="R228" s="30"/>
      <c r="S228" s="30"/>
    </row>
    <row r="229" spans="1:19" x14ac:dyDescent="0.25">
      <c r="A229" s="29">
        <v>44309</v>
      </c>
      <c r="B229" s="31">
        <v>0.58399999999999996</v>
      </c>
      <c r="C229" s="31">
        <v>0.61799999999999999</v>
      </c>
      <c r="D229" s="31">
        <v>0.65200000000000002</v>
      </c>
      <c r="E229" s="31">
        <v>1.0070000000000001</v>
      </c>
      <c r="F229" s="31">
        <v>1.1679999999999999</v>
      </c>
      <c r="G229" s="31">
        <v>1.7680000000000002</v>
      </c>
      <c r="H229" s="31" t="s">
        <v>85</v>
      </c>
      <c r="I229" s="31" t="s">
        <v>85</v>
      </c>
      <c r="K229" s="27"/>
      <c r="L229" s="30"/>
      <c r="M229" s="30"/>
      <c r="N229" s="30"/>
      <c r="O229" s="30"/>
      <c r="P229" s="30"/>
      <c r="Q229" s="30"/>
      <c r="R229" s="30"/>
      <c r="S229" s="30"/>
    </row>
    <row r="230" spans="1:19" x14ac:dyDescent="0.25">
      <c r="A230" s="29">
        <v>44312</v>
      </c>
      <c r="B230" s="31">
        <v>0.95499999999999996</v>
      </c>
      <c r="C230" s="31">
        <v>0.98</v>
      </c>
      <c r="D230" s="31">
        <v>1.0049999999999999</v>
      </c>
      <c r="E230" s="31">
        <v>1.036</v>
      </c>
      <c r="F230" s="31">
        <v>1.1950000000000001</v>
      </c>
      <c r="G230" s="31">
        <v>1.7680000000000002</v>
      </c>
      <c r="H230" s="31" t="s">
        <v>85</v>
      </c>
      <c r="I230" s="31" t="s">
        <v>85</v>
      </c>
      <c r="K230" s="27"/>
      <c r="L230" s="30"/>
      <c r="M230" s="30"/>
      <c r="N230" s="30"/>
      <c r="O230" s="30"/>
      <c r="P230" s="30"/>
      <c r="Q230" s="30"/>
      <c r="R230" s="30"/>
      <c r="S230" s="30"/>
    </row>
    <row r="231" spans="1:19" x14ac:dyDescent="0.25">
      <c r="A231" s="29">
        <v>44313</v>
      </c>
      <c r="B231" s="31">
        <v>1.141</v>
      </c>
      <c r="C231" s="31">
        <v>1.175</v>
      </c>
      <c r="D231" s="31">
        <v>1.2090000000000001</v>
      </c>
      <c r="E231" s="31">
        <v>1.173</v>
      </c>
      <c r="F231" s="31">
        <v>1.2769999999999999</v>
      </c>
      <c r="G231" s="31">
        <v>1.7770000000000001</v>
      </c>
      <c r="H231" s="31" t="s">
        <v>85</v>
      </c>
      <c r="I231" s="31" t="s">
        <v>85</v>
      </c>
      <c r="K231" s="27"/>
      <c r="L231" s="30"/>
      <c r="M231" s="30"/>
      <c r="N231" s="30"/>
      <c r="O231" s="30"/>
      <c r="P231" s="30"/>
      <c r="Q231" s="30"/>
      <c r="R231" s="30"/>
      <c r="S231" s="30"/>
    </row>
    <row r="232" spans="1:19" x14ac:dyDescent="0.25">
      <c r="A232" s="29">
        <v>44314</v>
      </c>
      <c r="B232" s="31">
        <v>1.1499999999999999</v>
      </c>
      <c r="C232" s="31">
        <v>1.1724999999999999</v>
      </c>
      <c r="D232" s="31">
        <v>1.1950000000000001</v>
      </c>
      <c r="E232" s="31">
        <v>1.2050000000000001</v>
      </c>
      <c r="F232" s="31">
        <v>1.341</v>
      </c>
      <c r="G232" s="31">
        <v>1.7770000000000001</v>
      </c>
      <c r="H232" s="31" t="s">
        <v>85</v>
      </c>
      <c r="I232" s="31" t="s">
        <v>85</v>
      </c>
      <c r="K232" s="27"/>
      <c r="L232" s="30"/>
      <c r="M232" s="30"/>
      <c r="N232" s="30"/>
      <c r="O232" s="30"/>
      <c r="P232" s="30"/>
      <c r="Q232" s="30"/>
      <c r="R232" s="30"/>
      <c r="S232" s="30"/>
    </row>
    <row r="233" spans="1:19" x14ac:dyDescent="0.25">
      <c r="A233" s="29">
        <v>44315</v>
      </c>
      <c r="B233" s="31">
        <v>0.95899999999999996</v>
      </c>
      <c r="C233" s="31">
        <v>0.99549999999999983</v>
      </c>
      <c r="D233" s="31">
        <v>1.032</v>
      </c>
      <c r="E233" s="31">
        <v>1.2</v>
      </c>
      <c r="F233" s="31">
        <v>1.341</v>
      </c>
      <c r="G233" s="31">
        <v>1.7770000000000001</v>
      </c>
      <c r="H233" s="31" t="s">
        <v>85</v>
      </c>
      <c r="I233" s="31" t="s">
        <v>85</v>
      </c>
      <c r="K233" s="27"/>
      <c r="L233" s="30"/>
      <c r="M233" s="30"/>
      <c r="N233" s="30"/>
      <c r="O233" s="30"/>
      <c r="P233" s="30"/>
      <c r="Q233" s="30"/>
      <c r="R233" s="30"/>
      <c r="S233" s="30"/>
    </row>
    <row r="234" spans="1:19" x14ac:dyDescent="0.25">
      <c r="A234" s="29">
        <v>44320</v>
      </c>
      <c r="B234" s="31">
        <v>0.96399999999999997</v>
      </c>
      <c r="C234" s="31">
        <v>1.0114999999999998</v>
      </c>
      <c r="D234" s="31">
        <v>1.0589999999999999</v>
      </c>
      <c r="E234" s="31">
        <v>1.1910000000000001</v>
      </c>
      <c r="F234" s="31">
        <v>1.3320000000000001</v>
      </c>
      <c r="G234" s="31">
        <v>1.7770000000000001</v>
      </c>
      <c r="H234" s="31" t="s">
        <v>85</v>
      </c>
      <c r="I234" s="31" t="s">
        <v>85</v>
      </c>
      <c r="K234" s="27"/>
      <c r="L234" s="30"/>
      <c r="M234" s="30"/>
      <c r="N234" s="30"/>
      <c r="O234" s="30"/>
      <c r="P234" s="30"/>
      <c r="Q234" s="30"/>
      <c r="R234" s="30"/>
      <c r="S234" s="30"/>
    </row>
    <row r="235" spans="1:19" x14ac:dyDescent="0.25">
      <c r="A235" s="29">
        <v>44321</v>
      </c>
      <c r="B235" s="31">
        <v>0.99500000000000011</v>
      </c>
      <c r="C235" s="31">
        <v>1.0315000000000001</v>
      </c>
      <c r="D235" s="31">
        <v>1.0680000000000001</v>
      </c>
      <c r="E235" s="31">
        <v>1.1910000000000001</v>
      </c>
      <c r="F235" s="31">
        <v>1.3180000000000001</v>
      </c>
      <c r="G235" s="31">
        <v>1.7680000000000002</v>
      </c>
      <c r="H235" s="31" t="s">
        <v>85</v>
      </c>
      <c r="I235" s="31" t="s">
        <v>85</v>
      </c>
      <c r="K235" s="27"/>
      <c r="L235" s="30"/>
      <c r="M235" s="30"/>
      <c r="N235" s="30"/>
      <c r="O235" s="30"/>
      <c r="P235" s="30"/>
      <c r="Q235" s="30"/>
      <c r="R235" s="30"/>
      <c r="S235" s="30"/>
    </row>
    <row r="236" spans="1:19" x14ac:dyDescent="0.25">
      <c r="A236" s="29">
        <v>44322</v>
      </c>
      <c r="B236" s="31">
        <v>1.2</v>
      </c>
      <c r="C236" s="31">
        <v>1.2044999999999999</v>
      </c>
      <c r="D236" s="31">
        <v>1.2090000000000001</v>
      </c>
      <c r="E236" s="31">
        <v>1.2550000000000001</v>
      </c>
      <c r="F236" s="31">
        <v>1.35</v>
      </c>
      <c r="G236" s="31">
        <v>1.7680000000000002</v>
      </c>
      <c r="H236" s="31" t="s">
        <v>85</v>
      </c>
      <c r="I236" s="31" t="s">
        <v>85</v>
      </c>
      <c r="K236" s="27"/>
      <c r="L236" s="30"/>
      <c r="M236" s="30"/>
      <c r="N236" s="30"/>
      <c r="O236" s="30"/>
      <c r="P236" s="30"/>
      <c r="Q236" s="30"/>
      <c r="R236" s="30"/>
      <c r="S236" s="30"/>
    </row>
    <row r="237" spans="1:19" x14ac:dyDescent="0.25">
      <c r="A237" s="29">
        <v>44323</v>
      </c>
      <c r="B237" s="31">
        <v>1.155</v>
      </c>
      <c r="C237" s="31">
        <v>1.175</v>
      </c>
      <c r="D237" s="31">
        <v>1.1950000000000001</v>
      </c>
      <c r="E237" s="31">
        <v>1.264</v>
      </c>
      <c r="F237" s="31">
        <v>1.35</v>
      </c>
      <c r="G237" s="31">
        <v>1.7680000000000002</v>
      </c>
      <c r="H237" s="31" t="s">
        <v>85</v>
      </c>
      <c r="I237" s="31" t="s">
        <v>85</v>
      </c>
      <c r="K237" s="27"/>
      <c r="L237" s="30"/>
      <c r="M237" s="30"/>
      <c r="N237" s="30"/>
      <c r="O237" s="30"/>
      <c r="P237" s="30"/>
      <c r="Q237" s="30"/>
      <c r="R237" s="30"/>
      <c r="S237" s="30"/>
    </row>
    <row r="238" spans="1:19" x14ac:dyDescent="0.25">
      <c r="A238" s="29">
        <v>44326</v>
      </c>
      <c r="B238" s="31">
        <v>1.218</v>
      </c>
      <c r="C238" s="31">
        <v>1.2215</v>
      </c>
      <c r="D238" s="31">
        <v>1.2250000000000001</v>
      </c>
      <c r="E238" s="31">
        <v>1.264</v>
      </c>
      <c r="F238" s="31">
        <v>1.35</v>
      </c>
      <c r="G238" s="31">
        <v>1.7680000000000002</v>
      </c>
      <c r="H238" s="31" t="s">
        <v>85</v>
      </c>
      <c r="I238" s="31" t="s">
        <v>85</v>
      </c>
      <c r="K238" s="27"/>
      <c r="L238" s="30"/>
      <c r="M238" s="30"/>
      <c r="N238" s="30"/>
      <c r="O238" s="30"/>
      <c r="P238" s="30"/>
      <c r="Q238" s="30"/>
      <c r="R238" s="30"/>
      <c r="S238" s="30"/>
    </row>
    <row r="239" spans="1:19" x14ac:dyDescent="0.25">
      <c r="A239" s="29">
        <v>44327</v>
      </c>
      <c r="B239" s="31">
        <v>1.232</v>
      </c>
      <c r="C239" s="31">
        <v>1.2355</v>
      </c>
      <c r="D239" s="31">
        <v>1.2390000000000001</v>
      </c>
      <c r="E239" s="31">
        <v>1.2949999999999999</v>
      </c>
      <c r="F239" s="31">
        <v>1.377</v>
      </c>
      <c r="G239" s="31">
        <v>1.7680000000000002</v>
      </c>
      <c r="H239" s="31" t="s">
        <v>85</v>
      </c>
      <c r="I239" s="31" t="s">
        <v>85</v>
      </c>
      <c r="K239" s="27"/>
      <c r="L239" s="30"/>
      <c r="M239" s="30"/>
      <c r="N239" s="30"/>
      <c r="O239" s="30"/>
      <c r="P239" s="30"/>
      <c r="Q239" s="30"/>
      <c r="R239" s="30"/>
      <c r="S239" s="30"/>
    </row>
    <row r="240" spans="1:19" x14ac:dyDescent="0.25">
      <c r="A240" s="29">
        <v>44328</v>
      </c>
      <c r="B240" s="31">
        <v>1.25</v>
      </c>
      <c r="C240" s="31">
        <v>1.2545000000000002</v>
      </c>
      <c r="D240" s="31">
        <v>1.2590000000000001</v>
      </c>
      <c r="E240" s="31">
        <v>1.2949999999999999</v>
      </c>
      <c r="F240" s="31">
        <v>1.377</v>
      </c>
      <c r="G240" s="31">
        <v>1.7680000000000002</v>
      </c>
      <c r="H240" s="31" t="s">
        <v>85</v>
      </c>
      <c r="I240" s="31" t="s">
        <v>85</v>
      </c>
      <c r="K240" s="27"/>
      <c r="L240" s="30"/>
      <c r="M240" s="30"/>
      <c r="N240" s="30"/>
      <c r="O240" s="30"/>
      <c r="P240" s="30"/>
      <c r="Q240" s="30"/>
      <c r="R240" s="30"/>
      <c r="S240" s="30"/>
    </row>
    <row r="241" spans="1:19" x14ac:dyDescent="0.25">
      <c r="A241" s="29">
        <v>44329</v>
      </c>
      <c r="B241" s="31">
        <v>1.2590000000000001</v>
      </c>
      <c r="C241" s="31">
        <v>1.2615000000000001</v>
      </c>
      <c r="D241" s="31">
        <v>1.264</v>
      </c>
      <c r="E241" s="31">
        <v>1.3050000000000002</v>
      </c>
      <c r="F241" s="31">
        <v>1.377</v>
      </c>
      <c r="G241" s="31">
        <v>1.7680000000000002</v>
      </c>
      <c r="H241" s="31" t="s">
        <v>85</v>
      </c>
      <c r="I241" s="31" t="s">
        <v>85</v>
      </c>
      <c r="K241" s="27"/>
      <c r="L241" s="30"/>
      <c r="M241" s="30"/>
      <c r="N241" s="30"/>
      <c r="O241" s="30"/>
      <c r="P241" s="30"/>
      <c r="Q241" s="30"/>
      <c r="R241" s="30"/>
      <c r="S241" s="30"/>
    </row>
    <row r="242" spans="1:19" x14ac:dyDescent="0.25">
      <c r="A242" s="29">
        <v>44330</v>
      </c>
      <c r="B242" s="31">
        <v>1.2590000000000001</v>
      </c>
      <c r="C242" s="31">
        <v>1.2615000000000001</v>
      </c>
      <c r="D242" s="31">
        <v>1.264</v>
      </c>
      <c r="E242" s="31">
        <v>1.3050000000000002</v>
      </c>
      <c r="F242" s="31">
        <v>1.377</v>
      </c>
      <c r="G242" s="31">
        <v>1.7680000000000002</v>
      </c>
      <c r="H242" s="31" t="s">
        <v>85</v>
      </c>
      <c r="I242" s="31" t="s">
        <v>85</v>
      </c>
      <c r="K242" s="27"/>
      <c r="L242" s="30"/>
      <c r="M242" s="30"/>
      <c r="N242" s="30"/>
      <c r="O242" s="30"/>
      <c r="P242" s="30"/>
      <c r="Q242" s="30"/>
      <c r="R242" s="30"/>
      <c r="S242" s="30"/>
    </row>
    <row r="243" spans="1:19" x14ac:dyDescent="0.25">
      <c r="A243" s="29">
        <v>44333</v>
      </c>
      <c r="B243" s="31">
        <v>1.25</v>
      </c>
      <c r="C243" s="31">
        <v>1.2525000000000002</v>
      </c>
      <c r="D243" s="31">
        <v>1.2550000000000001</v>
      </c>
      <c r="E243" s="31">
        <v>1.298</v>
      </c>
      <c r="F243" s="31">
        <v>1.377</v>
      </c>
      <c r="G243" s="31">
        <v>1.7680000000000002</v>
      </c>
      <c r="H243" s="31" t="s">
        <v>85</v>
      </c>
      <c r="I243" s="31" t="s">
        <v>85</v>
      </c>
      <c r="K243" s="27"/>
      <c r="L243" s="30"/>
      <c r="M243" s="30"/>
      <c r="N243" s="30"/>
      <c r="O243" s="30"/>
      <c r="P243" s="30"/>
      <c r="Q243" s="30"/>
      <c r="R243" s="30"/>
      <c r="S243" s="30"/>
    </row>
    <row r="244" spans="1:19" x14ac:dyDescent="0.25">
      <c r="A244" s="29">
        <v>44334</v>
      </c>
      <c r="B244" s="31">
        <v>1.248</v>
      </c>
      <c r="C244" s="31">
        <v>1.2590000000000001</v>
      </c>
      <c r="D244" s="31">
        <v>1.27</v>
      </c>
      <c r="E244" s="31">
        <v>1.3089999999999999</v>
      </c>
      <c r="F244" s="31">
        <v>1.391</v>
      </c>
      <c r="G244" s="31">
        <v>1.7680000000000002</v>
      </c>
      <c r="H244" s="31" t="s">
        <v>85</v>
      </c>
      <c r="I244" s="31" t="s">
        <v>85</v>
      </c>
      <c r="K244" s="27"/>
      <c r="L244" s="30"/>
      <c r="M244" s="30"/>
      <c r="N244" s="30"/>
      <c r="O244" s="30"/>
      <c r="P244" s="30"/>
      <c r="Q244" s="30"/>
      <c r="R244" s="30"/>
      <c r="S244" s="30"/>
    </row>
    <row r="245" spans="1:19" x14ac:dyDescent="0.25">
      <c r="A245" s="29">
        <v>44335</v>
      </c>
      <c r="B245" s="31">
        <v>1.2609999999999999</v>
      </c>
      <c r="C245" s="31">
        <v>1.268</v>
      </c>
      <c r="D245" s="31">
        <v>1.2749999999999999</v>
      </c>
      <c r="E245" s="31">
        <v>1.3069999999999999</v>
      </c>
      <c r="F245" s="31">
        <v>1.3820000000000001</v>
      </c>
      <c r="G245" s="31">
        <v>1.7680000000000002</v>
      </c>
      <c r="H245" s="31" t="s">
        <v>85</v>
      </c>
      <c r="I245" s="31" t="s">
        <v>85</v>
      </c>
      <c r="K245" s="27"/>
      <c r="L245" s="30"/>
      <c r="M245" s="30"/>
      <c r="N245" s="30"/>
      <c r="O245" s="30"/>
      <c r="P245" s="30"/>
      <c r="Q245" s="30"/>
      <c r="R245" s="30"/>
      <c r="S245" s="30"/>
    </row>
    <row r="246" spans="1:19" x14ac:dyDescent="0.25">
      <c r="A246" s="29">
        <v>44336</v>
      </c>
      <c r="B246" s="31">
        <v>1.3140000000000001</v>
      </c>
      <c r="C246" s="31">
        <v>1.3250000000000002</v>
      </c>
      <c r="D246" s="31">
        <v>1.3360000000000001</v>
      </c>
      <c r="E246" s="31">
        <v>1.3339999999999999</v>
      </c>
      <c r="F246" s="31">
        <v>1.4000000000000001</v>
      </c>
      <c r="G246" s="31">
        <v>1.786</v>
      </c>
      <c r="H246" s="31" t="s">
        <v>85</v>
      </c>
      <c r="I246" s="31" t="s">
        <v>85</v>
      </c>
      <c r="K246" s="27"/>
      <c r="L246" s="30"/>
      <c r="M246" s="30"/>
      <c r="N246" s="30"/>
      <c r="O246" s="30"/>
      <c r="P246" s="30"/>
      <c r="Q246" s="30"/>
      <c r="R246" s="30"/>
      <c r="S246" s="30"/>
    </row>
    <row r="247" spans="1:19" x14ac:dyDescent="0.25">
      <c r="A247" s="29">
        <v>44337</v>
      </c>
      <c r="B247" s="31">
        <v>1.3089999999999999</v>
      </c>
      <c r="C247" s="31">
        <v>1.3194999999999999</v>
      </c>
      <c r="D247" s="31">
        <v>1.3299999999999998</v>
      </c>
      <c r="E247" s="31">
        <v>1.3480000000000001</v>
      </c>
      <c r="F247" s="31">
        <v>1.4179999999999999</v>
      </c>
      <c r="G247" s="31">
        <v>1.8049999999999999</v>
      </c>
      <c r="H247" s="31" t="s">
        <v>85</v>
      </c>
      <c r="I247" s="31" t="s">
        <v>85</v>
      </c>
      <c r="K247" s="27"/>
      <c r="L247" s="30"/>
      <c r="M247" s="30"/>
      <c r="N247" s="30"/>
      <c r="O247" s="30"/>
      <c r="P247" s="30"/>
      <c r="Q247" s="30"/>
      <c r="R247" s="30"/>
      <c r="S247" s="30"/>
    </row>
    <row r="248" spans="1:19" x14ac:dyDescent="0.25">
      <c r="A248" s="29">
        <v>44340</v>
      </c>
      <c r="B248" s="31">
        <v>1.327</v>
      </c>
      <c r="C248" s="31">
        <v>1.3375000000000001</v>
      </c>
      <c r="D248" s="31">
        <v>1.3480000000000001</v>
      </c>
      <c r="E248" s="31">
        <v>1.3679999999999999</v>
      </c>
      <c r="F248" s="31">
        <v>1.4359999999999999</v>
      </c>
      <c r="G248" s="31">
        <v>1.8049999999999999</v>
      </c>
      <c r="H248" s="31" t="s">
        <v>85</v>
      </c>
      <c r="I248" s="31" t="s">
        <v>85</v>
      </c>
      <c r="K248" s="27"/>
      <c r="L248" s="30"/>
      <c r="M248" s="30"/>
      <c r="N248" s="30"/>
      <c r="O248" s="30"/>
      <c r="P248" s="30"/>
      <c r="Q248" s="30"/>
      <c r="R248" s="30"/>
      <c r="S248" s="30"/>
    </row>
    <row r="249" spans="1:19" x14ac:dyDescent="0.25">
      <c r="A249" s="29">
        <v>44341</v>
      </c>
      <c r="B249" s="31">
        <v>1.4430000000000001</v>
      </c>
      <c r="C249" s="31">
        <v>1.4409999999999998</v>
      </c>
      <c r="D249" s="31">
        <v>1.4390000000000001</v>
      </c>
      <c r="E249" s="31">
        <v>1.423</v>
      </c>
      <c r="F249" s="31">
        <v>1.4730000000000001</v>
      </c>
      <c r="G249" s="31">
        <v>1.823</v>
      </c>
      <c r="H249" s="31" t="s">
        <v>85</v>
      </c>
      <c r="I249" s="31" t="s">
        <v>85</v>
      </c>
      <c r="K249" s="27"/>
      <c r="L249" s="30"/>
      <c r="M249" s="30"/>
      <c r="N249" s="30"/>
      <c r="O249" s="30"/>
      <c r="P249" s="30"/>
      <c r="Q249" s="30"/>
      <c r="R249" s="30"/>
      <c r="S249" s="30"/>
    </row>
    <row r="250" spans="1:19" x14ac:dyDescent="0.25">
      <c r="A250" s="29">
        <v>44342</v>
      </c>
      <c r="B250" s="31">
        <v>1.5049999999999999</v>
      </c>
      <c r="C250" s="31">
        <v>1.5049999999999999</v>
      </c>
      <c r="D250" s="31">
        <v>1.5049999999999999</v>
      </c>
      <c r="E250" s="31">
        <v>1.4550000000000001</v>
      </c>
      <c r="F250" s="31">
        <v>1.5049999999999999</v>
      </c>
      <c r="G250" s="31">
        <v>1.8319999999999999</v>
      </c>
      <c r="H250" s="31" t="s">
        <v>85</v>
      </c>
      <c r="I250" s="31" t="s">
        <v>85</v>
      </c>
      <c r="K250" s="27"/>
      <c r="L250" s="30"/>
      <c r="M250" s="30"/>
      <c r="N250" s="30"/>
      <c r="O250" s="30"/>
      <c r="P250" s="30"/>
      <c r="Q250" s="30"/>
      <c r="R250" s="30"/>
      <c r="S250" s="30"/>
    </row>
    <row r="251" spans="1:19" x14ac:dyDescent="0.25">
      <c r="A251" s="29">
        <v>44343</v>
      </c>
      <c r="B251" s="31">
        <v>1.5270000000000001</v>
      </c>
      <c r="C251" s="31">
        <v>1.5294999999999999</v>
      </c>
      <c r="D251" s="31">
        <v>1.532</v>
      </c>
      <c r="E251" s="31">
        <v>1.5</v>
      </c>
      <c r="F251" s="31">
        <v>1.534</v>
      </c>
      <c r="G251" s="31">
        <v>1.8499999999999999</v>
      </c>
      <c r="H251" s="31" t="s">
        <v>85</v>
      </c>
      <c r="I251" s="31" t="s">
        <v>85</v>
      </c>
      <c r="K251" s="27"/>
      <c r="L251" s="30"/>
      <c r="M251" s="30"/>
      <c r="N251" s="30"/>
      <c r="O251" s="30"/>
      <c r="P251" s="30"/>
      <c r="Q251" s="30"/>
      <c r="R251" s="30"/>
      <c r="S251" s="30"/>
    </row>
    <row r="252" spans="1:19" x14ac:dyDescent="0.25">
      <c r="A252" s="29">
        <v>44344</v>
      </c>
      <c r="B252" s="31">
        <v>1.5549999999999999</v>
      </c>
      <c r="C252" s="31">
        <v>1.5549999999999999</v>
      </c>
      <c r="D252" s="31">
        <v>1.5549999999999999</v>
      </c>
      <c r="E252" s="31">
        <v>1.514</v>
      </c>
      <c r="F252" s="31">
        <v>1.5409999999999999</v>
      </c>
      <c r="G252" s="31">
        <v>1.859</v>
      </c>
      <c r="H252" s="31" t="s">
        <v>85</v>
      </c>
      <c r="I252" s="31" t="s">
        <v>85</v>
      </c>
      <c r="K252" s="27"/>
      <c r="L252" s="30"/>
      <c r="M252" s="30"/>
      <c r="N252" s="30"/>
      <c r="O252" s="30"/>
      <c r="P252" s="30"/>
      <c r="Q252" s="30"/>
      <c r="R252" s="30"/>
      <c r="S252" s="30"/>
    </row>
    <row r="253" spans="1:19" x14ac:dyDescent="0.25">
      <c r="A253" s="29">
        <v>44347</v>
      </c>
      <c r="B253" s="31">
        <v>1.5890000000000002</v>
      </c>
      <c r="C253" s="31">
        <v>1.5955000000000001</v>
      </c>
      <c r="D253" s="31">
        <v>1.6019999999999999</v>
      </c>
      <c r="E253" s="31">
        <v>1.536</v>
      </c>
      <c r="F253" s="31">
        <v>1.5549999999999999</v>
      </c>
      <c r="G253" s="31">
        <v>1.859</v>
      </c>
      <c r="H253" s="31" t="s">
        <v>85</v>
      </c>
      <c r="I253" s="31" t="s">
        <v>85</v>
      </c>
      <c r="K253" s="27"/>
      <c r="L253" s="30"/>
      <c r="M253" s="30"/>
      <c r="N253" s="30"/>
      <c r="O253" s="30"/>
      <c r="P253" s="30"/>
      <c r="Q253" s="30"/>
      <c r="R253" s="30"/>
      <c r="S253" s="30"/>
    </row>
    <row r="254" spans="1:19" x14ac:dyDescent="0.25">
      <c r="A254" s="29">
        <v>44348</v>
      </c>
      <c r="B254" s="31">
        <v>1.6</v>
      </c>
      <c r="C254" s="31">
        <v>1.6024999999999998</v>
      </c>
      <c r="D254" s="31">
        <v>1.6049999999999998</v>
      </c>
      <c r="E254" s="31">
        <v>1.5640000000000001</v>
      </c>
      <c r="F254" s="31">
        <v>1.5820000000000001</v>
      </c>
      <c r="G254" s="31">
        <v>1.8499999999999999</v>
      </c>
      <c r="H254" s="31" t="s">
        <v>85</v>
      </c>
      <c r="I254" s="31" t="s">
        <v>85</v>
      </c>
      <c r="K254" s="27"/>
      <c r="L254" s="30"/>
      <c r="M254" s="30"/>
      <c r="N254" s="30"/>
      <c r="O254" s="30"/>
      <c r="P254" s="30"/>
      <c r="Q254" s="30"/>
      <c r="R254" s="30"/>
      <c r="S254" s="30"/>
    </row>
    <row r="255" spans="1:19" x14ac:dyDescent="0.25">
      <c r="A255" s="29">
        <v>44349</v>
      </c>
      <c r="B255" s="31">
        <v>1.593</v>
      </c>
      <c r="C255" s="31">
        <v>1.5939999999999999</v>
      </c>
      <c r="D255" s="31">
        <v>1.595</v>
      </c>
      <c r="E255" s="31">
        <v>1.5680000000000001</v>
      </c>
      <c r="F255" s="31">
        <v>1.5859999999999999</v>
      </c>
      <c r="G255" s="31">
        <v>1.8499999999999999</v>
      </c>
      <c r="H255" s="31" t="s">
        <v>85</v>
      </c>
      <c r="I255" s="31" t="s">
        <v>85</v>
      </c>
      <c r="K255" s="27"/>
      <c r="L255" s="30"/>
      <c r="M255" s="30"/>
      <c r="N255" s="30"/>
      <c r="O255" s="30"/>
      <c r="P255" s="30"/>
      <c r="Q255" s="30"/>
      <c r="R255" s="30"/>
      <c r="S255" s="30"/>
    </row>
    <row r="256" spans="1:19" x14ac:dyDescent="0.25">
      <c r="A256" s="29">
        <v>44350</v>
      </c>
      <c r="B256" s="31">
        <v>1.58</v>
      </c>
      <c r="C256" s="31">
        <v>1.5845000000000002</v>
      </c>
      <c r="D256" s="31">
        <v>1.5890000000000002</v>
      </c>
      <c r="E256" s="31">
        <v>1.55</v>
      </c>
      <c r="F256" s="31">
        <v>1.5680000000000001</v>
      </c>
      <c r="G256" s="31">
        <v>1.841</v>
      </c>
      <c r="H256" s="31" t="s">
        <v>85</v>
      </c>
      <c r="I256" s="31" t="s">
        <v>85</v>
      </c>
      <c r="K256" s="27"/>
      <c r="L256" s="30"/>
      <c r="M256" s="30"/>
      <c r="N256" s="30"/>
      <c r="O256" s="30"/>
      <c r="P256" s="30"/>
      <c r="Q256" s="30"/>
      <c r="R256" s="30"/>
      <c r="S256" s="30"/>
    </row>
    <row r="257" spans="1:19" x14ac:dyDescent="0.25">
      <c r="A257" s="29">
        <v>44351</v>
      </c>
      <c r="B257" s="31">
        <v>1.514</v>
      </c>
      <c r="C257" s="31">
        <v>1.522</v>
      </c>
      <c r="D257" s="31">
        <v>1.53</v>
      </c>
      <c r="E257" s="31">
        <v>1.5449999999999999</v>
      </c>
      <c r="F257" s="31">
        <v>1.5680000000000001</v>
      </c>
      <c r="G257" s="31">
        <v>1.841</v>
      </c>
      <c r="H257" s="31" t="s">
        <v>85</v>
      </c>
      <c r="I257" s="31" t="s">
        <v>85</v>
      </c>
      <c r="K257" s="27"/>
      <c r="L257" s="30"/>
      <c r="M257" s="30"/>
      <c r="N257" s="30"/>
      <c r="O257" s="30"/>
      <c r="P257" s="30"/>
      <c r="Q257" s="30"/>
      <c r="R257" s="30"/>
      <c r="S257" s="30"/>
    </row>
    <row r="258" spans="1:19" x14ac:dyDescent="0.25">
      <c r="A258" s="29">
        <v>44354</v>
      </c>
      <c r="B258" s="31">
        <v>1.4359999999999999</v>
      </c>
      <c r="C258" s="31">
        <v>1.4610000000000001</v>
      </c>
      <c r="D258" s="31">
        <v>1.486</v>
      </c>
      <c r="E258" s="31">
        <v>1.5409999999999999</v>
      </c>
      <c r="F258" s="31">
        <v>1.5699999999999998</v>
      </c>
      <c r="G258" s="31">
        <v>1.841</v>
      </c>
      <c r="H258" s="31" t="s">
        <v>85</v>
      </c>
      <c r="I258" s="31" t="s">
        <v>85</v>
      </c>
      <c r="K258" s="27"/>
      <c r="L258" s="30"/>
      <c r="M258" s="30"/>
      <c r="N258" s="30"/>
      <c r="O258" s="30"/>
      <c r="P258" s="30"/>
      <c r="Q258" s="30"/>
      <c r="R258" s="30"/>
      <c r="S258" s="30"/>
    </row>
    <row r="259" spans="1:19" x14ac:dyDescent="0.25">
      <c r="A259" s="29">
        <v>44355</v>
      </c>
      <c r="B259" s="31">
        <v>1.391</v>
      </c>
      <c r="C259" s="31">
        <v>1.4179999999999999</v>
      </c>
      <c r="D259" s="31">
        <v>1.4449999999999998</v>
      </c>
      <c r="E259" s="31">
        <v>1.52</v>
      </c>
      <c r="F259" s="31">
        <v>1.5680000000000001</v>
      </c>
      <c r="G259" s="31">
        <v>1.8360000000000001</v>
      </c>
      <c r="H259" s="31" t="s">
        <v>85</v>
      </c>
      <c r="I259" s="31" t="s">
        <v>85</v>
      </c>
      <c r="K259" s="27"/>
      <c r="L259" s="30"/>
      <c r="M259" s="30"/>
      <c r="N259" s="30"/>
      <c r="O259" s="30"/>
      <c r="P259" s="30"/>
      <c r="Q259" s="30"/>
      <c r="R259" s="30"/>
      <c r="S259" s="30"/>
    </row>
    <row r="260" spans="1:19" x14ac:dyDescent="0.25">
      <c r="A260" s="29">
        <v>44356</v>
      </c>
      <c r="B260" s="31">
        <v>1.35</v>
      </c>
      <c r="C260" s="31">
        <v>1.3875</v>
      </c>
      <c r="D260" s="31">
        <v>1.425</v>
      </c>
      <c r="E260" s="31">
        <v>1.516</v>
      </c>
      <c r="F260" s="31">
        <v>1.5640000000000001</v>
      </c>
      <c r="G260" s="31">
        <v>1.8360000000000001</v>
      </c>
      <c r="H260" s="31" t="s">
        <v>85</v>
      </c>
      <c r="I260" s="31" t="s">
        <v>85</v>
      </c>
      <c r="K260" s="27"/>
      <c r="L260" s="30"/>
      <c r="M260" s="30"/>
      <c r="N260" s="30"/>
      <c r="O260" s="30"/>
      <c r="P260" s="30"/>
      <c r="Q260" s="30"/>
      <c r="R260" s="30"/>
      <c r="S260" s="30"/>
    </row>
    <row r="261" spans="1:19" x14ac:dyDescent="0.25">
      <c r="A261" s="29">
        <v>44357</v>
      </c>
      <c r="B261" s="31">
        <v>1.252</v>
      </c>
      <c r="C261" s="31">
        <v>1.2930000000000001</v>
      </c>
      <c r="D261" s="31">
        <v>1.3339999999999999</v>
      </c>
      <c r="E261" s="31">
        <v>1.516</v>
      </c>
      <c r="F261" s="31">
        <v>1.5640000000000001</v>
      </c>
      <c r="G261" s="31">
        <v>1.8360000000000001</v>
      </c>
      <c r="H261" s="31" t="s">
        <v>85</v>
      </c>
      <c r="I261" s="31" t="s">
        <v>85</v>
      </c>
      <c r="K261" s="27"/>
      <c r="L261" s="30"/>
      <c r="M261" s="30"/>
      <c r="N261" s="30"/>
      <c r="O261" s="30"/>
      <c r="P261" s="30"/>
      <c r="Q261" s="30"/>
      <c r="R261" s="30"/>
      <c r="S261" s="30"/>
    </row>
    <row r="262" spans="1:19" x14ac:dyDescent="0.25">
      <c r="A262" s="29">
        <v>44358</v>
      </c>
      <c r="B262" s="31">
        <v>1.141</v>
      </c>
      <c r="C262" s="31">
        <v>1.1839999999999999</v>
      </c>
      <c r="D262" s="31">
        <v>1.2269999999999999</v>
      </c>
      <c r="E262" s="31">
        <v>1.498</v>
      </c>
      <c r="F262" s="31">
        <v>1.5549999999999999</v>
      </c>
      <c r="G262" s="31">
        <v>1.8360000000000001</v>
      </c>
      <c r="H262" s="31" t="s">
        <v>85</v>
      </c>
      <c r="I262" s="31" t="s">
        <v>85</v>
      </c>
      <c r="K262" s="27"/>
      <c r="L262" s="30"/>
      <c r="M262" s="30"/>
      <c r="N262" s="30"/>
      <c r="O262" s="30"/>
      <c r="P262" s="30"/>
      <c r="Q262" s="30"/>
      <c r="R262" s="30"/>
      <c r="S262" s="30"/>
    </row>
    <row r="263" spans="1:19" x14ac:dyDescent="0.25">
      <c r="A263" s="29">
        <v>44361</v>
      </c>
      <c r="B263" s="31">
        <v>1.141</v>
      </c>
      <c r="C263" s="31">
        <v>1.1775</v>
      </c>
      <c r="D263" s="31">
        <v>1.214</v>
      </c>
      <c r="E263" s="31">
        <v>1.4590000000000001</v>
      </c>
      <c r="F263" s="31">
        <v>1.5449999999999999</v>
      </c>
      <c r="G263" s="31">
        <v>1.8270000000000002</v>
      </c>
      <c r="H263" s="31" t="s">
        <v>85</v>
      </c>
      <c r="I263" s="31" t="s">
        <v>85</v>
      </c>
      <c r="K263" s="27"/>
      <c r="L263" s="30"/>
      <c r="M263" s="30"/>
      <c r="N263" s="30"/>
      <c r="O263" s="30"/>
      <c r="P263" s="30"/>
      <c r="Q263" s="30"/>
      <c r="R263" s="30"/>
      <c r="S263" s="30"/>
    </row>
    <row r="264" spans="1:19" x14ac:dyDescent="0.25">
      <c r="A264" s="29">
        <v>44362</v>
      </c>
      <c r="B264" s="31">
        <v>1.141</v>
      </c>
      <c r="C264" s="31">
        <v>1.173</v>
      </c>
      <c r="D264" s="31">
        <v>1.2050000000000001</v>
      </c>
      <c r="E264" s="31">
        <v>1.4550000000000001</v>
      </c>
      <c r="F264" s="31">
        <v>1.5449999999999999</v>
      </c>
      <c r="G264" s="31">
        <v>1.8270000000000002</v>
      </c>
      <c r="H264" s="31" t="s">
        <v>85</v>
      </c>
      <c r="I264" s="31" t="s">
        <v>85</v>
      </c>
      <c r="K264" s="27"/>
      <c r="L264" s="30"/>
      <c r="M264" s="30"/>
      <c r="N264" s="30"/>
      <c r="O264" s="30"/>
      <c r="P264" s="30"/>
      <c r="Q264" s="30"/>
      <c r="R264" s="30"/>
      <c r="S264" s="30"/>
    </row>
    <row r="265" spans="1:19" x14ac:dyDescent="0.25">
      <c r="A265" s="29">
        <v>44363</v>
      </c>
      <c r="B265" s="31">
        <v>1.143</v>
      </c>
      <c r="C265" s="31">
        <v>1.175</v>
      </c>
      <c r="D265" s="31">
        <v>1.2070000000000001</v>
      </c>
      <c r="E265" s="31">
        <v>1.4550000000000001</v>
      </c>
      <c r="F265" s="31">
        <v>1.5449999999999999</v>
      </c>
      <c r="G265" s="31">
        <v>1.8270000000000002</v>
      </c>
      <c r="H265" s="31" t="s">
        <v>85</v>
      </c>
      <c r="I265" s="31" t="s">
        <v>85</v>
      </c>
      <c r="K265" s="27"/>
      <c r="L265" s="30"/>
      <c r="M265" s="30"/>
      <c r="N265" s="30"/>
      <c r="O265" s="30"/>
      <c r="P265" s="30"/>
      <c r="Q265" s="30"/>
      <c r="R265" s="30"/>
      <c r="S265" s="30"/>
    </row>
    <row r="266" spans="1:19" x14ac:dyDescent="0.25">
      <c r="A266" s="29">
        <v>44364</v>
      </c>
      <c r="B266" s="31">
        <v>1.139</v>
      </c>
      <c r="C266" s="31">
        <v>1.173</v>
      </c>
      <c r="D266" s="31">
        <v>1.2070000000000001</v>
      </c>
      <c r="E266" s="31">
        <v>1.4550000000000001</v>
      </c>
      <c r="F266" s="31">
        <v>1.5449999999999999</v>
      </c>
      <c r="G266" s="31">
        <v>1.8270000000000002</v>
      </c>
      <c r="H266" s="31" t="s">
        <v>85</v>
      </c>
      <c r="I266" s="31" t="s">
        <v>85</v>
      </c>
      <c r="K266" s="27"/>
      <c r="L266" s="30"/>
      <c r="M266" s="30"/>
      <c r="N266" s="30"/>
      <c r="O266" s="30"/>
      <c r="P266" s="30"/>
      <c r="Q266" s="30"/>
      <c r="R266" s="30"/>
      <c r="S266" s="30"/>
    </row>
    <row r="267" spans="1:19" x14ac:dyDescent="0.25">
      <c r="A267" s="29">
        <v>44365</v>
      </c>
      <c r="B267" s="31">
        <v>1.248</v>
      </c>
      <c r="C267" s="31">
        <v>1.2954999999999999</v>
      </c>
      <c r="D267" s="31">
        <v>1.343</v>
      </c>
      <c r="E267" s="31">
        <v>1.4590000000000001</v>
      </c>
      <c r="F267" s="31">
        <v>1.5449999999999999</v>
      </c>
      <c r="G267" s="31">
        <v>1.8270000000000002</v>
      </c>
      <c r="H267" s="31" t="s">
        <v>85</v>
      </c>
      <c r="I267" s="31" t="s">
        <v>85</v>
      </c>
      <c r="K267" s="27"/>
      <c r="L267" s="30"/>
      <c r="M267" s="30"/>
      <c r="N267" s="30"/>
      <c r="O267" s="30"/>
      <c r="P267" s="30"/>
      <c r="Q267" s="30"/>
      <c r="R267" s="30"/>
      <c r="S267" s="30"/>
    </row>
    <row r="268" spans="1:19" x14ac:dyDescent="0.25">
      <c r="A268" s="29">
        <v>44368</v>
      </c>
      <c r="B268" s="31">
        <v>1.268</v>
      </c>
      <c r="C268" s="31">
        <v>1.3135000000000001</v>
      </c>
      <c r="D268" s="31">
        <v>1.359</v>
      </c>
      <c r="E268" s="31">
        <v>1.464</v>
      </c>
      <c r="F268" s="31">
        <v>1.5449999999999999</v>
      </c>
      <c r="G268" s="31">
        <v>1.8089999999999999</v>
      </c>
      <c r="H268" s="31" t="s">
        <v>85</v>
      </c>
      <c r="I268" s="31" t="s">
        <v>85</v>
      </c>
      <c r="K268" s="27"/>
      <c r="L268" s="30"/>
      <c r="M268" s="30"/>
      <c r="N268" s="30"/>
      <c r="O268" s="30"/>
      <c r="P268" s="30"/>
      <c r="Q268" s="30"/>
      <c r="R268" s="30"/>
      <c r="S268" s="30"/>
    </row>
    <row r="269" spans="1:19" x14ac:dyDescent="0.25">
      <c r="A269" s="29">
        <v>44369</v>
      </c>
      <c r="B269" s="31">
        <v>1.3180000000000001</v>
      </c>
      <c r="C269" s="31">
        <v>1.341</v>
      </c>
      <c r="D269" s="31">
        <v>1.3639999999999999</v>
      </c>
      <c r="E269" s="31">
        <v>1.464</v>
      </c>
      <c r="F269" s="31">
        <v>1.5449999999999999</v>
      </c>
      <c r="G269" s="31">
        <v>1.8089999999999999</v>
      </c>
      <c r="H269" s="31" t="s">
        <v>85</v>
      </c>
      <c r="I269" s="31" t="s">
        <v>85</v>
      </c>
      <c r="K269" s="27"/>
      <c r="L269" s="30"/>
      <c r="M269" s="30"/>
      <c r="N269" s="30"/>
      <c r="O269" s="30"/>
      <c r="P269" s="30"/>
      <c r="Q269" s="30"/>
      <c r="R269" s="30"/>
      <c r="S269" s="30"/>
    </row>
    <row r="270" spans="1:19" x14ac:dyDescent="0.25">
      <c r="A270" s="29">
        <v>44370</v>
      </c>
      <c r="B270" s="31">
        <v>1.4319999999999999</v>
      </c>
      <c r="C270" s="31">
        <v>1.4410000000000001</v>
      </c>
      <c r="D270" s="31">
        <v>1.4500000000000002</v>
      </c>
      <c r="E270" s="31">
        <v>1.4730000000000001</v>
      </c>
      <c r="F270" s="31">
        <v>1.5449999999999999</v>
      </c>
      <c r="G270" s="31">
        <v>1.8089999999999999</v>
      </c>
      <c r="H270" s="31" t="s">
        <v>85</v>
      </c>
      <c r="I270" s="31" t="s">
        <v>85</v>
      </c>
      <c r="K270" s="27"/>
      <c r="L270" s="30"/>
      <c r="M270" s="30"/>
      <c r="N270" s="30"/>
      <c r="O270" s="30"/>
      <c r="P270" s="30"/>
      <c r="Q270" s="30"/>
      <c r="R270" s="30"/>
      <c r="S270" s="30"/>
    </row>
    <row r="271" spans="1:19" x14ac:dyDescent="0.25">
      <c r="A271" s="29">
        <v>44371</v>
      </c>
      <c r="B271" s="31">
        <v>1.4449999999999998</v>
      </c>
      <c r="C271" s="31">
        <v>1.452</v>
      </c>
      <c r="D271" s="31">
        <v>1.4590000000000001</v>
      </c>
      <c r="E271" s="31">
        <v>1.4890000000000001</v>
      </c>
      <c r="F271" s="31">
        <v>1.5449999999999999</v>
      </c>
      <c r="G271" s="31">
        <v>1.8089999999999999</v>
      </c>
      <c r="H271" s="31" t="s">
        <v>85</v>
      </c>
      <c r="I271" s="31" t="s">
        <v>85</v>
      </c>
      <c r="K271" s="27"/>
      <c r="L271" s="30"/>
      <c r="M271" s="30"/>
      <c r="N271" s="30"/>
      <c r="O271" s="30"/>
      <c r="P271" s="30"/>
      <c r="Q271" s="30"/>
      <c r="R271" s="30"/>
      <c r="S271" s="30"/>
    </row>
    <row r="272" spans="1:19" x14ac:dyDescent="0.25">
      <c r="A272" s="29">
        <v>44372</v>
      </c>
      <c r="B272" s="31">
        <v>1.452</v>
      </c>
      <c r="C272" s="31">
        <v>1.4590000000000001</v>
      </c>
      <c r="D272" s="31">
        <v>1.466</v>
      </c>
      <c r="E272" s="31">
        <v>1.4949999999999999</v>
      </c>
      <c r="F272" s="31">
        <v>1.55</v>
      </c>
      <c r="G272" s="31">
        <v>1.8089999999999999</v>
      </c>
      <c r="H272" s="31" t="s">
        <v>85</v>
      </c>
      <c r="I272" s="31" t="s">
        <v>85</v>
      </c>
      <c r="K272" s="27"/>
      <c r="L272" s="30"/>
      <c r="M272" s="30"/>
      <c r="N272" s="30"/>
      <c r="O272" s="30"/>
      <c r="P272" s="30"/>
      <c r="Q272" s="30"/>
      <c r="R272" s="30"/>
      <c r="S272" s="30"/>
    </row>
    <row r="273" spans="1:19" x14ac:dyDescent="0.25">
      <c r="A273" s="29">
        <v>44375</v>
      </c>
      <c r="B273" s="31">
        <v>1.4550000000000001</v>
      </c>
      <c r="C273" s="31">
        <v>1.4610000000000001</v>
      </c>
      <c r="D273" s="31">
        <v>1.468</v>
      </c>
      <c r="E273" s="31">
        <v>1.4910000000000001</v>
      </c>
      <c r="F273" s="31">
        <v>1.5449999999999999</v>
      </c>
      <c r="G273" s="31">
        <v>1.8089999999999999</v>
      </c>
      <c r="H273" s="31" t="s">
        <v>85</v>
      </c>
      <c r="I273" s="31" t="s">
        <v>85</v>
      </c>
      <c r="K273" s="27"/>
      <c r="L273" s="30"/>
      <c r="M273" s="30"/>
      <c r="N273" s="30"/>
      <c r="O273" s="30"/>
      <c r="P273" s="30"/>
      <c r="Q273" s="30"/>
      <c r="R273" s="30"/>
      <c r="S273" s="30"/>
    </row>
    <row r="274" spans="1:19" x14ac:dyDescent="0.25">
      <c r="A274" s="29">
        <v>44376</v>
      </c>
      <c r="B274" s="31">
        <v>1.405</v>
      </c>
      <c r="C274" s="31">
        <v>1.4279999999999999</v>
      </c>
      <c r="D274" s="31">
        <v>1.452</v>
      </c>
      <c r="E274" s="31">
        <v>1.486</v>
      </c>
      <c r="F274" s="31">
        <v>1.5449999999999999</v>
      </c>
      <c r="G274" s="31">
        <v>1.8089999999999999</v>
      </c>
      <c r="H274" s="31" t="s">
        <v>85</v>
      </c>
      <c r="I274" s="31" t="s">
        <v>85</v>
      </c>
      <c r="K274" s="27"/>
      <c r="L274" s="30"/>
      <c r="M274" s="30"/>
      <c r="N274" s="30"/>
      <c r="O274" s="30"/>
      <c r="P274" s="30"/>
      <c r="Q274" s="30"/>
      <c r="R274" s="30"/>
      <c r="S274" s="30"/>
    </row>
    <row r="275" spans="1:19" x14ac:dyDescent="0.25">
      <c r="A275" s="29">
        <v>44377</v>
      </c>
      <c r="B275" s="31">
        <v>1.3660000000000001</v>
      </c>
      <c r="C275" s="31">
        <v>1.3819999999999999</v>
      </c>
      <c r="D275" s="31">
        <v>1.3979999999999999</v>
      </c>
      <c r="E275" s="31">
        <v>1.48</v>
      </c>
      <c r="F275" s="31">
        <v>1.5449999999999999</v>
      </c>
      <c r="G275" s="31">
        <v>1.8049999999999999</v>
      </c>
      <c r="H275" s="31" t="s">
        <v>85</v>
      </c>
      <c r="I275" s="31" t="s">
        <v>85</v>
      </c>
      <c r="K275" s="27"/>
      <c r="L275" s="30"/>
      <c r="M275" s="30"/>
      <c r="N275" s="30"/>
      <c r="O275" s="30"/>
      <c r="P275" s="30"/>
      <c r="Q275" s="30"/>
      <c r="R275" s="30"/>
      <c r="S275" s="30"/>
    </row>
    <row r="276" spans="1:19" x14ac:dyDescent="0.25">
      <c r="A276" s="29">
        <v>44378</v>
      </c>
      <c r="B276" s="31">
        <v>1.3049999999999999</v>
      </c>
      <c r="C276" s="31">
        <v>1.3220000000000001</v>
      </c>
      <c r="D276" s="31">
        <v>1.339</v>
      </c>
      <c r="E276" s="31">
        <v>1.466</v>
      </c>
      <c r="F276" s="31">
        <v>1.536</v>
      </c>
      <c r="G276" s="31">
        <v>1.8049999999999999</v>
      </c>
      <c r="H276" s="31" t="s">
        <v>85</v>
      </c>
      <c r="I276" s="31" t="s">
        <v>85</v>
      </c>
      <c r="K276" s="27"/>
      <c r="L276" s="30"/>
      <c r="M276" s="30"/>
      <c r="N276" s="30"/>
      <c r="O276" s="30"/>
      <c r="P276" s="30"/>
      <c r="Q276" s="30"/>
      <c r="R276" s="30"/>
      <c r="S276" s="30"/>
    </row>
    <row r="277" spans="1:19" x14ac:dyDescent="0.25">
      <c r="A277" s="29">
        <v>44379</v>
      </c>
      <c r="B277" s="31">
        <v>1.268</v>
      </c>
      <c r="C277" s="31">
        <v>1.2929999999999999</v>
      </c>
      <c r="D277" s="31">
        <v>1.3180000000000001</v>
      </c>
      <c r="E277" s="31">
        <v>1.466</v>
      </c>
      <c r="F277" s="31">
        <v>1.536</v>
      </c>
      <c r="G277" s="31">
        <v>1.8049999999999999</v>
      </c>
      <c r="H277" s="31" t="s">
        <v>85</v>
      </c>
      <c r="I277" s="31" t="s">
        <v>85</v>
      </c>
      <c r="K277" s="27"/>
      <c r="L277" s="30"/>
      <c r="M277" s="30"/>
      <c r="N277" s="30"/>
      <c r="O277" s="30"/>
      <c r="P277" s="30"/>
      <c r="Q277" s="30"/>
      <c r="R277" s="30"/>
      <c r="S277" s="30"/>
    </row>
    <row r="278" spans="1:19" x14ac:dyDescent="0.25">
      <c r="A278" s="29">
        <v>44382</v>
      </c>
      <c r="B278" s="31">
        <v>1.141</v>
      </c>
      <c r="C278" s="31">
        <v>1.175</v>
      </c>
      <c r="D278" s="31">
        <v>1.2090000000000001</v>
      </c>
      <c r="E278" s="31">
        <v>1.4610000000000001</v>
      </c>
      <c r="F278" s="31">
        <v>1.532</v>
      </c>
      <c r="G278" s="31">
        <v>1.8</v>
      </c>
      <c r="H278" s="31" t="s">
        <v>85</v>
      </c>
      <c r="I278" s="31" t="s">
        <v>85</v>
      </c>
      <c r="K278" s="27"/>
      <c r="L278" s="30"/>
      <c r="M278" s="30"/>
      <c r="N278" s="30"/>
      <c r="O278" s="30"/>
      <c r="P278" s="30"/>
      <c r="Q278" s="30"/>
      <c r="R278" s="30"/>
      <c r="S278" s="30"/>
    </row>
    <row r="279" spans="1:19" x14ac:dyDescent="0.25">
      <c r="A279" s="29">
        <v>44383</v>
      </c>
      <c r="B279" s="31">
        <v>1.1160000000000001</v>
      </c>
      <c r="C279" s="31">
        <v>1.147</v>
      </c>
      <c r="D279" s="31">
        <v>1.177</v>
      </c>
      <c r="E279" s="31">
        <v>1.4430000000000001</v>
      </c>
      <c r="F279" s="31">
        <v>1.5229999999999999</v>
      </c>
      <c r="G279" s="31">
        <v>1.8</v>
      </c>
      <c r="H279" s="31" t="s">
        <v>85</v>
      </c>
      <c r="I279" s="31" t="s">
        <v>85</v>
      </c>
      <c r="K279" s="27"/>
      <c r="L279" s="30"/>
      <c r="M279" s="30"/>
      <c r="N279" s="30"/>
      <c r="O279" s="30"/>
      <c r="P279" s="30"/>
      <c r="Q279" s="30"/>
      <c r="R279" s="30"/>
      <c r="S279" s="30"/>
    </row>
    <row r="280" spans="1:19" x14ac:dyDescent="0.25">
      <c r="A280" s="29">
        <v>44384</v>
      </c>
      <c r="B280" s="31">
        <v>1.0820000000000001</v>
      </c>
      <c r="C280" s="31">
        <v>1.1140000000000001</v>
      </c>
      <c r="D280" s="31">
        <v>1.145</v>
      </c>
      <c r="E280" s="31">
        <v>1.425</v>
      </c>
      <c r="F280" s="31">
        <v>1.5229999999999999</v>
      </c>
      <c r="G280" s="31">
        <v>1.7909999999999999</v>
      </c>
      <c r="H280" s="31" t="s">
        <v>85</v>
      </c>
      <c r="I280" s="31" t="s">
        <v>85</v>
      </c>
      <c r="K280" s="27"/>
      <c r="L280" s="30"/>
      <c r="M280" s="30"/>
      <c r="N280" s="30"/>
      <c r="O280" s="30"/>
      <c r="P280" s="30"/>
      <c r="Q280" s="30"/>
      <c r="R280" s="30"/>
      <c r="S280" s="30"/>
    </row>
    <row r="281" spans="1:19" x14ac:dyDescent="0.25">
      <c r="A281" s="29">
        <v>44385</v>
      </c>
      <c r="B281" s="31">
        <v>1.077</v>
      </c>
      <c r="C281" s="31">
        <v>1.109</v>
      </c>
      <c r="D281" s="31">
        <v>1.141</v>
      </c>
      <c r="E281" s="31">
        <v>1.42</v>
      </c>
      <c r="F281" s="31">
        <v>1.5229999999999999</v>
      </c>
      <c r="G281" s="31">
        <v>1.7729999999999999</v>
      </c>
      <c r="H281" s="31" t="s">
        <v>85</v>
      </c>
      <c r="I281" s="31" t="s">
        <v>85</v>
      </c>
      <c r="K281" s="27"/>
      <c r="L281" s="30"/>
      <c r="M281" s="30"/>
      <c r="N281" s="30"/>
      <c r="O281" s="30"/>
      <c r="P281" s="30"/>
      <c r="Q281" s="30"/>
      <c r="R281" s="30"/>
      <c r="S281" s="30"/>
    </row>
    <row r="282" spans="1:19" x14ac:dyDescent="0.25">
      <c r="A282" s="29">
        <v>44386</v>
      </c>
      <c r="B282" s="31">
        <v>1.0609999999999999</v>
      </c>
      <c r="C282" s="31">
        <v>1.0920000000000001</v>
      </c>
      <c r="D282" s="31">
        <v>1.123</v>
      </c>
      <c r="E282" s="31">
        <v>1.4159999999999999</v>
      </c>
      <c r="F282" s="31">
        <v>1.5229999999999999</v>
      </c>
      <c r="G282" s="31">
        <v>1.736</v>
      </c>
      <c r="H282" s="31" t="s">
        <v>85</v>
      </c>
      <c r="I282" s="31" t="s">
        <v>85</v>
      </c>
      <c r="K282" s="27"/>
      <c r="L282" s="30"/>
      <c r="M282" s="30"/>
      <c r="N282" s="30"/>
      <c r="O282" s="30"/>
      <c r="P282" s="30"/>
      <c r="Q282" s="30"/>
      <c r="R282" s="30"/>
      <c r="S282" s="30"/>
    </row>
    <row r="283" spans="1:19" x14ac:dyDescent="0.25">
      <c r="A283" s="29">
        <v>44389</v>
      </c>
      <c r="B283" s="31">
        <v>1.0569999999999999</v>
      </c>
      <c r="C283" s="31">
        <v>1.097</v>
      </c>
      <c r="D283" s="31">
        <v>1.1359999999999999</v>
      </c>
      <c r="E283" s="31">
        <v>1.4159999999999999</v>
      </c>
      <c r="F283" s="31">
        <v>1.5229999999999999</v>
      </c>
      <c r="G283" s="31">
        <v>1.736</v>
      </c>
      <c r="H283" s="31" t="s">
        <v>85</v>
      </c>
      <c r="I283" s="31" t="s">
        <v>85</v>
      </c>
      <c r="K283" s="27"/>
      <c r="L283" s="30"/>
      <c r="M283" s="30"/>
      <c r="N283" s="30"/>
      <c r="O283" s="30"/>
      <c r="P283" s="30"/>
      <c r="Q283" s="30"/>
      <c r="R283" s="30"/>
      <c r="S283" s="30"/>
    </row>
    <row r="284" spans="1:19" x14ac:dyDescent="0.25">
      <c r="A284" s="29">
        <v>44390</v>
      </c>
      <c r="B284" s="31">
        <v>1.0569999999999999</v>
      </c>
      <c r="C284" s="31">
        <v>1.0940000000000001</v>
      </c>
      <c r="D284" s="31">
        <v>1.1319999999999999</v>
      </c>
      <c r="E284" s="31">
        <v>1.4159999999999999</v>
      </c>
      <c r="F284" s="31">
        <v>1.5229999999999999</v>
      </c>
      <c r="G284" s="31">
        <v>1.736</v>
      </c>
      <c r="H284" s="31" t="s">
        <v>85</v>
      </c>
      <c r="I284" s="31" t="s">
        <v>85</v>
      </c>
      <c r="K284" s="27"/>
      <c r="L284" s="30"/>
      <c r="M284" s="30"/>
      <c r="N284" s="30"/>
      <c r="O284" s="30"/>
      <c r="P284" s="30"/>
      <c r="Q284" s="30"/>
      <c r="R284" s="30"/>
      <c r="S284" s="30"/>
    </row>
    <row r="285" spans="1:19" x14ac:dyDescent="0.25">
      <c r="A285" s="29">
        <v>44391</v>
      </c>
      <c r="B285" s="31">
        <v>1.0569999999999999</v>
      </c>
      <c r="C285" s="31">
        <v>1.097</v>
      </c>
      <c r="D285" s="31">
        <v>1.1359999999999999</v>
      </c>
      <c r="E285" s="31">
        <v>1.4159999999999999</v>
      </c>
      <c r="F285" s="31">
        <v>1.5229999999999999</v>
      </c>
      <c r="G285" s="31">
        <v>1.736</v>
      </c>
      <c r="H285" s="31" t="s">
        <v>85</v>
      </c>
      <c r="I285" s="31" t="s">
        <v>85</v>
      </c>
      <c r="K285" s="27"/>
      <c r="L285" s="30"/>
      <c r="M285" s="30"/>
      <c r="N285" s="30"/>
      <c r="O285" s="30"/>
      <c r="P285" s="30"/>
      <c r="Q285" s="30"/>
      <c r="R285" s="30"/>
      <c r="S285" s="30"/>
    </row>
    <row r="286" spans="1:19" x14ac:dyDescent="0.25">
      <c r="A286" s="29">
        <v>44392</v>
      </c>
      <c r="B286" s="31">
        <v>1.052</v>
      </c>
      <c r="C286" s="31">
        <v>1.093</v>
      </c>
      <c r="D286" s="31">
        <v>1.1339999999999999</v>
      </c>
      <c r="E286" s="31">
        <v>1.407</v>
      </c>
      <c r="F286" s="31">
        <v>1.5229999999999999</v>
      </c>
      <c r="G286" s="31">
        <v>1.736</v>
      </c>
      <c r="H286" s="31" t="s">
        <v>85</v>
      </c>
      <c r="I286" s="31" t="s">
        <v>85</v>
      </c>
      <c r="K286" s="27"/>
      <c r="L286" s="30"/>
      <c r="M286" s="30"/>
      <c r="N286" s="30"/>
      <c r="O286" s="30"/>
      <c r="P286" s="30"/>
      <c r="Q286" s="30"/>
      <c r="R286" s="30"/>
      <c r="S286" s="30"/>
    </row>
    <row r="287" spans="1:19" x14ac:dyDescent="0.25">
      <c r="A287" s="29">
        <v>44393</v>
      </c>
      <c r="B287" s="31">
        <v>1.0589999999999999</v>
      </c>
      <c r="C287" s="31">
        <v>1.1000000000000001</v>
      </c>
      <c r="D287" s="31">
        <v>1.141</v>
      </c>
      <c r="E287" s="31">
        <v>1.411</v>
      </c>
      <c r="F287" s="31">
        <v>1.5229999999999999</v>
      </c>
      <c r="G287" s="31">
        <v>1.736</v>
      </c>
      <c r="H287" s="31" t="s">
        <v>85</v>
      </c>
      <c r="I287" s="31" t="s">
        <v>85</v>
      </c>
      <c r="K287" s="27"/>
      <c r="L287" s="30"/>
      <c r="M287" s="30"/>
      <c r="N287" s="30"/>
      <c r="O287" s="30"/>
      <c r="P287" s="30"/>
      <c r="Q287" s="30"/>
      <c r="R287" s="30"/>
      <c r="S287" s="30"/>
    </row>
    <row r="288" spans="1:19" x14ac:dyDescent="0.25">
      <c r="A288" s="29">
        <v>44396</v>
      </c>
      <c r="B288" s="31">
        <v>1.145</v>
      </c>
      <c r="C288" s="31">
        <v>1.161</v>
      </c>
      <c r="D288" s="31">
        <v>1.1769999999999998</v>
      </c>
      <c r="E288" s="31">
        <v>1.4120000000000001</v>
      </c>
      <c r="F288" s="31">
        <v>1.5230000000000001</v>
      </c>
      <c r="G288" s="31">
        <v>1.736</v>
      </c>
      <c r="H288" s="31" t="s">
        <v>85</v>
      </c>
      <c r="I288" s="31" t="s">
        <v>85</v>
      </c>
      <c r="K288" s="27"/>
      <c r="L288" s="30"/>
      <c r="M288" s="30"/>
      <c r="N288" s="30"/>
      <c r="O288" s="30"/>
      <c r="P288" s="30"/>
      <c r="Q288" s="30"/>
      <c r="R288" s="30"/>
      <c r="S288" s="30"/>
    </row>
    <row r="289" spans="1:19" x14ac:dyDescent="0.25">
      <c r="A289" s="29">
        <v>44397</v>
      </c>
      <c r="B289" s="31">
        <v>1.1950000000000001</v>
      </c>
      <c r="C289" s="31">
        <v>1.2110000000000001</v>
      </c>
      <c r="D289" s="31">
        <v>1.2270000000000001</v>
      </c>
      <c r="E289" s="31">
        <v>1.43</v>
      </c>
      <c r="F289" s="31">
        <v>1.5229999999999999</v>
      </c>
      <c r="G289" s="31">
        <v>1.736</v>
      </c>
      <c r="H289" s="31" t="s">
        <v>85</v>
      </c>
      <c r="I289" s="31" t="s">
        <v>85</v>
      </c>
      <c r="K289" s="27"/>
      <c r="L289" s="30"/>
      <c r="M289" s="30"/>
      <c r="N289" s="30"/>
      <c r="O289" s="30"/>
      <c r="P289" s="30"/>
      <c r="Q289" s="30"/>
      <c r="R289" s="30"/>
      <c r="S289" s="30"/>
    </row>
    <row r="290" spans="1:19" x14ac:dyDescent="0.25">
      <c r="A290" s="29">
        <v>44398</v>
      </c>
      <c r="B290" s="31">
        <v>1.1910000000000001</v>
      </c>
      <c r="C290" s="31">
        <v>1.22</v>
      </c>
      <c r="D290" s="31">
        <v>1.25</v>
      </c>
      <c r="E290" s="31">
        <v>1.4339999999999999</v>
      </c>
      <c r="F290" s="31">
        <v>1.5229999999999999</v>
      </c>
      <c r="G290" s="31">
        <v>1.736</v>
      </c>
      <c r="H290" s="31" t="s">
        <v>85</v>
      </c>
      <c r="I290" s="31" t="s">
        <v>85</v>
      </c>
      <c r="K290" s="27"/>
      <c r="L290" s="30"/>
      <c r="M290" s="30"/>
      <c r="N290" s="30"/>
      <c r="O290" s="30"/>
      <c r="P290" s="30"/>
      <c r="Q290" s="30"/>
      <c r="R290" s="30"/>
      <c r="S290" s="30"/>
    </row>
    <row r="291" spans="1:19" x14ac:dyDescent="0.25">
      <c r="A291" s="29">
        <v>44399</v>
      </c>
      <c r="B291" s="31">
        <v>1.234</v>
      </c>
      <c r="C291" s="31">
        <v>1.24</v>
      </c>
      <c r="D291" s="31">
        <v>1.2449999999999999</v>
      </c>
      <c r="E291" s="31">
        <v>1.4339999999999999</v>
      </c>
      <c r="F291" s="31">
        <v>1.5230000000000001</v>
      </c>
      <c r="G291" s="31">
        <v>1.736</v>
      </c>
      <c r="H291" s="31" t="s">
        <v>85</v>
      </c>
      <c r="I291" s="31" t="s">
        <v>85</v>
      </c>
      <c r="K291" s="27"/>
      <c r="L291" s="30"/>
      <c r="M291" s="30"/>
      <c r="N291" s="30"/>
      <c r="O291" s="30"/>
      <c r="P291" s="30"/>
      <c r="Q291" s="30"/>
      <c r="R291" s="30"/>
      <c r="S291" s="30"/>
    </row>
    <row r="292" spans="1:19" x14ac:dyDescent="0.25">
      <c r="A292" s="29">
        <v>44400</v>
      </c>
      <c r="B292" s="31">
        <v>1.25</v>
      </c>
      <c r="C292" s="31">
        <v>1.252</v>
      </c>
      <c r="D292" s="31">
        <v>1.2550000000000001</v>
      </c>
      <c r="E292" s="31">
        <v>1.4430000000000001</v>
      </c>
      <c r="F292" s="31">
        <v>1.532</v>
      </c>
      <c r="G292" s="31">
        <v>1.7450000000000001</v>
      </c>
      <c r="H292" s="31" t="s">
        <v>85</v>
      </c>
      <c r="I292" s="31" t="s">
        <v>85</v>
      </c>
      <c r="K292" s="27"/>
      <c r="L292" s="30"/>
      <c r="M292" s="30"/>
      <c r="N292" s="30"/>
      <c r="O292" s="30"/>
      <c r="P292" s="30"/>
      <c r="Q292" s="30"/>
      <c r="R292" s="30"/>
      <c r="S292" s="30"/>
    </row>
    <row r="293" spans="1:19" x14ac:dyDescent="0.25">
      <c r="A293" s="29">
        <v>44403</v>
      </c>
      <c r="B293" s="31">
        <v>1.2609999999999999</v>
      </c>
      <c r="C293" s="31">
        <v>1.266</v>
      </c>
      <c r="D293" s="31">
        <v>1.27</v>
      </c>
      <c r="E293" s="31">
        <v>1.4430000000000001</v>
      </c>
      <c r="F293" s="31">
        <v>1.5409999999999999</v>
      </c>
      <c r="G293" s="31">
        <v>1.7549999999999999</v>
      </c>
      <c r="H293" s="31" t="s">
        <v>85</v>
      </c>
      <c r="I293" s="31" t="s">
        <v>85</v>
      </c>
      <c r="K293" s="27"/>
      <c r="L293" s="30"/>
      <c r="M293" s="30"/>
      <c r="N293" s="30"/>
      <c r="O293" s="30"/>
      <c r="P293" s="30"/>
      <c r="Q293" s="30"/>
      <c r="R293" s="30"/>
      <c r="S293" s="30"/>
    </row>
    <row r="294" spans="1:19" x14ac:dyDescent="0.25">
      <c r="A294" s="29">
        <v>44404</v>
      </c>
      <c r="B294" s="31">
        <v>1.2929999999999999</v>
      </c>
      <c r="C294" s="31">
        <v>1.2949999999999999</v>
      </c>
      <c r="D294" s="31">
        <v>1.298</v>
      </c>
      <c r="E294" s="31">
        <v>1.4430000000000001</v>
      </c>
      <c r="F294" s="31">
        <v>1.5409999999999999</v>
      </c>
      <c r="G294" s="31">
        <v>1.7549999999999999</v>
      </c>
      <c r="H294" s="31" t="s">
        <v>85</v>
      </c>
      <c r="I294" s="31" t="s">
        <v>85</v>
      </c>
      <c r="K294" s="27"/>
      <c r="L294" s="30"/>
      <c r="M294" s="30"/>
      <c r="N294" s="30"/>
      <c r="O294" s="30"/>
      <c r="P294" s="30"/>
      <c r="Q294" s="30"/>
      <c r="R294" s="30"/>
      <c r="S294" s="30"/>
    </row>
    <row r="295" spans="1:19" x14ac:dyDescent="0.25">
      <c r="A295" s="29">
        <v>44405</v>
      </c>
      <c r="B295" s="31">
        <v>1.284</v>
      </c>
      <c r="C295" s="31">
        <v>1.2929999999999999</v>
      </c>
      <c r="D295" s="31">
        <v>1.302</v>
      </c>
      <c r="E295" s="31">
        <v>1.4430000000000001</v>
      </c>
      <c r="F295" s="31">
        <v>1.5409999999999999</v>
      </c>
      <c r="G295" s="31">
        <v>1.7549999999999999</v>
      </c>
      <c r="H295" s="31" t="s">
        <v>85</v>
      </c>
      <c r="I295" s="31" t="s">
        <v>85</v>
      </c>
      <c r="K295" s="27"/>
      <c r="L295" s="30"/>
      <c r="M295" s="30"/>
      <c r="N295" s="30"/>
      <c r="O295" s="30"/>
      <c r="P295" s="30"/>
      <c r="Q295" s="30"/>
      <c r="R295" s="30"/>
      <c r="S295" s="30"/>
    </row>
    <row r="296" spans="1:19" x14ac:dyDescent="0.25">
      <c r="A296" s="29">
        <v>44406</v>
      </c>
      <c r="B296" s="31">
        <v>1.27</v>
      </c>
      <c r="C296" s="31">
        <v>1.284</v>
      </c>
      <c r="D296" s="31">
        <v>1.298</v>
      </c>
      <c r="E296" s="31">
        <v>1.4430000000000001</v>
      </c>
      <c r="F296" s="31">
        <v>1.5409999999999999</v>
      </c>
      <c r="G296" s="31">
        <v>1.7549999999999999</v>
      </c>
      <c r="H296" s="31" t="s">
        <v>85</v>
      </c>
      <c r="I296" s="31" t="s">
        <v>85</v>
      </c>
      <c r="K296" s="27"/>
      <c r="L296" s="30"/>
      <c r="M296" s="30"/>
      <c r="N296" s="30"/>
      <c r="O296" s="30"/>
      <c r="P296" s="30"/>
      <c r="Q296" s="30"/>
      <c r="R296" s="30"/>
      <c r="S296" s="30"/>
    </row>
    <row r="297" spans="1:19" x14ac:dyDescent="0.25">
      <c r="A297" s="29">
        <v>44407</v>
      </c>
      <c r="B297" s="31">
        <v>1.2609999999999999</v>
      </c>
      <c r="C297" s="31">
        <v>1.28</v>
      </c>
      <c r="D297" s="31">
        <v>1.298</v>
      </c>
      <c r="E297" s="31">
        <v>1.4430000000000001</v>
      </c>
      <c r="F297" s="31">
        <v>1.5409999999999999</v>
      </c>
      <c r="G297" s="31">
        <v>1.7549999999999999</v>
      </c>
      <c r="H297" s="31" t="s">
        <v>85</v>
      </c>
      <c r="I297" s="31" t="s">
        <v>85</v>
      </c>
      <c r="K297" s="27"/>
      <c r="L297" s="30"/>
      <c r="M297" s="30"/>
      <c r="N297" s="30"/>
      <c r="O297" s="30"/>
      <c r="P297" s="30"/>
      <c r="Q297" s="30"/>
      <c r="R297" s="30"/>
      <c r="S297" s="30"/>
    </row>
    <row r="298" spans="1:19" x14ac:dyDescent="0.25">
      <c r="A298" s="29">
        <v>44410</v>
      </c>
      <c r="B298" s="31">
        <v>1.252</v>
      </c>
      <c r="C298" s="31">
        <v>1.2749999999999999</v>
      </c>
      <c r="D298" s="31">
        <v>1.298</v>
      </c>
      <c r="E298" s="31">
        <v>1.448</v>
      </c>
      <c r="F298" s="31">
        <v>1.532</v>
      </c>
      <c r="G298" s="31">
        <v>1.7450000000000001</v>
      </c>
      <c r="H298" s="31" t="s">
        <v>85</v>
      </c>
      <c r="I298" s="31" t="s">
        <v>85</v>
      </c>
      <c r="K298" s="27"/>
      <c r="L298" s="30"/>
      <c r="M298" s="30"/>
      <c r="N298" s="30"/>
      <c r="O298" s="30"/>
      <c r="P298" s="30"/>
      <c r="Q298" s="30"/>
      <c r="R298" s="30"/>
      <c r="S298" s="30"/>
    </row>
    <row r="299" spans="1:19" x14ac:dyDescent="0.25">
      <c r="A299" s="29">
        <v>44411</v>
      </c>
      <c r="B299" s="31">
        <v>1.214</v>
      </c>
      <c r="C299" s="31">
        <v>1.238</v>
      </c>
      <c r="D299" s="31">
        <v>1.2609999999999999</v>
      </c>
      <c r="E299" s="31">
        <v>1.448</v>
      </c>
      <c r="F299" s="31">
        <v>1.532</v>
      </c>
      <c r="G299" s="31">
        <v>1.7450000000000001</v>
      </c>
      <c r="H299" s="31" t="s">
        <v>85</v>
      </c>
      <c r="I299" s="31" t="s">
        <v>85</v>
      </c>
      <c r="K299" s="27"/>
      <c r="L299" s="30"/>
      <c r="M299" s="30"/>
      <c r="N299" s="30"/>
      <c r="O299" s="30"/>
      <c r="P299" s="30"/>
      <c r="Q299" s="30"/>
      <c r="R299" s="30"/>
      <c r="S299" s="30"/>
    </row>
    <row r="300" spans="1:19" x14ac:dyDescent="0.25">
      <c r="A300" s="29">
        <v>44412</v>
      </c>
      <c r="B300" s="31">
        <v>1.1930000000000001</v>
      </c>
      <c r="C300" s="31">
        <v>1.2230000000000001</v>
      </c>
      <c r="D300" s="31">
        <v>1.252</v>
      </c>
      <c r="E300" s="31">
        <v>1.448</v>
      </c>
      <c r="F300" s="31">
        <v>1.532</v>
      </c>
      <c r="G300" s="31">
        <v>1.7450000000000001</v>
      </c>
      <c r="H300" s="31" t="s">
        <v>85</v>
      </c>
      <c r="I300" s="31" t="s">
        <v>85</v>
      </c>
      <c r="K300" s="27"/>
      <c r="L300" s="30"/>
      <c r="M300" s="30"/>
      <c r="N300" s="30"/>
      <c r="O300" s="30"/>
      <c r="P300" s="30"/>
      <c r="Q300" s="30"/>
      <c r="R300" s="30"/>
      <c r="S300" s="30"/>
    </row>
    <row r="301" spans="1:19" x14ac:dyDescent="0.25">
      <c r="A301" s="29">
        <v>44413</v>
      </c>
      <c r="B301" s="31">
        <v>1.17</v>
      </c>
      <c r="C301" s="31">
        <v>1.206</v>
      </c>
      <c r="D301" s="31">
        <v>1.2410000000000001</v>
      </c>
      <c r="E301" s="31">
        <v>1.43</v>
      </c>
      <c r="F301" s="31">
        <v>1.514</v>
      </c>
      <c r="G301" s="31">
        <v>1.736</v>
      </c>
      <c r="H301" s="31" t="s">
        <v>85</v>
      </c>
      <c r="I301" s="31" t="s">
        <v>85</v>
      </c>
      <c r="K301" s="27"/>
      <c r="L301" s="30"/>
      <c r="M301" s="30"/>
      <c r="N301" s="30"/>
      <c r="O301" s="30"/>
      <c r="P301" s="30"/>
      <c r="Q301" s="30"/>
      <c r="R301" s="30"/>
      <c r="S301" s="30"/>
    </row>
    <row r="302" spans="1:19" x14ac:dyDescent="0.25">
      <c r="A302" s="29">
        <v>44414</v>
      </c>
      <c r="B302" s="31">
        <v>1.1180000000000001</v>
      </c>
      <c r="C302" s="31">
        <v>1.157</v>
      </c>
      <c r="D302" s="31">
        <v>1.1950000000000001</v>
      </c>
      <c r="E302" s="31">
        <v>1.4319999999999999</v>
      </c>
      <c r="F302" s="31">
        <v>1.514</v>
      </c>
      <c r="G302" s="31">
        <v>1.736</v>
      </c>
      <c r="H302" s="31" t="s">
        <v>85</v>
      </c>
      <c r="I302" s="31" t="s">
        <v>85</v>
      </c>
      <c r="K302" s="27"/>
      <c r="L302" s="30"/>
      <c r="M302" s="30"/>
      <c r="N302" s="30"/>
      <c r="O302" s="30"/>
      <c r="P302" s="30"/>
      <c r="Q302" s="30"/>
      <c r="R302" s="30"/>
      <c r="S302" s="30"/>
    </row>
    <row r="303" spans="1:19" x14ac:dyDescent="0.25">
      <c r="A303" s="29">
        <v>44417</v>
      </c>
      <c r="B303" s="31">
        <v>1.0860000000000001</v>
      </c>
      <c r="C303" s="31">
        <v>1.1200000000000001</v>
      </c>
      <c r="D303" s="31">
        <v>1.155</v>
      </c>
      <c r="E303" s="31">
        <v>1.43</v>
      </c>
      <c r="F303" s="31">
        <v>1.514</v>
      </c>
      <c r="G303" s="31">
        <v>1.7090000000000001</v>
      </c>
      <c r="H303" s="31" t="s">
        <v>85</v>
      </c>
      <c r="I303" s="31" t="s">
        <v>85</v>
      </c>
      <c r="K303" s="27"/>
      <c r="L303" s="30"/>
      <c r="M303" s="30"/>
      <c r="N303" s="30"/>
      <c r="O303" s="30"/>
      <c r="P303" s="30"/>
      <c r="Q303" s="30"/>
      <c r="R303" s="30"/>
      <c r="S303" s="30"/>
    </row>
    <row r="304" spans="1:19" x14ac:dyDescent="0.25">
      <c r="A304" s="29">
        <v>44418</v>
      </c>
      <c r="B304" s="31">
        <v>1.0409999999999999</v>
      </c>
      <c r="C304" s="31">
        <v>1.085</v>
      </c>
      <c r="D304" s="31">
        <v>1.1299999999999999</v>
      </c>
      <c r="E304" s="31">
        <v>1.43</v>
      </c>
      <c r="F304" s="31">
        <v>1.514</v>
      </c>
      <c r="G304" s="31">
        <v>1.7090000000000001</v>
      </c>
      <c r="H304" s="31" t="s">
        <v>85</v>
      </c>
      <c r="I304" s="31" t="s">
        <v>85</v>
      </c>
      <c r="K304" s="27"/>
      <c r="L304" s="30"/>
      <c r="M304" s="30"/>
      <c r="N304" s="30"/>
      <c r="O304" s="30"/>
      <c r="P304" s="30"/>
      <c r="Q304" s="30"/>
      <c r="R304" s="30"/>
      <c r="S304" s="30"/>
    </row>
    <row r="305" spans="1:19" x14ac:dyDescent="0.25">
      <c r="A305" s="29">
        <v>44419</v>
      </c>
      <c r="B305" s="31">
        <v>1.018</v>
      </c>
      <c r="C305" s="31">
        <v>1.069</v>
      </c>
      <c r="D305" s="31">
        <v>1.1200000000000001</v>
      </c>
      <c r="E305" s="31">
        <v>1.42</v>
      </c>
      <c r="F305" s="31">
        <v>1.5049999999999999</v>
      </c>
      <c r="G305" s="31">
        <v>1.7090000000000001</v>
      </c>
      <c r="H305" s="31" t="s">
        <v>85</v>
      </c>
      <c r="I305" s="31" t="s">
        <v>85</v>
      </c>
      <c r="K305" s="27"/>
      <c r="L305" s="30"/>
      <c r="M305" s="30"/>
      <c r="N305" s="30"/>
      <c r="O305" s="30"/>
      <c r="P305" s="30"/>
      <c r="Q305" s="30"/>
      <c r="R305" s="30"/>
      <c r="S305" s="30"/>
    </row>
    <row r="306" spans="1:19" x14ac:dyDescent="0.25">
      <c r="A306" s="29">
        <v>44420</v>
      </c>
      <c r="B306" s="31">
        <v>0.98899999999999999</v>
      </c>
      <c r="C306" s="31">
        <v>1.036</v>
      </c>
      <c r="D306" s="31">
        <v>1.0840000000000001</v>
      </c>
      <c r="E306" s="31">
        <v>1.42</v>
      </c>
      <c r="F306" s="31">
        <v>1.5049999999999999</v>
      </c>
      <c r="G306" s="31">
        <v>1.7090000000000001</v>
      </c>
      <c r="H306" s="31" t="s">
        <v>85</v>
      </c>
      <c r="I306" s="31" t="s">
        <v>85</v>
      </c>
      <c r="K306" s="27"/>
      <c r="L306" s="30"/>
      <c r="M306" s="30"/>
      <c r="N306" s="30"/>
      <c r="O306" s="30"/>
      <c r="P306" s="30"/>
      <c r="Q306" s="30"/>
      <c r="R306" s="30"/>
      <c r="S306" s="30"/>
    </row>
    <row r="307" spans="1:19" x14ac:dyDescent="0.25">
      <c r="A307" s="29">
        <v>44421</v>
      </c>
      <c r="B307" s="31">
        <v>0.96799999999999997</v>
      </c>
      <c r="C307" s="31">
        <v>1.0189999999999999</v>
      </c>
      <c r="D307" s="31">
        <v>1.07</v>
      </c>
      <c r="E307" s="31">
        <v>1.42</v>
      </c>
      <c r="F307" s="31">
        <v>1.4950000000000001</v>
      </c>
      <c r="G307" s="31">
        <v>1.7090000000000001</v>
      </c>
      <c r="H307" s="31" t="s">
        <v>85</v>
      </c>
      <c r="I307" s="31" t="s">
        <v>85</v>
      </c>
      <c r="K307" s="27"/>
      <c r="L307" s="30"/>
      <c r="M307" s="30"/>
      <c r="N307" s="30"/>
      <c r="O307" s="30"/>
      <c r="P307" s="30"/>
      <c r="Q307" s="30"/>
      <c r="R307" s="30"/>
      <c r="S307" s="30"/>
    </row>
    <row r="308" spans="1:19" x14ac:dyDescent="0.25">
      <c r="A308" s="29">
        <v>44424</v>
      </c>
      <c r="B308" s="31">
        <v>0.95499999999999996</v>
      </c>
      <c r="C308" s="31">
        <v>1.01</v>
      </c>
      <c r="D308" s="31">
        <v>1.0660000000000001</v>
      </c>
      <c r="E308" s="31">
        <v>1.42</v>
      </c>
      <c r="F308" s="31">
        <v>1.4950000000000001</v>
      </c>
      <c r="G308" s="31">
        <v>1.7090000000000001</v>
      </c>
      <c r="H308" s="31" t="s">
        <v>85</v>
      </c>
      <c r="I308" s="31" t="s">
        <v>85</v>
      </c>
      <c r="K308" s="27"/>
      <c r="L308" s="30"/>
      <c r="M308" s="30"/>
      <c r="N308" s="30"/>
      <c r="O308" s="30"/>
      <c r="P308" s="30"/>
      <c r="Q308" s="30"/>
      <c r="R308" s="30"/>
      <c r="S308" s="30"/>
    </row>
    <row r="309" spans="1:19" x14ac:dyDescent="0.25">
      <c r="A309" s="29">
        <v>44425</v>
      </c>
      <c r="B309" s="31">
        <v>0.95199999999999996</v>
      </c>
      <c r="C309" s="31">
        <v>1.0029999999999999</v>
      </c>
      <c r="D309" s="31">
        <v>1.0549999999999999</v>
      </c>
      <c r="E309" s="31">
        <v>1.411</v>
      </c>
      <c r="F309" s="31">
        <v>1.486</v>
      </c>
      <c r="G309" s="31">
        <v>1.7</v>
      </c>
      <c r="H309" s="31" t="s">
        <v>85</v>
      </c>
      <c r="I309" s="31" t="s">
        <v>85</v>
      </c>
      <c r="K309" s="27"/>
      <c r="L309" s="30"/>
      <c r="M309" s="30"/>
      <c r="N309" s="30"/>
      <c r="O309" s="30"/>
      <c r="P309" s="30"/>
      <c r="Q309" s="30"/>
      <c r="R309" s="30"/>
      <c r="S309" s="30"/>
    </row>
    <row r="310" spans="1:19" x14ac:dyDescent="0.25">
      <c r="A310" s="29">
        <v>44426</v>
      </c>
      <c r="B310" s="31">
        <v>0.94099999999999995</v>
      </c>
      <c r="C310" s="31">
        <v>0.98399999999999999</v>
      </c>
      <c r="D310" s="31">
        <v>1.0269999999999999</v>
      </c>
      <c r="E310" s="31">
        <v>1.411</v>
      </c>
      <c r="F310" s="31">
        <v>1.486</v>
      </c>
      <c r="G310" s="31">
        <v>1.7</v>
      </c>
      <c r="H310" s="31" t="s">
        <v>85</v>
      </c>
      <c r="I310" s="31" t="s">
        <v>85</v>
      </c>
      <c r="K310" s="27"/>
      <c r="L310" s="30"/>
      <c r="M310" s="30"/>
      <c r="N310" s="30"/>
      <c r="O310" s="30"/>
      <c r="P310" s="30"/>
      <c r="Q310" s="30"/>
      <c r="R310" s="30"/>
      <c r="S310" s="30"/>
    </row>
    <row r="311" spans="1:19" x14ac:dyDescent="0.25">
      <c r="A311" s="29">
        <v>44427</v>
      </c>
      <c r="B311" s="31">
        <v>0.91600000000000004</v>
      </c>
      <c r="C311" s="31">
        <v>0.96799999999999997</v>
      </c>
      <c r="D311" s="31">
        <v>1.02</v>
      </c>
      <c r="E311" s="31">
        <v>1.411</v>
      </c>
      <c r="F311" s="31">
        <v>1.486</v>
      </c>
      <c r="G311" s="31">
        <v>1.6910000000000001</v>
      </c>
      <c r="H311" s="31" t="s">
        <v>85</v>
      </c>
      <c r="I311" s="31" t="s">
        <v>85</v>
      </c>
      <c r="K311" s="27"/>
      <c r="L311" s="30"/>
      <c r="M311" s="30"/>
      <c r="N311" s="30"/>
      <c r="O311" s="30"/>
      <c r="P311" s="30"/>
      <c r="Q311" s="30"/>
      <c r="R311" s="30"/>
      <c r="S311" s="30"/>
    </row>
    <row r="312" spans="1:19" x14ac:dyDescent="0.25">
      <c r="A312" s="29">
        <v>44428</v>
      </c>
      <c r="B312" s="31">
        <v>0.873</v>
      </c>
      <c r="C312" s="31">
        <v>0.93300000000000005</v>
      </c>
      <c r="D312" s="31">
        <v>0.99299999999999999</v>
      </c>
      <c r="E312" s="31">
        <v>1.38</v>
      </c>
      <c r="F312" s="31">
        <v>1.4550000000000001</v>
      </c>
      <c r="G312" s="31">
        <v>1.675</v>
      </c>
      <c r="H312" s="31" t="s">
        <v>85</v>
      </c>
      <c r="I312" s="31" t="s">
        <v>85</v>
      </c>
      <c r="K312" s="27"/>
      <c r="L312" s="30"/>
      <c r="M312" s="30"/>
      <c r="N312" s="30"/>
      <c r="O312" s="30"/>
      <c r="P312" s="30"/>
      <c r="Q312" s="30"/>
      <c r="R312" s="30"/>
      <c r="S312" s="30"/>
    </row>
    <row r="313" spans="1:19" x14ac:dyDescent="0.25">
      <c r="A313" s="29">
        <v>44431</v>
      </c>
      <c r="B313" s="31">
        <v>0.83199999999999996</v>
      </c>
      <c r="C313" s="31">
        <v>0.89</v>
      </c>
      <c r="D313" s="31">
        <v>0.94799999999999995</v>
      </c>
      <c r="E313" s="31">
        <v>1.373</v>
      </c>
      <c r="F313" s="31">
        <v>1.4550000000000001</v>
      </c>
      <c r="G313" s="31">
        <v>1.675</v>
      </c>
      <c r="H313" s="31" t="s">
        <v>85</v>
      </c>
      <c r="I313" s="31" t="s">
        <v>85</v>
      </c>
      <c r="K313" s="27"/>
      <c r="L313" s="30"/>
      <c r="M313" s="30"/>
      <c r="N313" s="30"/>
      <c r="O313" s="30"/>
      <c r="P313" s="30"/>
      <c r="Q313" s="30"/>
      <c r="R313" s="30"/>
      <c r="S313" s="30"/>
    </row>
    <row r="314" spans="1:19" x14ac:dyDescent="0.25">
      <c r="A314" s="29">
        <v>44432</v>
      </c>
      <c r="B314" s="31">
        <v>0.81599999999999995</v>
      </c>
      <c r="C314" s="31">
        <v>0.876</v>
      </c>
      <c r="D314" s="31">
        <v>0.93600000000000005</v>
      </c>
      <c r="E314" s="31">
        <v>1.373</v>
      </c>
      <c r="F314" s="31">
        <v>1.4550000000000001</v>
      </c>
      <c r="G314" s="31">
        <v>1.675</v>
      </c>
      <c r="H314" s="31" t="s">
        <v>85</v>
      </c>
      <c r="I314" s="31" t="s">
        <v>85</v>
      </c>
      <c r="K314" s="27"/>
      <c r="L314" s="30"/>
      <c r="M314" s="30"/>
      <c r="N314" s="30"/>
      <c r="O314" s="30"/>
      <c r="P314" s="30"/>
      <c r="Q314" s="30"/>
      <c r="R314" s="30"/>
      <c r="S314" s="30"/>
    </row>
    <row r="315" spans="1:19" x14ac:dyDescent="0.25">
      <c r="A315" s="29">
        <v>44433</v>
      </c>
      <c r="B315" s="31">
        <v>0.82</v>
      </c>
      <c r="C315" s="31">
        <v>0.876</v>
      </c>
      <c r="D315" s="31">
        <v>0.93200000000000005</v>
      </c>
      <c r="E315" s="31">
        <v>1.373</v>
      </c>
      <c r="F315" s="31">
        <v>1.4550000000000001</v>
      </c>
      <c r="G315" s="31">
        <v>1.675</v>
      </c>
      <c r="H315" s="31" t="s">
        <v>85</v>
      </c>
      <c r="I315" s="31" t="s">
        <v>85</v>
      </c>
      <c r="K315" s="27"/>
      <c r="L315" s="30"/>
      <c r="M315" s="30"/>
      <c r="N315" s="30"/>
      <c r="O315" s="30"/>
      <c r="P315" s="30"/>
      <c r="Q315" s="30"/>
      <c r="R315" s="30"/>
      <c r="S315" s="30"/>
    </row>
    <row r="316" spans="1:19" x14ac:dyDescent="0.25">
      <c r="A316" s="29">
        <v>44434</v>
      </c>
      <c r="B316" s="31">
        <v>0.82</v>
      </c>
      <c r="C316" s="31">
        <v>0.874</v>
      </c>
      <c r="D316" s="31">
        <v>0.92700000000000005</v>
      </c>
      <c r="E316" s="31">
        <v>1.373</v>
      </c>
      <c r="F316" s="31">
        <v>1.4550000000000001</v>
      </c>
      <c r="G316" s="31">
        <v>1.675</v>
      </c>
      <c r="H316" s="31" t="s">
        <v>85</v>
      </c>
      <c r="I316" s="31" t="s">
        <v>85</v>
      </c>
      <c r="K316" s="27"/>
      <c r="L316" s="30"/>
      <c r="M316" s="30"/>
      <c r="N316" s="30"/>
      <c r="O316" s="30"/>
      <c r="P316" s="30"/>
      <c r="Q316" s="30"/>
      <c r="R316" s="30"/>
      <c r="S316" s="30"/>
    </row>
    <row r="317" spans="1:19" x14ac:dyDescent="0.25">
      <c r="A317" s="29">
        <v>44435</v>
      </c>
      <c r="B317" s="31">
        <v>0.82</v>
      </c>
      <c r="C317" s="31">
        <v>0.874</v>
      </c>
      <c r="D317" s="31">
        <v>0.92700000000000005</v>
      </c>
      <c r="E317" s="31">
        <v>1.373</v>
      </c>
      <c r="F317" s="31">
        <v>1.4550000000000001</v>
      </c>
      <c r="G317" s="31">
        <v>1.675</v>
      </c>
      <c r="H317" s="31" t="s">
        <v>85</v>
      </c>
      <c r="I317" s="31" t="s">
        <v>85</v>
      </c>
      <c r="K317" s="27"/>
      <c r="L317" s="30"/>
      <c r="M317" s="30"/>
      <c r="N317" s="30"/>
      <c r="O317" s="30"/>
      <c r="P317" s="30"/>
      <c r="Q317" s="30"/>
      <c r="R317" s="30"/>
      <c r="S317" s="30"/>
    </row>
    <row r="318" spans="1:19" x14ac:dyDescent="0.25">
      <c r="A318" s="29">
        <v>44438</v>
      </c>
      <c r="B318" s="31">
        <v>0.81100000000000005</v>
      </c>
      <c r="C318" s="31">
        <v>0.86899999999999999</v>
      </c>
      <c r="D318" s="31">
        <v>0.92700000000000005</v>
      </c>
      <c r="E318" s="31">
        <v>1.373</v>
      </c>
      <c r="F318" s="31">
        <v>1.4550000000000001</v>
      </c>
      <c r="G318" s="31">
        <v>1.675</v>
      </c>
      <c r="H318" s="31" t="s">
        <v>85</v>
      </c>
      <c r="I318" s="31" t="s">
        <v>85</v>
      </c>
      <c r="K318" s="27"/>
      <c r="L318" s="30"/>
      <c r="M318" s="30"/>
      <c r="N318" s="30"/>
      <c r="O318" s="30"/>
      <c r="P318" s="30"/>
      <c r="Q318" s="30"/>
      <c r="R318" s="30"/>
      <c r="S318" s="30"/>
    </row>
    <row r="319" spans="1:19" x14ac:dyDescent="0.25">
      <c r="A319" s="29">
        <v>44439</v>
      </c>
      <c r="B319" s="31">
        <v>0.81100000000000005</v>
      </c>
      <c r="C319" s="31">
        <v>0.86899999999999999</v>
      </c>
      <c r="D319" s="31">
        <v>0.92700000000000005</v>
      </c>
      <c r="E319" s="31">
        <v>1.373</v>
      </c>
      <c r="F319" s="31">
        <v>1.4550000000000001</v>
      </c>
      <c r="G319" s="31">
        <v>1.675</v>
      </c>
      <c r="H319" s="31" t="s">
        <v>85</v>
      </c>
      <c r="I319" s="31" t="s">
        <v>85</v>
      </c>
      <c r="K319" s="27"/>
      <c r="L319" s="30"/>
      <c r="M319" s="30"/>
      <c r="N319" s="30"/>
      <c r="O319" s="30"/>
      <c r="P319" s="30"/>
      <c r="Q319" s="30"/>
      <c r="R319" s="30"/>
      <c r="S319" s="30"/>
    </row>
    <row r="320" spans="1:19" x14ac:dyDescent="0.25">
      <c r="A320" s="29">
        <v>44440</v>
      </c>
      <c r="B320" s="31">
        <v>0.82699999999999996</v>
      </c>
      <c r="C320" s="31">
        <v>0.876</v>
      </c>
      <c r="D320" s="31">
        <v>0.92500000000000004</v>
      </c>
      <c r="E320" s="31">
        <v>1.373</v>
      </c>
      <c r="F320" s="31">
        <v>1.4550000000000001</v>
      </c>
      <c r="G320" s="31">
        <v>1.675</v>
      </c>
      <c r="H320" s="31" t="s">
        <v>85</v>
      </c>
      <c r="I320" s="31" t="s">
        <v>85</v>
      </c>
      <c r="K320" s="27"/>
      <c r="L320" s="30"/>
      <c r="M320" s="30"/>
      <c r="N320" s="30"/>
      <c r="O320" s="30"/>
      <c r="P320" s="30"/>
      <c r="Q320" s="30"/>
      <c r="R320" s="30"/>
      <c r="S320" s="30"/>
    </row>
    <row r="321" spans="1:19" x14ac:dyDescent="0.25">
      <c r="A321" s="29">
        <v>44445</v>
      </c>
      <c r="B321" s="31">
        <v>0.82699999999999996</v>
      </c>
      <c r="C321" s="31">
        <v>0.875</v>
      </c>
      <c r="D321" s="31">
        <v>0.92300000000000004</v>
      </c>
      <c r="E321" s="31">
        <v>1.373</v>
      </c>
      <c r="F321" s="31">
        <v>1.4550000000000001</v>
      </c>
      <c r="G321" s="31">
        <v>1.675</v>
      </c>
      <c r="H321" s="31" t="s">
        <v>85</v>
      </c>
      <c r="I321" s="31" t="s">
        <v>85</v>
      </c>
      <c r="K321" s="27"/>
      <c r="L321" s="30"/>
      <c r="M321" s="30"/>
      <c r="N321" s="30"/>
      <c r="O321" s="30"/>
      <c r="P321" s="30"/>
      <c r="Q321" s="30"/>
      <c r="R321" s="30"/>
      <c r="S321" s="30"/>
    </row>
    <row r="322" spans="1:19" x14ac:dyDescent="0.25">
      <c r="A322" s="29">
        <v>44446</v>
      </c>
      <c r="B322" s="31">
        <v>0.80700000000000005</v>
      </c>
      <c r="C322" s="31">
        <v>0.86</v>
      </c>
      <c r="D322" s="31">
        <v>0.91400000000000003</v>
      </c>
      <c r="E322" s="31">
        <v>1.373</v>
      </c>
      <c r="F322" s="31">
        <v>1.4550000000000001</v>
      </c>
      <c r="G322" s="31">
        <v>1.675</v>
      </c>
      <c r="H322" s="31" t="s">
        <v>85</v>
      </c>
      <c r="I322" s="31" t="s">
        <v>85</v>
      </c>
      <c r="K322" s="27"/>
      <c r="L322" s="30"/>
      <c r="M322" s="30"/>
      <c r="N322" s="30"/>
      <c r="O322" s="30"/>
      <c r="P322" s="30"/>
      <c r="Q322" s="30"/>
      <c r="R322" s="30"/>
      <c r="S322" s="30"/>
    </row>
    <row r="323" spans="1:19" x14ac:dyDescent="0.25">
      <c r="A323" s="29">
        <v>44447</v>
      </c>
      <c r="B323" s="31">
        <v>0.80900000000000005</v>
      </c>
      <c r="C323" s="31">
        <v>0.86499999999999999</v>
      </c>
      <c r="D323" s="31">
        <v>0.92</v>
      </c>
      <c r="E323" s="31">
        <v>1.373</v>
      </c>
      <c r="F323" s="31">
        <v>1.4550000000000001</v>
      </c>
      <c r="G323" s="31">
        <v>1.675</v>
      </c>
      <c r="H323" s="31" t="s">
        <v>85</v>
      </c>
      <c r="I323" s="31" t="s">
        <v>85</v>
      </c>
      <c r="K323" s="27"/>
      <c r="L323" s="30"/>
      <c r="M323" s="30"/>
      <c r="N323" s="30"/>
      <c r="O323" s="30"/>
      <c r="P323" s="30"/>
      <c r="Q323" s="30"/>
      <c r="R323" s="30"/>
      <c r="S323" s="30"/>
    </row>
    <row r="324" spans="1:19" x14ac:dyDescent="0.25">
      <c r="A324" s="29">
        <v>44448</v>
      </c>
      <c r="B324" s="31">
        <v>0.80500000000000005</v>
      </c>
      <c r="C324" s="31">
        <v>0.86299999999999999</v>
      </c>
      <c r="D324" s="31">
        <v>0.92</v>
      </c>
      <c r="E324" s="31">
        <v>1.3640000000000001</v>
      </c>
      <c r="F324" s="31">
        <v>1.4450000000000001</v>
      </c>
      <c r="G324" s="31">
        <v>1.675</v>
      </c>
      <c r="H324" s="31" t="s">
        <v>85</v>
      </c>
      <c r="I324" s="31" t="s">
        <v>85</v>
      </c>
      <c r="K324" s="27"/>
      <c r="L324" s="30"/>
      <c r="M324" s="30"/>
      <c r="N324" s="30"/>
      <c r="O324" s="30"/>
      <c r="P324" s="30"/>
      <c r="Q324" s="30"/>
      <c r="R324" s="30"/>
      <c r="S324" s="30"/>
    </row>
    <row r="325" spans="1:19" x14ac:dyDescent="0.25">
      <c r="A325" s="29">
        <v>44449</v>
      </c>
      <c r="B325" s="31">
        <v>0.80900000000000005</v>
      </c>
      <c r="C325" s="31">
        <v>0.86299999999999999</v>
      </c>
      <c r="D325" s="31">
        <v>0.91600000000000004</v>
      </c>
      <c r="E325" s="31">
        <v>1.3640000000000001</v>
      </c>
      <c r="F325" s="31">
        <v>1.4450000000000001</v>
      </c>
      <c r="G325" s="31">
        <v>1.675</v>
      </c>
      <c r="H325" s="31" t="s">
        <v>85</v>
      </c>
      <c r="I325" s="31" t="s">
        <v>85</v>
      </c>
      <c r="K325" s="27"/>
      <c r="L325" s="30"/>
      <c r="M325" s="30"/>
      <c r="N325" s="30"/>
      <c r="O325" s="30"/>
      <c r="P325" s="30"/>
      <c r="Q325" s="30"/>
      <c r="R325" s="30"/>
      <c r="S325" s="30"/>
    </row>
    <row r="326" spans="1:19" x14ac:dyDescent="0.25">
      <c r="A326" s="29">
        <v>44452</v>
      </c>
      <c r="B326" s="31">
        <v>0.80500000000000005</v>
      </c>
      <c r="C326" s="31">
        <v>0.86</v>
      </c>
      <c r="D326" s="31">
        <v>0.91600000000000004</v>
      </c>
      <c r="E326" s="31">
        <v>1.3640000000000001</v>
      </c>
      <c r="F326" s="31">
        <v>1.4450000000000001</v>
      </c>
      <c r="G326" s="31">
        <v>1.675</v>
      </c>
      <c r="H326" s="31" t="s">
        <v>85</v>
      </c>
      <c r="I326" s="31" t="s">
        <v>85</v>
      </c>
      <c r="K326" s="27"/>
      <c r="L326" s="30"/>
      <c r="M326" s="30"/>
      <c r="N326" s="30"/>
      <c r="O326" s="30"/>
      <c r="P326" s="30"/>
      <c r="Q326" s="30"/>
      <c r="R326" s="30"/>
      <c r="S326" s="30"/>
    </row>
    <row r="327" spans="1:19" x14ac:dyDescent="0.25">
      <c r="A327" s="29">
        <v>44453</v>
      </c>
      <c r="B327" s="31">
        <v>0.8</v>
      </c>
      <c r="C327" s="31">
        <v>0.85799999999999998</v>
      </c>
      <c r="D327" s="31">
        <v>0.91600000000000004</v>
      </c>
      <c r="E327" s="31">
        <v>1.3640000000000001</v>
      </c>
      <c r="F327" s="31">
        <v>1.4450000000000001</v>
      </c>
      <c r="G327" s="31">
        <v>1.675</v>
      </c>
      <c r="H327" s="31" t="s">
        <v>85</v>
      </c>
      <c r="I327" s="31" t="s">
        <v>85</v>
      </c>
      <c r="K327" s="27"/>
      <c r="L327" s="30"/>
      <c r="M327" s="30"/>
      <c r="N327" s="30"/>
      <c r="O327" s="30"/>
      <c r="P327" s="30"/>
      <c r="Q327" s="30"/>
      <c r="R327" s="30"/>
      <c r="S327" s="30"/>
    </row>
    <row r="328" spans="1:19" x14ac:dyDescent="0.25">
      <c r="A328" s="29">
        <v>44454</v>
      </c>
      <c r="B328" s="31">
        <v>0.80500000000000005</v>
      </c>
      <c r="C328" s="31">
        <v>0.85799999999999998</v>
      </c>
      <c r="D328" s="31">
        <v>0.91100000000000003</v>
      </c>
      <c r="E328" s="31">
        <v>1.3640000000000001</v>
      </c>
      <c r="F328" s="31">
        <v>1.4450000000000001</v>
      </c>
      <c r="G328" s="31">
        <v>1.675</v>
      </c>
      <c r="H328" s="31" t="s">
        <v>85</v>
      </c>
      <c r="I328" s="31" t="s">
        <v>85</v>
      </c>
      <c r="K328" s="27"/>
      <c r="L328" s="30"/>
      <c r="M328" s="30"/>
      <c r="N328" s="30"/>
      <c r="O328" s="30"/>
      <c r="P328" s="30"/>
      <c r="Q328" s="30"/>
      <c r="R328" s="30"/>
      <c r="S328" s="30"/>
    </row>
    <row r="329" spans="1:19" x14ac:dyDescent="0.25">
      <c r="A329" s="29">
        <v>44455</v>
      </c>
      <c r="B329" s="31">
        <v>0.81399999999999995</v>
      </c>
      <c r="C329" s="31">
        <v>0.86499999999999999</v>
      </c>
      <c r="D329" s="31">
        <v>0.91600000000000004</v>
      </c>
      <c r="E329" s="31">
        <v>1.3640000000000001</v>
      </c>
      <c r="F329" s="31">
        <v>1.4450000000000001</v>
      </c>
      <c r="G329" s="31">
        <v>1.675</v>
      </c>
      <c r="H329" s="31" t="s">
        <v>85</v>
      </c>
      <c r="I329" s="31" t="s">
        <v>85</v>
      </c>
      <c r="K329" s="27"/>
      <c r="L329" s="30"/>
      <c r="M329" s="30"/>
      <c r="N329" s="30"/>
      <c r="O329" s="30"/>
      <c r="P329" s="30"/>
      <c r="Q329" s="30"/>
      <c r="R329" s="30"/>
      <c r="S329" s="30"/>
    </row>
    <row r="330" spans="1:19" x14ac:dyDescent="0.25">
      <c r="A330" s="29">
        <v>44456</v>
      </c>
      <c r="B330" s="31">
        <v>0.81399999999999995</v>
      </c>
      <c r="C330" s="31">
        <v>0.86499999999999999</v>
      </c>
      <c r="D330" s="31">
        <v>0.91600000000000004</v>
      </c>
      <c r="E330" s="31">
        <v>1.3640000000000001</v>
      </c>
      <c r="F330" s="31">
        <v>1.4450000000000001</v>
      </c>
      <c r="G330" s="31">
        <v>1.675</v>
      </c>
      <c r="H330" s="31" t="s">
        <v>85</v>
      </c>
      <c r="I330" s="31" t="s">
        <v>85</v>
      </c>
      <c r="K330" s="27"/>
      <c r="L330" s="30"/>
      <c r="M330" s="30"/>
      <c r="N330" s="30"/>
      <c r="O330" s="30"/>
      <c r="P330" s="30"/>
      <c r="Q330" s="30"/>
      <c r="R330" s="30"/>
      <c r="S330" s="30"/>
    </row>
    <row r="331" spans="1:19" x14ac:dyDescent="0.25">
      <c r="A331" s="29">
        <v>44459</v>
      </c>
      <c r="B331" s="31">
        <v>0.82</v>
      </c>
      <c r="C331" s="31">
        <v>0.86799999999999999</v>
      </c>
      <c r="D331" s="31">
        <v>0.91600000000000004</v>
      </c>
      <c r="E331" s="31">
        <v>1.3640000000000001</v>
      </c>
      <c r="F331" s="31">
        <v>1.4450000000000001</v>
      </c>
      <c r="G331" s="31">
        <v>1.675</v>
      </c>
      <c r="H331" s="31" t="s">
        <v>85</v>
      </c>
      <c r="I331" s="31" t="s">
        <v>85</v>
      </c>
      <c r="K331" s="27"/>
      <c r="L331" s="30"/>
      <c r="M331" s="30"/>
      <c r="N331" s="30"/>
      <c r="O331" s="30"/>
      <c r="P331" s="30"/>
      <c r="Q331" s="30"/>
      <c r="R331" s="30"/>
      <c r="S331" s="30"/>
    </row>
    <row r="332" spans="1:19" x14ac:dyDescent="0.25">
      <c r="A332" s="29">
        <v>44460</v>
      </c>
      <c r="B332" s="31">
        <v>0.83399999999999996</v>
      </c>
      <c r="C332" s="31">
        <v>0.876</v>
      </c>
      <c r="D332" s="31">
        <v>0.91800000000000004</v>
      </c>
      <c r="E332" s="31">
        <v>1.3640000000000001</v>
      </c>
      <c r="F332" s="31">
        <v>1.4450000000000001</v>
      </c>
      <c r="G332" s="31">
        <v>1.675</v>
      </c>
      <c r="H332" s="31" t="s">
        <v>85</v>
      </c>
      <c r="I332" s="31" t="s">
        <v>85</v>
      </c>
      <c r="K332" s="27"/>
      <c r="L332" s="30"/>
      <c r="M332" s="30"/>
      <c r="N332" s="30"/>
      <c r="O332" s="30"/>
      <c r="P332" s="30"/>
      <c r="Q332" s="30"/>
      <c r="R332" s="30"/>
      <c r="S332" s="30"/>
    </row>
    <row r="333" spans="1:19" x14ac:dyDescent="0.25">
      <c r="A333" s="29">
        <v>44461</v>
      </c>
      <c r="B333" s="31">
        <v>0.83199999999999996</v>
      </c>
      <c r="C333" s="31">
        <v>0.878</v>
      </c>
      <c r="D333" s="31">
        <v>0.92500000000000004</v>
      </c>
      <c r="E333" s="31">
        <v>1.3640000000000001</v>
      </c>
      <c r="F333" s="31">
        <v>1.4450000000000001</v>
      </c>
      <c r="G333" s="31">
        <v>1.675</v>
      </c>
      <c r="H333" s="31" t="s">
        <v>85</v>
      </c>
      <c r="I333" s="31" t="s">
        <v>85</v>
      </c>
      <c r="K333" s="27"/>
      <c r="L333" s="30"/>
      <c r="M333" s="30"/>
      <c r="N333" s="30"/>
      <c r="O333" s="30"/>
      <c r="P333" s="30"/>
      <c r="Q333" s="30"/>
      <c r="R333" s="30"/>
      <c r="S333" s="30"/>
    </row>
    <row r="334" spans="1:19" x14ac:dyDescent="0.25">
      <c r="A334" s="29">
        <v>44462</v>
      </c>
      <c r="B334" s="31">
        <v>0.83199999999999996</v>
      </c>
      <c r="C334" s="31">
        <v>0.88100000000000001</v>
      </c>
      <c r="D334" s="31">
        <v>0.93</v>
      </c>
      <c r="E334" s="31">
        <v>1.3640000000000001</v>
      </c>
      <c r="F334" s="31">
        <v>1.4450000000000001</v>
      </c>
      <c r="G334" s="31">
        <v>1.675</v>
      </c>
      <c r="H334" s="31" t="s">
        <v>85</v>
      </c>
      <c r="I334" s="31" t="s">
        <v>85</v>
      </c>
      <c r="K334" s="27"/>
      <c r="L334" s="30"/>
      <c r="M334" s="30"/>
      <c r="N334" s="30"/>
      <c r="O334" s="30"/>
      <c r="P334" s="30"/>
      <c r="Q334" s="30"/>
      <c r="R334" s="30"/>
      <c r="S334" s="30"/>
    </row>
    <row r="335" spans="1:19" x14ac:dyDescent="0.25">
      <c r="A335" s="29">
        <v>44463</v>
      </c>
      <c r="B335" s="31">
        <v>0.83199999999999996</v>
      </c>
      <c r="C335" s="31">
        <v>0.88200000000000001</v>
      </c>
      <c r="D335" s="31">
        <v>0.93200000000000005</v>
      </c>
      <c r="E335" s="31">
        <v>1.3640000000000001</v>
      </c>
      <c r="F335" s="31">
        <v>1.4450000000000001</v>
      </c>
      <c r="G335" s="31">
        <v>1.675</v>
      </c>
      <c r="H335" s="31" t="s">
        <v>85</v>
      </c>
      <c r="I335" s="31" t="s">
        <v>85</v>
      </c>
      <c r="K335" s="27"/>
      <c r="L335" s="30"/>
      <c r="M335" s="30"/>
      <c r="N335" s="30"/>
      <c r="O335" s="30"/>
      <c r="P335" s="30"/>
      <c r="Q335" s="30"/>
      <c r="R335" s="30"/>
      <c r="S335" s="30"/>
    </row>
    <row r="336" spans="1:19" x14ac:dyDescent="0.25">
      <c r="A336" s="29">
        <v>44466</v>
      </c>
      <c r="B336" s="31">
        <v>0.84099999999999997</v>
      </c>
      <c r="C336" s="31">
        <v>0.88600000000000001</v>
      </c>
      <c r="D336" s="31">
        <v>0.93200000000000005</v>
      </c>
      <c r="E336" s="31">
        <v>1.3640000000000001</v>
      </c>
      <c r="F336" s="31">
        <v>1.4450000000000001</v>
      </c>
      <c r="G336" s="31">
        <v>1.675</v>
      </c>
      <c r="H336" s="31" t="s">
        <v>85</v>
      </c>
      <c r="I336" s="31" t="s">
        <v>85</v>
      </c>
      <c r="K336" s="27"/>
      <c r="L336" s="30"/>
      <c r="M336" s="30"/>
      <c r="N336" s="30"/>
      <c r="O336" s="30"/>
      <c r="P336" s="30"/>
      <c r="Q336" s="30"/>
      <c r="R336" s="30"/>
      <c r="S336" s="30"/>
    </row>
    <row r="337" spans="1:19" x14ac:dyDescent="0.25">
      <c r="A337" s="29">
        <v>44467</v>
      </c>
      <c r="B337" s="31">
        <v>0.84299999999999997</v>
      </c>
      <c r="C337" s="31">
        <v>0.88800000000000001</v>
      </c>
      <c r="D337" s="31">
        <v>0.93200000000000005</v>
      </c>
      <c r="E337" s="31">
        <v>1.361</v>
      </c>
      <c r="F337" s="31">
        <v>1.448</v>
      </c>
      <c r="G337" s="31">
        <v>1.68</v>
      </c>
      <c r="H337" s="31" t="s">
        <v>85</v>
      </c>
      <c r="I337" s="31" t="s">
        <v>85</v>
      </c>
      <c r="K337" s="27"/>
      <c r="L337" s="30"/>
      <c r="M337" s="30"/>
      <c r="N337" s="30"/>
      <c r="O337" s="30"/>
      <c r="P337" s="30"/>
      <c r="Q337" s="30"/>
      <c r="R337" s="30"/>
      <c r="S337" s="30"/>
    </row>
    <row r="338" spans="1:19" x14ac:dyDescent="0.25">
      <c r="A338" s="29">
        <v>44468</v>
      </c>
      <c r="B338" s="31">
        <v>0.82</v>
      </c>
      <c r="C338" s="31">
        <v>0.876</v>
      </c>
      <c r="D338" s="31">
        <v>0.93200000000000005</v>
      </c>
      <c r="E338" s="31">
        <v>1.361</v>
      </c>
      <c r="F338" s="31">
        <v>1.448</v>
      </c>
      <c r="G338" s="31">
        <v>1.67</v>
      </c>
      <c r="H338" s="31" t="s">
        <v>85</v>
      </c>
      <c r="I338" s="31" t="s">
        <v>85</v>
      </c>
      <c r="K338" s="27"/>
      <c r="L338" s="30"/>
      <c r="M338" s="30"/>
      <c r="N338" s="30"/>
      <c r="O338" s="30"/>
      <c r="P338" s="30"/>
      <c r="Q338" s="30"/>
      <c r="R338" s="30"/>
      <c r="S338" s="30"/>
    </row>
    <row r="339" spans="1:19" x14ac:dyDescent="0.25">
      <c r="A339" s="29">
        <v>44469</v>
      </c>
      <c r="B339" s="31">
        <v>0.80700000000000005</v>
      </c>
      <c r="C339" s="31">
        <v>0.85899999999999999</v>
      </c>
      <c r="D339" s="31">
        <v>0.91100000000000003</v>
      </c>
      <c r="E339" s="31">
        <v>1.361</v>
      </c>
      <c r="F339" s="31">
        <v>1.448</v>
      </c>
      <c r="G339" s="31">
        <v>1.67</v>
      </c>
      <c r="H339" s="31" t="s">
        <v>85</v>
      </c>
      <c r="I339" s="31" t="s">
        <v>85</v>
      </c>
      <c r="K339" s="27"/>
      <c r="L339" s="30"/>
      <c r="M339" s="30"/>
      <c r="N339" s="30"/>
      <c r="O339" s="30"/>
      <c r="P339" s="30"/>
      <c r="Q339" s="30"/>
      <c r="R339" s="30"/>
      <c r="S339" s="30"/>
    </row>
    <row r="340" spans="1:19" x14ac:dyDescent="0.25">
      <c r="A340" s="29">
        <v>44470</v>
      </c>
      <c r="B340" s="31">
        <v>0.79800000000000004</v>
      </c>
      <c r="C340" s="31">
        <v>0.85099999999999998</v>
      </c>
      <c r="D340" s="31">
        <v>0.90500000000000003</v>
      </c>
      <c r="E340" s="31">
        <v>1.361</v>
      </c>
      <c r="F340" s="31">
        <v>1.448</v>
      </c>
      <c r="G340" s="31">
        <v>1.67</v>
      </c>
      <c r="H340" s="31" t="s">
        <v>85</v>
      </c>
      <c r="I340" s="31" t="s">
        <v>85</v>
      </c>
      <c r="K340" s="27"/>
      <c r="L340" s="30"/>
      <c r="M340" s="30"/>
      <c r="N340" s="30"/>
      <c r="O340" s="30"/>
      <c r="P340" s="30"/>
      <c r="Q340" s="30"/>
      <c r="R340" s="30"/>
      <c r="S340" s="30"/>
    </row>
    <row r="341" spans="1:19" x14ac:dyDescent="0.25">
      <c r="A341" s="29">
        <v>44473</v>
      </c>
      <c r="B341" s="31">
        <v>0.80200000000000005</v>
      </c>
      <c r="C341" s="31">
        <v>0.85299999999999998</v>
      </c>
      <c r="D341" s="31">
        <v>0.90500000000000003</v>
      </c>
      <c r="E341" s="31">
        <v>1.361</v>
      </c>
      <c r="F341" s="31">
        <v>1.448</v>
      </c>
      <c r="G341" s="31">
        <v>1.67</v>
      </c>
      <c r="H341" s="31" t="s">
        <v>85</v>
      </c>
      <c r="I341" s="31" t="s">
        <v>85</v>
      </c>
      <c r="K341" s="27"/>
      <c r="L341" s="30"/>
      <c r="M341" s="30"/>
      <c r="N341" s="30"/>
      <c r="O341" s="30"/>
      <c r="P341" s="30"/>
      <c r="Q341" s="30"/>
      <c r="R341" s="30"/>
      <c r="S341" s="30"/>
    </row>
    <row r="342" spans="1:19" x14ac:dyDescent="0.25">
      <c r="A342" s="29">
        <v>44474</v>
      </c>
      <c r="B342" s="31">
        <v>0.79299999999999993</v>
      </c>
      <c r="C342" s="31">
        <v>0.84699999999999998</v>
      </c>
      <c r="D342" s="31">
        <v>0.89999999999999991</v>
      </c>
      <c r="E342" s="31">
        <v>1.361</v>
      </c>
      <c r="F342" s="31">
        <v>1.4449999999999998</v>
      </c>
      <c r="G342" s="31">
        <v>1.67</v>
      </c>
      <c r="H342" s="31" t="s">
        <v>85</v>
      </c>
      <c r="I342" s="31" t="s">
        <v>85</v>
      </c>
      <c r="K342" s="27"/>
      <c r="L342" s="30"/>
      <c r="M342" s="30"/>
      <c r="N342" s="30"/>
      <c r="O342" s="30"/>
      <c r="P342" s="30"/>
      <c r="Q342" s="30"/>
      <c r="R342" s="30"/>
      <c r="S342" s="30"/>
    </row>
    <row r="343" spans="1:19" x14ac:dyDescent="0.25">
      <c r="A343" s="29">
        <v>44475</v>
      </c>
      <c r="B343" s="31">
        <v>0.79300000000000004</v>
      </c>
      <c r="C343" s="31">
        <v>0.84699999999999998</v>
      </c>
      <c r="D343" s="31">
        <v>0.9</v>
      </c>
      <c r="E343" s="31">
        <v>1.361</v>
      </c>
      <c r="F343" s="31">
        <v>1.4450000000000001</v>
      </c>
      <c r="G343" s="31">
        <v>1.67</v>
      </c>
      <c r="H343" s="31" t="s">
        <v>85</v>
      </c>
      <c r="I343" s="31" t="s">
        <v>85</v>
      </c>
      <c r="K343" s="27"/>
      <c r="L343" s="30"/>
      <c r="M343" s="30"/>
      <c r="N343" s="30"/>
      <c r="O343" s="30"/>
      <c r="P343" s="30"/>
      <c r="Q343" s="30"/>
      <c r="R343" s="30"/>
      <c r="S343" s="30"/>
    </row>
    <row r="344" spans="1:19" x14ac:dyDescent="0.25">
      <c r="A344" s="29">
        <v>44476</v>
      </c>
      <c r="B344" s="31">
        <v>0.79300000000000004</v>
      </c>
      <c r="C344" s="31">
        <v>0.84699999999999998</v>
      </c>
      <c r="D344" s="31">
        <v>0.9</v>
      </c>
      <c r="E344" s="31">
        <v>1.357</v>
      </c>
      <c r="F344" s="31">
        <v>1.4390000000000001</v>
      </c>
      <c r="G344" s="31">
        <v>1.6659999999999999</v>
      </c>
      <c r="H344" s="31" t="s">
        <v>85</v>
      </c>
      <c r="I344" s="31" t="s">
        <v>85</v>
      </c>
      <c r="K344" s="27"/>
      <c r="L344" s="30"/>
      <c r="M344" s="30"/>
      <c r="N344" s="30"/>
      <c r="O344" s="30"/>
      <c r="P344" s="30"/>
      <c r="Q344" s="30"/>
      <c r="R344" s="30"/>
      <c r="S344" s="30"/>
    </row>
    <row r="345" spans="1:19" x14ac:dyDescent="0.25">
      <c r="A345" s="29">
        <v>44477</v>
      </c>
      <c r="B345" s="31">
        <v>0.78900000000000003</v>
      </c>
      <c r="C345" s="31">
        <v>0.84199999999999997</v>
      </c>
      <c r="D345" s="31">
        <v>0.89500000000000002</v>
      </c>
      <c r="E345" s="31">
        <v>1.357</v>
      </c>
      <c r="F345" s="31">
        <v>1.4390000000000001</v>
      </c>
      <c r="G345" s="31">
        <v>1.6659999999999999</v>
      </c>
      <c r="H345" s="31" t="s">
        <v>85</v>
      </c>
      <c r="I345" s="31" t="s">
        <v>85</v>
      </c>
      <c r="K345" s="27"/>
      <c r="L345" s="30"/>
      <c r="M345" s="30"/>
      <c r="N345" s="30"/>
      <c r="O345" s="30"/>
      <c r="P345" s="30"/>
      <c r="Q345" s="30"/>
      <c r="R345" s="30"/>
      <c r="S345" s="30"/>
    </row>
    <row r="346" spans="1:19" x14ac:dyDescent="0.25">
      <c r="A346" s="29">
        <v>44480</v>
      </c>
      <c r="B346" s="31">
        <v>0.78900000000000003</v>
      </c>
      <c r="C346" s="31">
        <v>0.84099999999999997</v>
      </c>
      <c r="D346" s="31">
        <v>0.89300000000000002</v>
      </c>
      <c r="E346" s="31">
        <v>1.339</v>
      </c>
      <c r="F346" s="31">
        <v>1.43</v>
      </c>
      <c r="G346" s="31">
        <v>1.661</v>
      </c>
      <c r="H346" s="31" t="s">
        <v>85</v>
      </c>
      <c r="I346" s="31" t="s">
        <v>85</v>
      </c>
      <c r="K346" s="27"/>
      <c r="L346" s="30"/>
      <c r="M346" s="30"/>
      <c r="N346" s="30"/>
      <c r="O346" s="30"/>
      <c r="P346" s="30"/>
      <c r="Q346" s="30"/>
      <c r="R346" s="30"/>
      <c r="S346" s="30"/>
    </row>
    <row r="347" spans="1:19" x14ac:dyDescent="0.25">
      <c r="A347" s="29">
        <v>44481</v>
      </c>
      <c r="B347" s="31">
        <v>0.78400000000000003</v>
      </c>
      <c r="C347" s="31">
        <v>0.83599999999999997</v>
      </c>
      <c r="D347" s="31">
        <v>0.88900000000000001</v>
      </c>
      <c r="E347" s="31">
        <v>1.339</v>
      </c>
      <c r="F347" s="31">
        <v>1.43</v>
      </c>
      <c r="G347" s="31">
        <v>1.661</v>
      </c>
      <c r="H347" s="31" t="s">
        <v>85</v>
      </c>
      <c r="I347" s="31" t="s">
        <v>85</v>
      </c>
      <c r="K347" s="27"/>
      <c r="L347" s="30"/>
      <c r="M347" s="30"/>
      <c r="N347" s="30"/>
      <c r="O347" s="30"/>
      <c r="P347" s="30"/>
      <c r="Q347" s="30"/>
      <c r="R347" s="30"/>
      <c r="S347" s="30"/>
    </row>
    <row r="348" spans="1:19" x14ac:dyDescent="0.25">
      <c r="A348" s="29">
        <v>44482</v>
      </c>
      <c r="B348" s="31">
        <v>0.78900000000000003</v>
      </c>
      <c r="C348" s="31">
        <v>0.83799999999999997</v>
      </c>
      <c r="D348" s="31">
        <v>0.88600000000000001</v>
      </c>
      <c r="E348" s="31">
        <v>1.339</v>
      </c>
      <c r="F348" s="31">
        <v>1.43</v>
      </c>
      <c r="G348" s="31">
        <v>1.661</v>
      </c>
      <c r="H348" s="31" t="s">
        <v>85</v>
      </c>
      <c r="I348" s="31" t="s">
        <v>85</v>
      </c>
      <c r="K348" s="27"/>
      <c r="L348" s="30"/>
      <c r="M348" s="30"/>
      <c r="N348" s="30"/>
      <c r="O348" s="30"/>
      <c r="P348" s="30"/>
      <c r="Q348" s="30"/>
      <c r="R348" s="30"/>
      <c r="S348" s="30"/>
    </row>
    <row r="349" spans="1:19" x14ac:dyDescent="0.25">
      <c r="A349" s="29">
        <v>44483</v>
      </c>
      <c r="B349" s="31">
        <v>0.77500000000000002</v>
      </c>
      <c r="C349" s="31">
        <v>0.82599999999999996</v>
      </c>
      <c r="D349" s="31">
        <v>0.877</v>
      </c>
      <c r="E349" s="31">
        <v>1.33</v>
      </c>
      <c r="F349" s="31">
        <v>1.42</v>
      </c>
      <c r="G349" s="31">
        <v>1.6519999999999999</v>
      </c>
      <c r="H349" s="31" t="s">
        <v>85</v>
      </c>
      <c r="I349" s="31" t="s">
        <v>85</v>
      </c>
      <c r="K349" s="27"/>
      <c r="L349" s="30"/>
      <c r="M349" s="30"/>
      <c r="N349" s="30"/>
      <c r="O349" s="30"/>
      <c r="P349" s="30"/>
      <c r="Q349" s="30"/>
      <c r="R349" s="30"/>
      <c r="S349" s="30"/>
    </row>
    <row r="350" spans="1:19" x14ac:dyDescent="0.25">
      <c r="A350" s="29">
        <v>44484</v>
      </c>
      <c r="B350" s="31">
        <v>0.77</v>
      </c>
      <c r="C350" s="31">
        <v>0.82399999999999995</v>
      </c>
      <c r="D350" s="31">
        <v>0.877</v>
      </c>
      <c r="E350" s="31">
        <v>1.33</v>
      </c>
      <c r="F350" s="31">
        <v>1.42</v>
      </c>
      <c r="G350" s="31">
        <v>1.6519999999999999</v>
      </c>
      <c r="H350" s="31" t="s">
        <v>85</v>
      </c>
      <c r="I350" s="31" t="s">
        <v>85</v>
      </c>
      <c r="K350" s="27"/>
      <c r="L350" s="30"/>
      <c r="M350" s="30"/>
      <c r="N350" s="30"/>
      <c r="O350" s="30"/>
      <c r="P350" s="30"/>
      <c r="Q350" s="30"/>
      <c r="R350" s="30"/>
      <c r="S350" s="30"/>
    </row>
    <row r="351" spans="1:19" x14ac:dyDescent="0.25">
      <c r="A351" s="29">
        <v>44487</v>
      </c>
      <c r="B351" s="31">
        <v>0.73</v>
      </c>
      <c r="C351" s="31">
        <v>0.77800000000000002</v>
      </c>
      <c r="D351" s="31">
        <v>0.82699999999999996</v>
      </c>
      <c r="E351" s="31">
        <v>1.33</v>
      </c>
      <c r="F351" s="31">
        <v>1.42</v>
      </c>
      <c r="G351" s="31">
        <v>1.6519999999999999</v>
      </c>
      <c r="H351" s="31" t="s">
        <v>85</v>
      </c>
      <c r="I351" s="31" t="s">
        <v>85</v>
      </c>
      <c r="K351" s="27"/>
      <c r="L351" s="30"/>
      <c r="M351" s="30"/>
      <c r="N351" s="30"/>
      <c r="O351" s="30"/>
      <c r="P351" s="30"/>
      <c r="Q351" s="30"/>
      <c r="R351" s="30"/>
      <c r="S351" s="30"/>
    </row>
    <row r="352" spans="1:19" x14ac:dyDescent="0.25">
      <c r="A352" s="29">
        <v>44488</v>
      </c>
      <c r="B352" s="31">
        <v>0.71599999999999997</v>
      </c>
      <c r="C352" s="31">
        <v>0.76400000000000001</v>
      </c>
      <c r="D352" s="31">
        <v>0.81100000000000005</v>
      </c>
      <c r="E352" s="31">
        <v>1.33</v>
      </c>
      <c r="F352" s="31">
        <v>1.42</v>
      </c>
      <c r="G352" s="31">
        <v>1.6519999999999999</v>
      </c>
      <c r="H352" s="31" t="s">
        <v>85</v>
      </c>
      <c r="I352" s="31" t="s">
        <v>85</v>
      </c>
      <c r="K352" s="27"/>
      <c r="L352" s="30"/>
      <c r="M352" s="30"/>
      <c r="N352" s="30"/>
      <c r="O352" s="30"/>
      <c r="P352" s="30"/>
      <c r="Q352" s="30"/>
      <c r="R352" s="30"/>
      <c r="S352" s="30"/>
    </row>
    <row r="353" spans="1:19" x14ac:dyDescent="0.25">
      <c r="A353" s="29">
        <v>44489</v>
      </c>
      <c r="B353" s="31">
        <v>0.70499999999999996</v>
      </c>
      <c r="C353" s="31">
        <v>0.75600000000000001</v>
      </c>
      <c r="D353" s="31">
        <v>0.80700000000000005</v>
      </c>
      <c r="E353" s="31">
        <v>1.302</v>
      </c>
      <c r="F353" s="31">
        <v>1.4019999999999999</v>
      </c>
      <c r="G353" s="31">
        <v>1.6519999999999999</v>
      </c>
      <c r="H353" s="31" t="s">
        <v>85</v>
      </c>
      <c r="I353" s="31" t="s">
        <v>85</v>
      </c>
      <c r="K353" s="27"/>
      <c r="L353" s="30"/>
      <c r="M353" s="30"/>
      <c r="N353" s="30"/>
      <c r="O353" s="30"/>
      <c r="P353" s="30"/>
      <c r="Q353" s="30"/>
      <c r="R353" s="30"/>
      <c r="S353" s="30"/>
    </row>
    <row r="354" spans="1:19" x14ac:dyDescent="0.25">
      <c r="A354" s="29">
        <v>44490</v>
      </c>
      <c r="B354" s="31">
        <v>0.7</v>
      </c>
      <c r="C354" s="31">
        <v>0.75</v>
      </c>
      <c r="D354" s="31">
        <v>0.8</v>
      </c>
      <c r="E354" s="31">
        <v>1.302</v>
      </c>
      <c r="F354" s="31">
        <v>1.4019999999999999</v>
      </c>
      <c r="G354" s="31">
        <v>1.6519999999999999</v>
      </c>
      <c r="H354" s="31" t="s">
        <v>85</v>
      </c>
      <c r="I354" s="31" t="s">
        <v>85</v>
      </c>
      <c r="K354" s="27"/>
      <c r="L354" s="30"/>
      <c r="M354" s="30"/>
      <c r="N354" s="30"/>
      <c r="O354" s="30"/>
      <c r="P354" s="30"/>
      <c r="Q354" s="30"/>
      <c r="R354" s="30"/>
      <c r="S354" s="30"/>
    </row>
    <row r="355" spans="1:19" x14ac:dyDescent="0.25">
      <c r="A355" s="29">
        <v>44491</v>
      </c>
      <c r="B355" s="31">
        <v>0.69499999999999995</v>
      </c>
      <c r="C355" s="31">
        <v>0.745</v>
      </c>
      <c r="D355" s="31">
        <v>0.79500000000000004</v>
      </c>
      <c r="E355" s="31">
        <v>1.302</v>
      </c>
      <c r="F355" s="31">
        <v>1.4019999999999999</v>
      </c>
      <c r="G355" s="31">
        <v>1.6519999999999999</v>
      </c>
      <c r="H355" s="31" t="s">
        <v>85</v>
      </c>
      <c r="I355" s="31" t="s">
        <v>85</v>
      </c>
      <c r="K355" s="27"/>
      <c r="L355" s="30"/>
      <c r="M355" s="30"/>
      <c r="N355" s="30"/>
      <c r="O355" s="30"/>
      <c r="P355" s="30"/>
      <c r="Q355" s="30"/>
      <c r="R355" s="30"/>
      <c r="S355" s="30"/>
    </row>
    <row r="356" spans="1:19" x14ac:dyDescent="0.25">
      <c r="A356" s="29">
        <v>44494</v>
      </c>
      <c r="B356" s="31">
        <v>0.7</v>
      </c>
      <c r="C356" s="31">
        <v>0.748</v>
      </c>
      <c r="D356" s="31">
        <v>0.79500000000000004</v>
      </c>
      <c r="E356" s="31">
        <v>1.2929999999999999</v>
      </c>
      <c r="F356" s="31">
        <v>1.393</v>
      </c>
      <c r="G356" s="31">
        <v>1.6519999999999999</v>
      </c>
      <c r="H356" s="31" t="s">
        <v>85</v>
      </c>
      <c r="I356" s="31" t="s">
        <v>85</v>
      </c>
      <c r="K356" s="27"/>
      <c r="L356" s="30"/>
      <c r="M356" s="30"/>
      <c r="N356" s="30"/>
      <c r="O356" s="30"/>
      <c r="P356" s="30"/>
      <c r="Q356" s="30"/>
      <c r="R356" s="30"/>
      <c r="S356" s="30"/>
    </row>
    <row r="357" spans="1:19" x14ac:dyDescent="0.25">
      <c r="A357" s="29">
        <v>44495</v>
      </c>
      <c r="B357" s="31">
        <v>0.69299999999999995</v>
      </c>
      <c r="C357" s="31">
        <v>0.74399999999999999</v>
      </c>
      <c r="D357" s="31">
        <v>0.79500000000000004</v>
      </c>
      <c r="E357" s="31">
        <v>1.2929999999999999</v>
      </c>
      <c r="F357" s="31">
        <v>1.393</v>
      </c>
      <c r="G357" s="31">
        <v>1.6519999999999999</v>
      </c>
      <c r="H357" s="31" t="s">
        <v>85</v>
      </c>
      <c r="I357" s="31" t="s">
        <v>85</v>
      </c>
      <c r="K357" s="27"/>
      <c r="L357" s="30"/>
      <c r="M357" s="30"/>
      <c r="N357" s="30"/>
      <c r="O357" s="30"/>
      <c r="P357" s="30"/>
      <c r="Q357" s="30"/>
      <c r="R357" s="30"/>
      <c r="S357" s="30"/>
    </row>
    <row r="358" spans="1:19" x14ac:dyDescent="0.25">
      <c r="A358" s="29">
        <v>44496</v>
      </c>
      <c r="B358" s="31">
        <v>0.69299999999999995</v>
      </c>
      <c r="C358" s="31">
        <v>0.74399999999999999</v>
      </c>
      <c r="D358" s="31">
        <v>0.79500000000000004</v>
      </c>
      <c r="E358" s="31">
        <v>1.2929999999999999</v>
      </c>
      <c r="F358" s="31">
        <v>1.393</v>
      </c>
      <c r="G358" s="31">
        <v>1.6519999999999999</v>
      </c>
      <c r="H358" s="31" t="s">
        <v>85</v>
      </c>
      <c r="I358" s="31" t="s">
        <v>85</v>
      </c>
      <c r="K358" s="27"/>
      <c r="L358" s="30"/>
      <c r="M358" s="30"/>
      <c r="N358" s="30"/>
      <c r="O358" s="30"/>
      <c r="P358" s="30"/>
      <c r="Q358" s="30"/>
      <c r="R358" s="30"/>
      <c r="S358" s="30"/>
    </row>
    <row r="359" spans="1:19" x14ac:dyDescent="0.25">
      <c r="A359" s="29">
        <v>44497</v>
      </c>
      <c r="B359" s="31">
        <v>0.68899999999999995</v>
      </c>
      <c r="C359" s="31">
        <v>0.74199999999999999</v>
      </c>
      <c r="D359" s="31">
        <v>0.79500000000000004</v>
      </c>
      <c r="E359" s="31">
        <v>1.2929999999999999</v>
      </c>
      <c r="F359" s="31">
        <v>1.393</v>
      </c>
      <c r="G359" s="31">
        <v>1.6519999999999999</v>
      </c>
      <c r="H359" s="31" t="s">
        <v>85</v>
      </c>
      <c r="I359" s="31" t="s">
        <v>85</v>
      </c>
      <c r="K359" s="27"/>
      <c r="L359" s="30"/>
      <c r="M359" s="30"/>
      <c r="N359" s="30"/>
      <c r="O359" s="30"/>
      <c r="P359" s="30"/>
      <c r="Q359" s="30"/>
      <c r="R359" s="30"/>
      <c r="S359" s="30"/>
    </row>
    <row r="360" spans="1:19" x14ac:dyDescent="0.25">
      <c r="A360" s="29">
        <v>44498</v>
      </c>
      <c r="B360" s="31">
        <v>0.68600000000000005</v>
      </c>
      <c r="C360" s="31">
        <v>0.73899999999999999</v>
      </c>
      <c r="D360" s="31">
        <v>0.79100000000000004</v>
      </c>
      <c r="E360" s="31">
        <v>1.2929999999999999</v>
      </c>
      <c r="F360" s="31">
        <v>1.393</v>
      </c>
      <c r="G360" s="31">
        <v>1.6519999999999999</v>
      </c>
      <c r="H360" s="31" t="s">
        <v>85</v>
      </c>
      <c r="I360" s="31" t="s">
        <v>85</v>
      </c>
      <c r="K360" s="27"/>
      <c r="L360" s="30"/>
      <c r="M360" s="30"/>
      <c r="N360" s="30"/>
      <c r="O360" s="30"/>
      <c r="P360" s="30"/>
      <c r="Q360" s="30"/>
      <c r="R360" s="30"/>
      <c r="S360" s="30"/>
    </row>
    <row r="361" spans="1:19" x14ac:dyDescent="0.25">
      <c r="A361" s="29">
        <v>44501</v>
      </c>
      <c r="B361" s="31">
        <v>0.67700000000000005</v>
      </c>
      <c r="C361" s="31">
        <v>0.73399999999999999</v>
      </c>
      <c r="D361" s="31">
        <v>0.79100000000000004</v>
      </c>
      <c r="E361" s="31">
        <v>1.2929999999999999</v>
      </c>
      <c r="F361" s="31">
        <v>1.393</v>
      </c>
      <c r="G361" s="31">
        <v>1.6519999999999999</v>
      </c>
      <c r="H361" s="31" t="s">
        <v>85</v>
      </c>
      <c r="I361" s="31" t="s">
        <v>85</v>
      </c>
      <c r="K361" s="27"/>
      <c r="L361" s="30"/>
      <c r="M361" s="30"/>
      <c r="N361" s="30"/>
      <c r="O361" s="30"/>
      <c r="P361" s="30"/>
      <c r="Q361" s="30"/>
      <c r="R361" s="30"/>
      <c r="S361" s="30"/>
    </row>
    <row r="362" spans="1:19" x14ac:dyDescent="0.25">
      <c r="A362" s="29">
        <v>44502</v>
      </c>
      <c r="B362" s="31">
        <v>0.67700000000000005</v>
      </c>
      <c r="C362" s="31">
        <v>0.73399999999999999</v>
      </c>
      <c r="D362" s="31">
        <v>0.79100000000000004</v>
      </c>
      <c r="E362" s="31">
        <v>1.2929999999999999</v>
      </c>
      <c r="F362" s="31">
        <v>1.393</v>
      </c>
      <c r="G362" s="31">
        <v>1.6519999999999999</v>
      </c>
      <c r="H362" s="31" t="s">
        <v>85</v>
      </c>
      <c r="I362" s="31" t="s">
        <v>85</v>
      </c>
      <c r="K362" s="27"/>
      <c r="L362" s="30"/>
      <c r="M362" s="30"/>
      <c r="N362" s="30"/>
      <c r="O362" s="30"/>
      <c r="P362" s="30"/>
      <c r="Q362" s="30"/>
      <c r="R362" s="30"/>
      <c r="S362" s="30"/>
    </row>
    <row r="363" spans="1:19" x14ac:dyDescent="0.25">
      <c r="A363" s="29">
        <v>44503</v>
      </c>
      <c r="B363" s="31">
        <v>0.67500000000000004</v>
      </c>
      <c r="C363" s="31">
        <v>0.73399999999999999</v>
      </c>
      <c r="D363" s="31">
        <v>0.79300000000000004</v>
      </c>
      <c r="E363" s="31">
        <v>1.2929999999999999</v>
      </c>
      <c r="F363" s="31">
        <v>1.393</v>
      </c>
      <c r="G363" s="31">
        <v>1.643</v>
      </c>
      <c r="H363" s="31" t="s">
        <v>85</v>
      </c>
      <c r="I363" s="31" t="s">
        <v>85</v>
      </c>
      <c r="K363" s="27"/>
      <c r="L363" s="30"/>
      <c r="M363" s="30"/>
      <c r="N363" s="30"/>
      <c r="O363" s="30"/>
      <c r="P363" s="30"/>
      <c r="Q363" s="30"/>
      <c r="R363" s="30"/>
      <c r="S363" s="30"/>
    </row>
    <row r="364" spans="1:19" x14ac:dyDescent="0.25">
      <c r="A364" s="29">
        <v>44504</v>
      </c>
      <c r="B364" s="31">
        <v>0.67500000000000004</v>
      </c>
      <c r="C364" s="31">
        <v>0.73399999999999999</v>
      </c>
      <c r="D364" s="31">
        <v>0.79300000000000004</v>
      </c>
      <c r="E364" s="31">
        <v>1.2929999999999999</v>
      </c>
      <c r="F364" s="31">
        <v>1.393</v>
      </c>
      <c r="G364" s="31">
        <v>1.6519999999999999</v>
      </c>
      <c r="H364" s="31" t="s">
        <v>85</v>
      </c>
      <c r="I364" s="31" t="s">
        <v>85</v>
      </c>
      <c r="K364" s="27"/>
      <c r="L364" s="30"/>
      <c r="M364" s="30"/>
      <c r="N364" s="30"/>
      <c r="O364" s="30"/>
      <c r="P364" s="30"/>
      <c r="Q364" s="30"/>
      <c r="R364" s="30"/>
      <c r="S364" s="30"/>
    </row>
    <row r="365" spans="1:19" x14ac:dyDescent="0.25">
      <c r="A365" s="29">
        <v>44505</v>
      </c>
      <c r="B365" s="31">
        <v>0.67</v>
      </c>
      <c r="C365" s="31">
        <v>0.73</v>
      </c>
      <c r="D365" s="31">
        <v>0.78900000000000003</v>
      </c>
      <c r="E365" s="31">
        <v>1.2929999999999999</v>
      </c>
      <c r="F365" s="31">
        <v>1.393</v>
      </c>
      <c r="G365" s="31">
        <v>1.6519999999999999</v>
      </c>
      <c r="H365" s="31" t="s">
        <v>85</v>
      </c>
      <c r="I365" s="31" t="s">
        <v>85</v>
      </c>
      <c r="K365" s="27"/>
      <c r="L365" s="30"/>
      <c r="M365" s="30"/>
      <c r="N365" s="30"/>
      <c r="O365" s="30"/>
      <c r="P365" s="30"/>
      <c r="Q365" s="30"/>
      <c r="R365" s="30"/>
      <c r="S365" s="30"/>
    </row>
    <row r="366" spans="1:19" x14ac:dyDescent="0.25">
      <c r="A366" s="29">
        <v>44508</v>
      </c>
      <c r="B366" s="31">
        <v>0.67</v>
      </c>
      <c r="C366" s="31">
        <v>0.73</v>
      </c>
      <c r="D366" s="31">
        <v>0.78900000000000003</v>
      </c>
      <c r="E366" s="31">
        <v>1.2929999999999999</v>
      </c>
      <c r="F366" s="31">
        <v>1.393</v>
      </c>
      <c r="G366" s="31">
        <v>1.6519999999999999</v>
      </c>
      <c r="H366" s="31" t="s">
        <v>85</v>
      </c>
      <c r="I366" s="31" t="s">
        <v>85</v>
      </c>
      <c r="K366" s="27"/>
      <c r="L366" s="30"/>
      <c r="M366" s="30"/>
      <c r="N366" s="30"/>
      <c r="O366" s="30"/>
      <c r="P366" s="30"/>
      <c r="Q366" s="30"/>
      <c r="R366" s="30"/>
      <c r="S366" s="30"/>
    </row>
    <row r="367" spans="1:19" x14ac:dyDescent="0.25">
      <c r="A367" s="29">
        <v>44509</v>
      </c>
      <c r="B367" s="31">
        <v>0.67</v>
      </c>
      <c r="C367" s="31">
        <v>0.72699999999999998</v>
      </c>
      <c r="D367" s="31">
        <v>0.78400000000000003</v>
      </c>
      <c r="E367" s="31">
        <v>1.2929999999999999</v>
      </c>
      <c r="F367" s="31">
        <v>1.393</v>
      </c>
      <c r="G367" s="31">
        <v>1.6519999999999999</v>
      </c>
      <c r="H367" s="31" t="s">
        <v>85</v>
      </c>
      <c r="I367" s="31" t="s">
        <v>85</v>
      </c>
      <c r="K367" s="27"/>
      <c r="L367" s="30"/>
      <c r="M367" s="30"/>
      <c r="N367" s="30"/>
      <c r="O367" s="30"/>
      <c r="P367" s="30"/>
      <c r="Q367" s="30"/>
      <c r="R367" s="30"/>
      <c r="S367" s="30"/>
    </row>
    <row r="368" spans="1:19" x14ac:dyDescent="0.25">
      <c r="A368" s="29">
        <v>44510</v>
      </c>
      <c r="B368" s="31">
        <v>0.67</v>
      </c>
      <c r="C368" s="31">
        <v>0.72799999999999998</v>
      </c>
      <c r="D368" s="31">
        <v>0.78600000000000003</v>
      </c>
      <c r="E368" s="31">
        <v>1.2929999999999999</v>
      </c>
      <c r="F368" s="31">
        <v>1.393</v>
      </c>
      <c r="G368" s="31">
        <v>1.6519999999999999</v>
      </c>
      <c r="H368" s="31" t="s">
        <v>85</v>
      </c>
      <c r="I368" s="31" t="s">
        <v>85</v>
      </c>
      <c r="K368" s="27"/>
      <c r="L368" s="30"/>
      <c r="M368" s="30"/>
      <c r="N368" s="30"/>
      <c r="O368" s="30"/>
      <c r="P368" s="30"/>
      <c r="Q368" s="30"/>
      <c r="R368" s="30"/>
      <c r="S368" s="30"/>
    </row>
    <row r="369" spans="1:19" x14ac:dyDescent="0.25">
      <c r="A369" s="29">
        <v>44511</v>
      </c>
      <c r="B369" s="31">
        <v>0.67</v>
      </c>
      <c r="C369" s="31">
        <v>0.72599999999999998</v>
      </c>
      <c r="D369" s="31">
        <v>0.78200000000000003</v>
      </c>
      <c r="E369" s="31">
        <v>1.284</v>
      </c>
      <c r="F369" s="31">
        <v>1.3839999999999999</v>
      </c>
      <c r="G369" s="31">
        <v>1.643</v>
      </c>
      <c r="H369" s="31" t="s">
        <v>85</v>
      </c>
      <c r="I369" s="31" t="s">
        <v>85</v>
      </c>
      <c r="K369" s="27"/>
      <c r="L369" s="30"/>
      <c r="M369" s="30"/>
      <c r="N369" s="30"/>
      <c r="O369" s="30"/>
      <c r="P369" s="30"/>
      <c r="Q369" s="30"/>
      <c r="R369" s="30"/>
      <c r="S369" s="30"/>
    </row>
    <row r="370" spans="1:19" x14ac:dyDescent="0.25">
      <c r="A370" s="29">
        <v>44512</v>
      </c>
      <c r="B370" s="31">
        <v>0.67</v>
      </c>
      <c r="C370" s="31">
        <v>0.72599999999999998</v>
      </c>
      <c r="D370" s="31">
        <v>0.78200000000000003</v>
      </c>
      <c r="E370" s="31">
        <v>1.2929999999999999</v>
      </c>
      <c r="F370" s="31">
        <v>1.393</v>
      </c>
      <c r="G370" s="31">
        <v>1.6519999999999999</v>
      </c>
      <c r="H370" s="31" t="s">
        <v>85</v>
      </c>
      <c r="I370" s="31" t="s">
        <v>85</v>
      </c>
      <c r="K370" s="27"/>
      <c r="L370" s="30"/>
      <c r="M370" s="30"/>
      <c r="N370" s="30"/>
      <c r="O370" s="30"/>
      <c r="P370" s="30"/>
      <c r="Q370" s="30"/>
      <c r="R370" s="30"/>
      <c r="S370" s="30"/>
    </row>
    <row r="371" spans="1:19" x14ac:dyDescent="0.25">
      <c r="A371" s="29">
        <v>44515</v>
      </c>
      <c r="B371" s="31">
        <v>0.67500000000000004</v>
      </c>
      <c r="C371" s="31">
        <v>0.73099999999999998</v>
      </c>
      <c r="D371" s="31">
        <v>0.78600000000000003</v>
      </c>
      <c r="E371" s="31">
        <v>1.3069999999999999</v>
      </c>
      <c r="F371" s="31">
        <v>1.407</v>
      </c>
      <c r="G371" s="31">
        <v>1.643</v>
      </c>
      <c r="H371" s="31">
        <v>1.9750000000000001</v>
      </c>
      <c r="I371" s="31">
        <v>2.2610000000000001</v>
      </c>
      <c r="K371" s="27"/>
      <c r="L371" s="30"/>
      <c r="M371" s="30"/>
      <c r="N371" s="30"/>
      <c r="O371" s="30"/>
      <c r="P371" s="30"/>
      <c r="Q371" s="30"/>
      <c r="R371" s="30"/>
      <c r="S371" s="30"/>
    </row>
    <row r="372" spans="1:19" x14ac:dyDescent="0.25">
      <c r="A372" s="29">
        <v>44516</v>
      </c>
      <c r="B372" s="31">
        <v>0.67500000000000004</v>
      </c>
      <c r="C372" s="31">
        <v>0.73099999999999998</v>
      </c>
      <c r="D372" s="31">
        <v>0.78600000000000003</v>
      </c>
      <c r="E372" s="31">
        <v>1.3069999999999999</v>
      </c>
      <c r="F372" s="31">
        <v>1.407</v>
      </c>
      <c r="G372" s="31">
        <v>1.643</v>
      </c>
      <c r="H372" s="31">
        <v>1.966</v>
      </c>
      <c r="I372" s="31">
        <v>2.2610000000000001</v>
      </c>
      <c r="K372" s="27"/>
      <c r="L372" s="30"/>
      <c r="M372" s="30"/>
      <c r="N372" s="30"/>
      <c r="O372" s="30"/>
      <c r="P372" s="30"/>
      <c r="Q372" s="30"/>
      <c r="R372" s="30"/>
      <c r="S372" s="30"/>
    </row>
    <row r="373" spans="1:19" x14ac:dyDescent="0.25">
      <c r="A373" s="29">
        <v>44517</v>
      </c>
      <c r="B373" s="31">
        <v>0.67500000000000004</v>
      </c>
      <c r="C373" s="31">
        <v>0.73</v>
      </c>
      <c r="D373" s="31">
        <v>0.78400000000000003</v>
      </c>
      <c r="E373" s="31">
        <v>1.3069999999999999</v>
      </c>
      <c r="F373" s="31">
        <v>1.407</v>
      </c>
      <c r="G373" s="31">
        <v>1.643</v>
      </c>
      <c r="H373" s="31">
        <v>1.966</v>
      </c>
      <c r="I373" s="31">
        <v>2.2610000000000001</v>
      </c>
      <c r="K373" s="27"/>
      <c r="L373" s="30"/>
      <c r="M373" s="30"/>
      <c r="N373" s="30"/>
      <c r="O373" s="30"/>
      <c r="P373" s="30"/>
      <c r="Q373" s="30"/>
      <c r="R373" s="30"/>
      <c r="S373" s="30"/>
    </row>
    <row r="374" spans="1:19" x14ac:dyDescent="0.25">
      <c r="A374" s="29">
        <v>44518</v>
      </c>
      <c r="B374" s="31">
        <v>0.67</v>
      </c>
      <c r="C374" s="31">
        <v>0.72499999999999998</v>
      </c>
      <c r="D374" s="31">
        <v>0.78</v>
      </c>
      <c r="E374" s="31">
        <v>1.302</v>
      </c>
      <c r="F374" s="31">
        <v>1.4019999999999999</v>
      </c>
      <c r="G374" s="31">
        <v>1.639</v>
      </c>
      <c r="H374" s="31">
        <v>1.9610000000000001</v>
      </c>
      <c r="I374" s="31">
        <v>2.2570000000000001</v>
      </c>
      <c r="K374" s="27"/>
      <c r="L374" s="30"/>
      <c r="M374" s="30"/>
      <c r="N374" s="30"/>
      <c r="O374" s="30"/>
      <c r="P374" s="30"/>
      <c r="Q374" s="30"/>
      <c r="R374" s="30"/>
      <c r="S374" s="30"/>
    </row>
    <row r="375" spans="1:19" x14ac:dyDescent="0.25">
      <c r="A375" s="29">
        <v>44519</v>
      </c>
      <c r="B375" s="31">
        <v>0.67</v>
      </c>
      <c r="C375" s="31">
        <v>0.72499999999999998</v>
      </c>
      <c r="D375" s="31">
        <v>0.78</v>
      </c>
      <c r="E375" s="31">
        <v>1.302</v>
      </c>
      <c r="F375" s="31">
        <v>1.4019999999999999</v>
      </c>
      <c r="G375" s="31">
        <v>1.639</v>
      </c>
      <c r="H375" s="31">
        <v>1.9610000000000001</v>
      </c>
      <c r="I375" s="31">
        <v>2.2570000000000001</v>
      </c>
      <c r="K375" s="27"/>
      <c r="L375" s="30"/>
      <c r="M375" s="30"/>
      <c r="N375" s="30"/>
      <c r="O375" s="30"/>
      <c r="P375" s="30"/>
      <c r="Q375" s="30"/>
      <c r="R375" s="30"/>
      <c r="S375" s="30"/>
    </row>
    <row r="376" spans="1:19" x14ac:dyDescent="0.25">
      <c r="A376" s="29">
        <v>44522</v>
      </c>
      <c r="B376" s="31">
        <v>0.67</v>
      </c>
      <c r="C376" s="31">
        <v>0.72499999999999998</v>
      </c>
      <c r="D376" s="31">
        <v>0.78</v>
      </c>
      <c r="E376" s="31">
        <v>1.302</v>
      </c>
      <c r="F376" s="31">
        <v>1.4019999999999999</v>
      </c>
      <c r="G376" s="31">
        <v>1.639</v>
      </c>
      <c r="H376" s="31">
        <v>1.9610000000000001</v>
      </c>
      <c r="I376" s="31">
        <v>2.2519999999999998</v>
      </c>
      <c r="K376" s="27"/>
      <c r="L376" s="30"/>
      <c r="M376" s="30"/>
      <c r="N376" s="30"/>
      <c r="O376" s="30"/>
      <c r="P376" s="30"/>
      <c r="Q376" s="30"/>
      <c r="R376" s="30"/>
      <c r="S376" s="30"/>
    </row>
    <row r="377" spans="1:19" x14ac:dyDescent="0.25">
      <c r="A377" s="29">
        <v>44523</v>
      </c>
      <c r="B377" s="31">
        <v>0.67300000000000004</v>
      </c>
      <c r="C377" s="31">
        <v>0.72799999999999998</v>
      </c>
      <c r="D377" s="31">
        <v>0.78400000000000003</v>
      </c>
      <c r="E377" s="31">
        <v>1.302</v>
      </c>
      <c r="F377" s="31">
        <v>1.4019999999999999</v>
      </c>
      <c r="G377" s="31">
        <v>1.639</v>
      </c>
      <c r="H377" s="31">
        <v>1.9610000000000001</v>
      </c>
      <c r="I377" s="31">
        <v>2.2570000000000001</v>
      </c>
      <c r="K377" s="27"/>
      <c r="L377" s="30"/>
      <c r="M377" s="30"/>
      <c r="N377" s="30"/>
      <c r="O377" s="30"/>
      <c r="P377" s="30"/>
      <c r="Q377" s="30"/>
      <c r="R377" s="30"/>
      <c r="S377" s="30"/>
    </row>
    <row r="378" spans="1:19" x14ac:dyDescent="0.25">
      <c r="A378" s="29">
        <v>44524</v>
      </c>
      <c r="B378" s="31">
        <v>0.66800000000000004</v>
      </c>
      <c r="C378" s="31">
        <v>0.72599999999999998</v>
      </c>
      <c r="D378" s="31">
        <v>0.78400000000000003</v>
      </c>
      <c r="E378" s="31">
        <v>1.302</v>
      </c>
      <c r="F378" s="31">
        <v>1.4019999999999999</v>
      </c>
      <c r="G378" s="31">
        <v>1.639</v>
      </c>
      <c r="H378" s="31">
        <v>1.9610000000000001</v>
      </c>
      <c r="I378" s="31">
        <v>2.2570000000000001</v>
      </c>
      <c r="K378" s="27"/>
      <c r="L378" s="30"/>
      <c r="M378" s="30"/>
      <c r="N378" s="30"/>
      <c r="O378" s="30"/>
      <c r="P378" s="30"/>
      <c r="Q378" s="30"/>
      <c r="R378" s="30"/>
      <c r="S378" s="30"/>
    </row>
    <row r="379" spans="1:19" x14ac:dyDescent="0.25">
      <c r="A379" s="29">
        <v>44525</v>
      </c>
      <c r="B379" s="31">
        <v>0.66100000000000003</v>
      </c>
      <c r="C379" s="31">
        <v>0.72299999999999998</v>
      </c>
      <c r="D379" s="31">
        <v>0.78400000000000003</v>
      </c>
      <c r="E379" s="31">
        <v>1.284</v>
      </c>
      <c r="F379" s="31">
        <v>1.3979999999999999</v>
      </c>
      <c r="G379" s="31">
        <v>1.63</v>
      </c>
      <c r="H379" s="31">
        <v>1.9610000000000001</v>
      </c>
      <c r="I379" s="31">
        <v>2.2570000000000001</v>
      </c>
      <c r="K379" s="27"/>
      <c r="L379" s="30"/>
      <c r="M379" s="30"/>
      <c r="N379" s="30"/>
      <c r="O379" s="30"/>
      <c r="P379" s="30"/>
      <c r="Q379" s="30"/>
      <c r="R379" s="30"/>
      <c r="S379" s="30"/>
    </row>
    <row r="380" spans="1:19" x14ac:dyDescent="0.25">
      <c r="A380" s="29">
        <v>44526</v>
      </c>
      <c r="B380" s="31">
        <v>0.65900000000000003</v>
      </c>
      <c r="C380" s="31">
        <v>0.72199999999999998</v>
      </c>
      <c r="D380" s="31">
        <v>0.78400000000000003</v>
      </c>
      <c r="E380" s="31">
        <v>1.284</v>
      </c>
      <c r="F380" s="31">
        <v>1.3979999999999999</v>
      </c>
      <c r="G380" s="31">
        <v>1.63</v>
      </c>
      <c r="H380" s="31">
        <v>1.9610000000000001</v>
      </c>
      <c r="I380" s="31">
        <v>2.2570000000000001</v>
      </c>
      <c r="K380" s="27"/>
      <c r="L380" s="30"/>
      <c r="M380" s="30"/>
      <c r="N380" s="30"/>
      <c r="O380" s="30"/>
      <c r="P380" s="30"/>
      <c r="Q380" s="30"/>
      <c r="R380" s="30"/>
      <c r="S380" s="30"/>
    </row>
    <row r="381" spans="1:19" x14ac:dyDescent="0.25">
      <c r="A381" s="29">
        <v>44529</v>
      </c>
      <c r="B381" s="31">
        <v>0.66600000000000004</v>
      </c>
      <c r="C381" s="31">
        <v>0.72699999999999998</v>
      </c>
      <c r="D381" s="31">
        <v>0.78900000000000003</v>
      </c>
      <c r="E381" s="31">
        <v>1.284</v>
      </c>
      <c r="F381" s="31">
        <v>1.3979999999999999</v>
      </c>
      <c r="G381" s="31">
        <v>1.63</v>
      </c>
      <c r="H381" s="31">
        <v>1.9610000000000001</v>
      </c>
      <c r="I381" s="31">
        <v>2.2200000000000002</v>
      </c>
      <c r="K381" s="27"/>
      <c r="L381" s="30"/>
      <c r="M381" s="30"/>
      <c r="N381" s="30"/>
      <c r="O381" s="30"/>
      <c r="P381" s="30"/>
      <c r="Q381" s="30"/>
      <c r="R381" s="30"/>
      <c r="S381" s="30"/>
    </row>
    <row r="382" spans="1:19" x14ac:dyDescent="0.25">
      <c r="A382" s="29">
        <v>44530</v>
      </c>
      <c r="B382" s="31">
        <v>0.67</v>
      </c>
      <c r="C382" s="31">
        <v>0.73199999999999998</v>
      </c>
      <c r="D382" s="31">
        <v>0.79300000000000004</v>
      </c>
      <c r="E382" s="31">
        <v>1.2889999999999999</v>
      </c>
      <c r="F382" s="31">
        <v>1.4019999999999999</v>
      </c>
      <c r="G382" s="31">
        <v>1.6339999999999999</v>
      </c>
      <c r="H382" s="31">
        <v>1.966</v>
      </c>
      <c r="I382" s="31">
        <v>2.2250000000000001</v>
      </c>
      <c r="K382" s="27"/>
      <c r="L382" s="30"/>
      <c r="M382" s="30"/>
      <c r="N382" s="30"/>
      <c r="O382" s="30"/>
      <c r="P382" s="30"/>
      <c r="Q382" s="30"/>
      <c r="R382" s="30"/>
      <c r="S382" s="30"/>
    </row>
    <row r="383" spans="1:19" x14ac:dyDescent="0.25">
      <c r="A383" s="29">
        <v>44531</v>
      </c>
      <c r="B383" s="31">
        <v>0.68400000000000005</v>
      </c>
      <c r="C383" s="31">
        <v>0.74199999999999999</v>
      </c>
      <c r="D383" s="31">
        <v>0.8</v>
      </c>
      <c r="E383" s="31">
        <v>1.2929999999999999</v>
      </c>
      <c r="F383" s="31">
        <v>1.407</v>
      </c>
      <c r="G383" s="31">
        <v>1.6339999999999999</v>
      </c>
      <c r="H383" s="31">
        <v>1.966</v>
      </c>
      <c r="I383" s="31">
        <v>2.2250000000000001</v>
      </c>
      <c r="K383" s="27"/>
      <c r="L383" s="30"/>
      <c r="M383" s="30"/>
      <c r="N383" s="30"/>
      <c r="O383" s="30"/>
      <c r="P383" s="30"/>
      <c r="Q383" s="30"/>
      <c r="R383" s="30"/>
      <c r="S383" s="30"/>
    </row>
    <row r="384" spans="1:19" x14ac:dyDescent="0.25">
      <c r="A384" s="29">
        <v>44532</v>
      </c>
      <c r="B384" s="31">
        <v>0.68400000000000005</v>
      </c>
      <c r="C384" s="31">
        <v>0.74299999999999999</v>
      </c>
      <c r="D384" s="31">
        <v>0.80200000000000005</v>
      </c>
      <c r="E384" s="31">
        <v>1.2929999999999999</v>
      </c>
      <c r="F384" s="31">
        <v>1.407</v>
      </c>
      <c r="G384" s="31">
        <v>1.6339999999999999</v>
      </c>
      <c r="H384" s="31">
        <v>1.966</v>
      </c>
      <c r="I384" s="31">
        <v>2.2250000000000001</v>
      </c>
      <c r="K384" s="27"/>
      <c r="L384" s="30"/>
      <c r="M384" s="30"/>
      <c r="N384" s="30"/>
      <c r="O384" s="30"/>
      <c r="P384" s="30"/>
      <c r="Q384" s="30"/>
      <c r="R384" s="30"/>
      <c r="S384" s="30"/>
    </row>
    <row r="385" spans="1:19" x14ac:dyDescent="0.25">
      <c r="A385" s="29">
        <v>44533</v>
      </c>
      <c r="B385" s="31">
        <v>0.68400000000000005</v>
      </c>
      <c r="C385" s="31">
        <v>0.747</v>
      </c>
      <c r="D385" s="31">
        <v>0.80900000000000005</v>
      </c>
      <c r="E385" s="31">
        <v>1.2929999999999999</v>
      </c>
      <c r="F385" s="31">
        <v>1.407</v>
      </c>
      <c r="G385" s="31">
        <v>1.6339999999999999</v>
      </c>
      <c r="H385" s="31">
        <v>1.966</v>
      </c>
      <c r="I385" s="31">
        <v>2.2250000000000001</v>
      </c>
      <c r="K385" s="27"/>
      <c r="L385" s="30"/>
      <c r="M385" s="30"/>
      <c r="N385" s="30"/>
      <c r="O385" s="30"/>
      <c r="P385" s="30"/>
      <c r="Q385" s="30"/>
      <c r="R385" s="30"/>
      <c r="S385" s="30"/>
    </row>
    <row r="386" spans="1:19" x14ac:dyDescent="0.25">
      <c r="A386" s="29">
        <v>44536</v>
      </c>
      <c r="B386" s="31">
        <v>0.68200000000000005</v>
      </c>
      <c r="C386" s="31">
        <v>0.74199999999999999</v>
      </c>
      <c r="D386" s="31">
        <v>0.80200000000000005</v>
      </c>
      <c r="E386" s="31">
        <v>1.2929999999999999</v>
      </c>
      <c r="F386" s="31">
        <v>1.407</v>
      </c>
      <c r="G386" s="31">
        <v>1.6339999999999999</v>
      </c>
      <c r="H386" s="31">
        <v>1.966</v>
      </c>
      <c r="I386" s="31">
        <v>2.2250000000000001</v>
      </c>
      <c r="K386" s="27"/>
      <c r="L386" s="30"/>
      <c r="M386" s="30"/>
      <c r="N386" s="30"/>
      <c r="O386" s="30"/>
      <c r="P386" s="30"/>
      <c r="Q386" s="30"/>
      <c r="R386" s="30"/>
      <c r="S386" s="30"/>
    </row>
    <row r="387" spans="1:19" x14ac:dyDescent="0.25">
      <c r="A387" s="29">
        <v>44537</v>
      </c>
      <c r="B387" s="31">
        <v>0.68200000000000005</v>
      </c>
      <c r="C387" s="31">
        <v>0.74199999999999999</v>
      </c>
      <c r="D387" s="31">
        <v>0.80200000000000005</v>
      </c>
      <c r="E387" s="31">
        <v>1.2929999999999999</v>
      </c>
      <c r="F387" s="31">
        <v>1.407</v>
      </c>
      <c r="G387" s="31">
        <v>1.6339999999999999</v>
      </c>
      <c r="H387" s="31">
        <v>1.966</v>
      </c>
      <c r="I387" s="31">
        <v>2.2250000000000001</v>
      </c>
      <c r="K387" s="27"/>
      <c r="L387" s="30"/>
      <c r="M387" s="30"/>
      <c r="N387" s="30"/>
      <c r="O387" s="30"/>
      <c r="P387" s="30"/>
      <c r="Q387" s="30"/>
      <c r="R387" s="30"/>
      <c r="S387" s="30"/>
    </row>
    <row r="388" spans="1:19" x14ac:dyDescent="0.25">
      <c r="A388" s="29">
        <v>44538</v>
      </c>
      <c r="B388" s="31">
        <v>0.68200000000000005</v>
      </c>
      <c r="C388" s="31">
        <v>0.74299999999999999</v>
      </c>
      <c r="D388" s="31">
        <v>0.80500000000000005</v>
      </c>
      <c r="E388" s="31">
        <v>1.302</v>
      </c>
      <c r="F388" s="31">
        <v>1.4159999999999999</v>
      </c>
      <c r="G388" s="31">
        <v>1.639</v>
      </c>
      <c r="H388" s="31">
        <v>1.966</v>
      </c>
      <c r="I388" s="31">
        <v>2.2250000000000001</v>
      </c>
      <c r="K388" s="27"/>
      <c r="L388" s="30"/>
      <c r="M388" s="30"/>
      <c r="N388" s="30"/>
      <c r="O388" s="30"/>
      <c r="P388" s="30"/>
      <c r="Q388" s="30"/>
      <c r="R388" s="30"/>
      <c r="S388" s="30"/>
    </row>
    <row r="389" spans="1:19" x14ac:dyDescent="0.25">
      <c r="A389" s="29">
        <v>44539</v>
      </c>
      <c r="B389" s="31">
        <v>0.68200000000000005</v>
      </c>
      <c r="C389" s="31">
        <v>0.74399999999999999</v>
      </c>
      <c r="D389" s="31">
        <v>0.80700000000000005</v>
      </c>
      <c r="E389" s="31">
        <v>1.302</v>
      </c>
      <c r="F389" s="31">
        <v>1.4159999999999999</v>
      </c>
      <c r="G389" s="31">
        <v>1.639</v>
      </c>
      <c r="H389" s="31">
        <v>1.966</v>
      </c>
      <c r="I389" s="31">
        <v>2.2250000000000001</v>
      </c>
      <c r="K389" s="27"/>
      <c r="L389" s="30"/>
      <c r="M389" s="30"/>
      <c r="N389" s="30"/>
      <c r="O389" s="30"/>
      <c r="P389" s="30"/>
      <c r="Q389" s="30"/>
      <c r="R389" s="30"/>
      <c r="S389" s="30"/>
    </row>
    <row r="390" spans="1:19" x14ac:dyDescent="0.25">
      <c r="A390" s="29">
        <v>44540</v>
      </c>
      <c r="B390" s="31">
        <v>0.68200000000000005</v>
      </c>
      <c r="C390" s="31">
        <v>0.748</v>
      </c>
      <c r="D390" s="31">
        <v>0.81399999999999995</v>
      </c>
      <c r="E390" s="31">
        <v>1.302</v>
      </c>
      <c r="F390" s="31">
        <v>1.4159999999999999</v>
      </c>
      <c r="G390" s="31">
        <v>1.639</v>
      </c>
      <c r="H390" s="31">
        <v>1.966</v>
      </c>
      <c r="I390" s="31">
        <v>2.2250000000000001</v>
      </c>
      <c r="K390" s="27"/>
      <c r="L390" s="30"/>
      <c r="M390" s="30"/>
      <c r="N390" s="30"/>
      <c r="O390" s="30"/>
      <c r="P390" s="30"/>
      <c r="Q390" s="30"/>
      <c r="R390" s="30"/>
      <c r="S390" s="30"/>
    </row>
    <row r="391" spans="1:19" x14ac:dyDescent="0.25">
      <c r="A391" s="29">
        <v>44543</v>
      </c>
      <c r="B391" s="31">
        <v>0.68600000000000005</v>
      </c>
      <c r="C391" s="31">
        <v>0.755</v>
      </c>
      <c r="D391" s="31">
        <v>0.82299999999999995</v>
      </c>
      <c r="E391" s="31">
        <v>1.3109999999999999</v>
      </c>
      <c r="F391" s="31">
        <v>1.425</v>
      </c>
      <c r="G391" s="31">
        <v>1.6479999999999999</v>
      </c>
      <c r="H391" s="31">
        <v>1.966</v>
      </c>
      <c r="I391" s="31">
        <v>2.2250000000000001</v>
      </c>
      <c r="K391" s="27"/>
      <c r="L391" s="30"/>
      <c r="M391" s="30"/>
      <c r="N391" s="30"/>
      <c r="O391" s="30"/>
      <c r="P391" s="30"/>
      <c r="Q391" s="30"/>
      <c r="R391" s="30"/>
      <c r="S391" s="30"/>
    </row>
    <row r="392" spans="1:19" x14ac:dyDescent="0.25">
      <c r="A392" s="29">
        <v>44544</v>
      </c>
      <c r="B392" s="31">
        <v>0.72</v>
      </c>
      <c r="C392" s="31">
        <v>0.79</v>
      </c>
      <c r="D392" s="31">
        <v>0.85899999999999999</v>
      </c>
      <c r="E392" s="31">
        <v>1.3109999999999999</v>
      </c>
      <c r="F392" s="31">
        <v>1.425</v>
      </c>
      <c r="G392" s="31">
        <v>1.6479999999999999</v>
      </c>
      <c r="H392" s="31">
        <v>1.966</v>
      </c>
      <c r="I392" s="31">
        <v>2.2250000000000001</v>
      </c>
      <c r="K392" s="27"/>
      <c r="L392" s="30"/>
      <c r="M392" s="30"/>
      <c r="N392" s="30"/>
      <c r="O392" s="30"/>
      <c r="P392" s="30"/>
      <c r="Q392" s="30"/>
      <c r="R392" s="30"/>
      <c r="S392" s="30"/>
    </row>
    <row r="393" spans="1:19" x14ac:dyDescent="0.25">
      <c r="A393" s="29">
        <v>44545</v>
      </c>
      <c r="B393" s="31">
        <v>0.77300000000000002</v>
      </c>
      <c r="C393" s="31">
        <v>0.92300000000000004</v>
      </c>
      <c r="D393" s="31">
        <v>1.073</v>
      </c>
      <c r="E393" s="31">
        <v>1.3340000000000001</v>
      </c>
      <c r="F393" s="31">
        <v>1.4430000000000001</v>
      </c>
      <c r="G393" s="31">
        <v>1.6519999999999999</v>
      </c>
      <c r="H393" s="31">
        <v>1.966</v>
      </c>
      <c r="I393" s="31">
        <v>2.2250000000000001</v>
      </c>
      <c r="K393" s="27"/>
      <c r="L393" s="30"/>
      <c r="M393" s="30"/>
      <c r="N393" s="30"/>
      <c r="O393" s="30"/>
      <c r="P393" s="30"/>
      <c r="Q393" s="30"/>
      <c r="R393" s="30"/>
      <c r="S393" s="30"/>
    </row>
    <row r="394" spans="1:19" x14ac:dyDescent="0.25">
      <c r="A394" s="29">
        <v>44546</v>
      </c>
      <c r="B394" s="31">
        <v>1.5980000000000001</v>
      </c>
      <c r="C394" s="31">
        <v>1.609</v>
      </c>
      <c r="D394" s="31">
        <v>1.62</v>
      </c>
      <c r="E394" s="31">
        <v>1.4159999999999999</v>
      </c>
      <c r="F394" s="31">
        <v>1.5109999999999999</v>
      </c>
      <c r="G394" s="31">
        <v>1.7070000000000001</v>
      </c>
      <c r="H394" s="31">
        <v>1.998</v>
      </c>
      <c r="I394" s="31">
        <v>2.2480000000000002</v>
      </c>
      <c r="K394" s="27"/>
      <c r="L394" s="30"/>
      <c r="M394" s="30"/>
      <c r="N394" s="30"/>
      <c r="O394" s="30"/>
      <c r="P394" s="30"/>
      <c r="Q394" s="30"/>
      <c r="R394" s="30"/>
      <c r="S394" s="30"/>
    </row>
    <row r="395" spans="1:19" x14ac:dyDescent="0.25">
      <c r="A395" s="29">
        <v>44547</v>
      </c>
      <c r="B395" s="31">
        <v>1.5589999999999999</v>
      </c>
      <c r="C395" s="31">
        <v>1.5860000000000001</v>
      </c>
      <c r="D395" s="31">
        <v>1.6140000000000001</v>
      </c>
      <c r="E395" s="31">
        <v>1.5860000000000001</v>
      </c>
      <c r="F395" s="31">
        <v>1.6359999999999999</v>
      </c>
      <c r="G395" s="31">
        <v>1.782</v>
      </c>
      <c r="H395" s="31">
        <v>2.0590000000000002</v>
      </c>
      <c r="I395" s="31">
        <v>2.2909999999999999</v>
      </c>
      <c r="K395" s="27"/>
      <c r="L395" s="30"/>
      <c r="M395" s="30"/>
      <c r="N395" s="30"/>
      <c r="O395" s="30"/>
      <c r="P395" s="30"/>
      <c r="Q395" s="30"/>
      <c r="R395" s="30"/>
      <c r="S395" s="30"/>
    </row>
    <row r="396" spans="1:19" x14ac:dyDescent="0.25">
      <c r="A396" s="29">
        <v>44550</v>
      </c>
      <c r="B396" s="31">
        <v>1.593</v>
      </c>
      <c r="C396" s="31">
        <v>1.605</v>
      </c>
      <c r="D396" s="31">
        <v>1.6160000000000001</v>
      </c>
      <c r="E396" s="31">
        <v>1.6679999999999999</v>
      </c>
      <c r="F396" s="31">
        <v>1.6950000000000001</v>
      </c>
      <c r="G396" s="31">
        <v>1.782</v>
      </c>
      <c r="H396" s="31">
        <v>2.0590000000000002</v>
      </c>
      <c r="I396" s="31">
        <v>2.2909999999999999</v>
      </c>
      <c r="K396" s="27"/>
      <c r="L396" s="30"/>
      <c r="M396" s="30"/>
      <c r="N396" s="30"/>
      <c r="O396" s="30"/>
      <c r="P396" s="30"/>
      <c r="Q396" s="30"/>
      <c r="R396" s="30"/>
      <c r="S396" s="30"/>
    </row>
    <row r="397" spans="1:19" x14ac:dyDescent="0.25">
      <c r="A397" s="29">
        <v>44551</v>
      </c>
      <c r="B397" s="31">
        <v>1.673</v>
      </c>
      <c r="C397" s="31">
        <v>1.6859999999999999</v>
      </c>
      <c r="D397" s="31">
        <v>1.7</v>
      </c>
      <c r="E397" s="31">
        <v>1.677</v>
      </c>
      <c r="F397" s="31">
        <v>1.714</v>
      </c>
      <c r="G397" s="31">
        <v>1.8360000000000001</v>
      </c>
      <c r="H397" s="31">
        <v>2.0409999999999999</v>
      </c>
      <c r="I397" s="31">
        <v>2.2549999999999999</v>
      </c>
      <c r="K397" s="27"/>
      <c r="L397" s="30"/>
      <c r="M397" s="30"/>
      <c r="N397" s="30"/>
      <c r="O397" s="30"/>
      <c r="P397" s="30"/>
      <c r="Q397" s="30"/>
      <c r="R397" s="30"/>
      <c r="S397" s="30"/>
    </row>
    <row r="398" spans="1:19" x14ac:dyDescent="0.25">
      <c r="A398" s="29">
        <v>44552</v>
      </c>
      <c r="B398" s="31">
        <v>1.9</v>
      </c>
      <c r="C398" s="31">
        <v>1.909</v>
      </c>
      <c r="D398" s="31">
        <v>1.9179999999999999</v>
      </c>
      <c r="E398" s="31">
        <v>1.891</v>
      </c>
      <c r="F398" s="31">
        <v>1.8640000000000001</v>
      </c>
      <c r="G398" s="31">
        <v>1.9550000000000001</v>
      </c>
      <c r="H398" s="31">
        <v>2.141</v>
      </c>
      <c r="I398" s="31">
        <v>2.35</v>
      </c>
      <c r="K398" s="27"/>
      <c r="L398" s="30"/>
      <c r="M398" s="30"/>
      <c r="N398" s="30"/>
      <c r="O398" s="30"/>
      <c r="P398" s="30"/>
      <c r="Q398" s="30"/>
      <c r="R398" s="30"/>
      <c r="S398" s="30"/>
    </row>
    <row r="399" spans="1:19" x14ac:dyDescent="0.25">
      <c r="A399" s="29">
        <v>44553</v>
      </c>
      <c r="B399" s="31">
        <v>1.9159999999999999</v>
      </c>
      <c r="C399" s="31">
        <v>1.9279999999999999</v>
      </c>
      <c r="D399" s="31">
        <v>1.9410000000000001</v>
      </c>
      <c r="E399" s="31">
        <v>1.9139999999999999</v>
      </c>
      <c r="F399" s="31">
        <v>1.891</v>
      </c>
      <c r="G399" s="31">
        <v>1.9730000000000001</v>
      </c>
      <c r="H399" s="31">
        <v>2.15</v>
      </c>
      <c r="I399" s="31">
        <v>2.35</v>
      </c>
      <c r="K399" s="27"/>
      <c r="L399" s="30"/>
      <c r="M399" s="30"/>
      <c r="N399" s="30"/>
      <c r="O399" s="30"/>
      <c r="P399" s="30"/>
      <c r="Q399" s="30"/>
      <c r="R399" s="30"/>
      <c r="S399" s="30"/>
    </row>
    <row r="400" spans="1:19" x14ac:dyDescent="0.25">
      <c r="A400" s="29">
        <v>44554</v>
      </c>
      <c r="B400" s="31">
        <v>1.9159999999999999</v>
      </c>
      <c r="C400" s="31">
        <v>1.915</v>
      </c>
      <c r="D400" s="31">
        <v>1.9139999999999999</v>
      </c>
      <c r="E400" s="31">
        <v>1.95</v>
      </c>
      <c r="F400" s="31">
        <v>1.9450000000000001</v>
      </c>
      <c r="G400" s="31">
        <v>2.0179999999999998</v>
      </c>
      <c r="H400" s="31">
        <v>2.15</v>
      </c>
      <c r="I400" s="31">
        <v>2.35</v>
      </c>
      <c r="K400" s="27"/>
      <c r="L400" s="30"/>
      <c r="M400" s="30"/>
      <c r="N400" s="30"/>
      <c r="O400" s="30"/>
      <c r="P400" s="30"/>
      <c r="Q400" s="30"/>
      <c r="R400" s="30"/>
      <c r="S400" s="30"/>
    </row>
    <row r="401" spans="1:19" x14ac:dyDescent="0.25">
      <c r="A401" s="29">
        <v>44557</v>
      </c>
      <c r="B401" s="31">
        <v>1.92</v>
      </c>
      <c r="C401" s="31">
        <v>1.9330000000000001</v>
      </c>
      <c r="D401" s="31">
        <v>1.9450000000000001</v>
      </c>
      <c r="E401" s="31">
        <v>1.9450000000000001</v>
      </c>
      <c r="F401" s="31">
        <v>1.927</v>
      </c>
      <c r="G401" s="31">
        <v>1.982</v>
      </c>
      <c r="H401" s="31">
        <v>2.1680000000000001</v>
      </c>
      <c r="I401" s="31">
        <v>2.35</v>
      </c>
      <c r="K401" s="27"/>
      <c r="L401" s="30"/>
      <c r="M401" s="30"/>
      <c r="N401" s="30"/>
      <c r="O401" s="30"/>
      <c r="P401" s="30"/>
      <c r="Q401" s="30"/>
      <c r="R401" s="30"/>
      <c r="S401" s="30"/>
    </row>
    <row r="402" spans="1:19" x14ac:dyDescent="0.25">
      <c r="A402" s="29">
        <v>44558</v>
      </c>
      <c r="B402" s="31">
        <v>1.9159999999999999</v>
      </c>
      <c r="C402" s="31">
        <v>1.9359999999999999</v>
      </c>
      <c r="D402" s="31">
        <v>1.9570000000000001</v>
      </c>
      <c r="E402" s="31">
        <v>1.9450000000000001</v>
      </c>
      <c r="F402" s="31">
        <v>1.927</v>
      </c>
      <c r="G402" s="31">
        <v>1.982</v>
      </c>
      <c r="H402" s="31">
        <v>2.1680000000000001</v>
      </c>
      <c r="I402" s="31">
        <v>2.35</v>
      </c>
      <c r="K402" s="27"/>
      <c r="L402" s="30"/>
      <c r="M402" s="30"/>
      <c r="N402" s="30"/>
      <c r="O402" s="30"/>
      <c r="P402" s="30"/>
      <c r="Q402" s="30"/>
      <c r="R402" s="30"/>
      <c r="S402" s="30"/>
    </row>
    <row r="403" spans="1:19" x14ac:dyDescent="0.25">
      <c r="A403" s="29">
        <v>44559</v>
      </c>
      <c r="B403" s="31">
        <v>1.88</v>
      </c>
      <c r="C403" s="31">
        <v>1.9059999999999999</v>
      </c>
      <c r="D403" s="31">
        <v>1.9319999999999999</v>
      </c>
      <c r="E403" s="31">
        <v>1.964</v>
      </c>
      <c r="F403" s="31">
        <v>1.9450000000000001</v>
      </c>
      <c r="G403" s="31">
        <v>2</v>
      </c>
      <c r="H403" s="31">
        <v>2.1859999999999999</v>
      </c>
      <c r="I403" s="31">
        <v>2.359</v>
      </c>
      <c r="K403" s="27"/>
      <c r="L403" s="30"/>
      <c r="M403" s="30"/>
      <c r="N403" s="30"/>
      <c r="O403" s="30"/>
      <c r="P403" s="30"/>
      <c r="Q403" s="30"/>
      <c r="R403" s="30"/>
      <c r="S403" s="30"/>
    </row>
    <row r="404" spans="1:19" x14ac:dyDescent="0.25">
      <c r="A404" s="29">
        <v>44560</v>
      </c>
      <c r="B404" s="31">
        <v>1.8680000000000001</v>
      </c>
      <c r="C404" s="31">
        <v>1.895</v>
      </c>
      <c r="D404" s="31">
        <v>1.923</v>
      </c>
      <c r="E404" s="31">
        <v>1.9550000000000001</v>
      </c>
      <c r="F404" s="31">
        <v>1.9450000000000001</v>
      </c>
      <c r="G404" s="31">
        <v>2</v>
      </c>
      <c r="H404" s="31">
        <v>2.1859999999999999</v>
      </c>
      <c r="I404" s="31">
        <v>2.359</v>
      </c>
      <c r="K404" s="27"/>
      <c r="L404" s="30"/>
      <c r="M404" s="30"/>
      <c r="N404" s="30"/>
      <c r="O404" s="30"/>
      <c r="P404" s="30"/>
      <c r="Q404" s="30"/>
      <c r="R404" s="30"/>
      <c r="S404" s="30"/>
    </row>
    <row r="405" spans="1:19" x14ac:dyDescent="0.25">
      <c r="A405" s="29">
        <v>44561</v>
      </c>
      <c r="B405" s="31">
        <v>1.873</v>
      </c>
      <c r="C405" s="31">
        <v>1.9</v>
      </c>
      <c r="D405" s="31">
        <v>1.9269999999999998</v>
      </c>
      <c r="E405" s="31">
        <v>1.9449999999999998</v>
      </c>
      <c r="F405" s="31">
        <v>1.9449999999999998</v>
      </c>
      <c r="G405" s="31">
        <v>2</v>
      </c>
      <c r="H405" s="31">
        <v>2.1859999999999999</v>
      </c>
      <c r="I405" s="31">
        <v>2.359</v>
      </c>
      <c r="K405" s="27"/>
      <c r="L405" s="30"/>
      <c r="M405" s="30"/>
      <c r="N405" s="30"/>
      <c r="O405" s="30"/>
      <c r="P405" s="30"/>
      <c r="Q405" s="30"/>
      <c r="R405" s="30"/>
      <c r="S405" s="30"/>
    </row>
    <row r="406" spans="1:19" x14ac:dyDescent="0.25">
      <c r="A406" s="29">
        <v>44565</v>
      </c>
      <c r="B406" s="31">
        <v>1.909</v>
      </c>
      <c r="C406" s="31">
        <v>1.925</v>
      </c>
      <c r="D406" s="31">
        <v>1.9410000000000001</v>
      </c>
      <c r="E406" s="31">
        <v>1.9359999999999999</v>
      </c>
      <c r="F406" s="31">
        <v>1.9450000000000001</v>
      </c>
      <c r="G406" s="31">
        <v>2</v>
      </c>
      <c r="H406" s="31">
        <v>2.1859999999999999</v>
      </c>
      <c r="I406" s="31">
        <v>2.359</v>
      </c>
      <c r="K406" s="27"/>
      <c r="L406" s="30"/>
      <c r="M406" s="30"/>
      <c r="N406" s="30"/>
      <c r="O406" s="30"/>
      <c r="P406" s="30"/>
      <c r="Q406" s="30"/>
      <c r="R406" s="30"/>
      <c r="S406" s="30"/>
    </row>
    <row r="407" spans="1:19" x14ac:dyDescent="0.25">
      <c r="A407" s="29">
        <v>44566</v>
      </c>
      <c r="B407" s="31">
        <v>1.907</v>
      </c>
      <c r="C407" s="31">
        <v>1.9259999999999999</v>
      </c>
      <c r="D407" s="31">
        <v>1.9450000000000001</v>
      </c>
      <c r="E407" s="31">
        <v>1.9450000000000001</v>
      </c>
      <c r="F407" s="31">
        <v>1.964</v>
      </c>
      <c r="G407" s="31">
        <v>2.0270000000000001</v>
      </c>
      <c r="H407" s="31">
        <v>2.1949999999999998</v>
      </c>
      <c r="I407" s="31">
        <v>2.3140000000000001</v>
      </c>
      <c r="K407" s="27"/>
      <c r="L407" s="30"/>
      <c r="M407" s="30"/>
      <c r="N407" s="30"/>
      <c r="O407" s="30"/>
      <c r="P407" s="30"/>
      <c r="Q407" s="30"/>
      <c r="R407" s="30"/>
      <c r="S407" s="30"/>
    </row>
    <row r="408" spans="1:19" x14ac:dyDescent="0.25">
      <c r="A408" s="29">
        <v>44567</v>
      </c>
      <c r="B408" s="31">
        <v>1.893</v>
      </c>
      <c r="C408" s="31">
        <v>1.9239999999999999</v>
      </c>
      <c r="D408" s="31">
        <v>1.9550000000000001</v>
      </c>
      <c r="E408" s="31">
        <v>1.9450000000000001</v>
      </c>
      <c r="F408" s="31">
        <v>1.964</v>
      </c>
      <c r="G408" s="31">
        <v>2.0449999999999999</v>
      </c>
      <c r="H408" s="31">
        <v>2.1949999999999998</v>
      </c>
      <c r="I408" s="31">
        <v>2.3140000000000001</v>
      </c>
      <c r="K408" s="27"/>
      <c r="L408" s="30"/>
      <c r="M408" s="30"/>
      <c r="N408" s="30"/>
      <c r="O408" s="30"/>
      <c r="P408" s="30"/>
      <c r="Q408" s="30"/>
      <c r="R408" s="30"/>
      <c r="S408" s="30"/>
    </row>
    <row r="409" spans="1:19" x14ac:dyDescent="0.25">
      <c r="A409" s="29">
        <v>44568</v>
      </c>
      <c r="B409" s="31">
        <v>1.8859999999999999</v>
      </c>
      <c r="C409" s="31">
        <v>1.911</v>
      </c>
      <c r="D409" s="31">
        <v>1.9359999999999999</v>
      </c>
      <c r="E409" s="31">
        <v>1.9450000000000001</v>
      </c>
      <c r="F409" s="31">
        <v>1.964</v>
      </c>
      <c r="G409" s="31">
        <v>2.0449999999999999</v>
      </c>
      <c r="H409" s="31">
        <v>2.1949999999999998</v>
      </c>
      <c r="I409" s="31">
        <v>2.3140000000000001</v>
      </c>
      <c r="K409" s="27"/>
      <c r="L409" s="30"/>
      <c r="M409" s="30"/>
      <c r="N409" s="30"/>
      <c r="O409" s="30"/>
      <c r="P409" s="30"/>
      <c r="Q409" s="30"/>
      <c r="R409" s="30"/>
      <c r="S409" s="30"/>
    </row>
    <row r="410" spans="1:19" x14ac:dyDescent="0.25">
      <c r="A410" s="29">
        <v>44571</v>
      </c>
      <c r="B410" s="31">
        <v>1.8640000000000001</v>
      </c>
      <c r="C410" s="31">
        <v>1.885</v>
      </c>
      <c r="D410" s="31">
        <v>1.907</v>
      </c>
      <c r="E410" s="31">
        <v>1.905</v>
      </c>
      <c r="F410" s="31">
        <v>1.9139999999999999</v>
      </c>
      <c r="G410" s="31">
        <v>1.9730000000000001</v>
      </c>
      <c r="H410" s="31">
        <v>2.141</v>
      </c>
      <c r="I410" s="31">
        <v>2.25</v>
      </c>
      <c r="K410" s="27"/>
      <c r="L410" s="30"/>
      <c r="M410" s="30"/>
      <c r="N410" s="30"/>
      <c r="O410" s="30"/>
      <c r="P410" s="30"/>
      <c r="Q410" s="30"/>
      <c r="R410" s="30"/>
      <c r="S410" s="30"/>
    </row>
    <row r="411" spans="1:19" x14ac:dyDescent="0.25">
      <c r="A411" s="29">
        <v>44572</v>
      </c>
      <c r="B411" s="31">
        <v>1.8360000000000001</v>
      </c>
      <c r="C411" s="31">
        <v>1.861</v>
      </c>
      <c r="D411" s="31">
        <v>1.8859999999999999</v>
      </c>
      <c r="E411" s="31">
        <v>1.895</v>
      </c>
      <c r="F411" s="31">
        <v>1.905</v>
      </c>
      <c r="G411" s="31">
        <v>1.9730000000000001</v>
      </c>
      <c r="H411" s="31">
        <v>2.141</v>
      </c>
      <c r="I411" s="31">
        <v>2.25</v>
      </c>
      <c r="K411" s="27"/>
      <c r="L411" s="30"/>
      <c r="M411" s="30"/>
      <c r="N411" s="30"/>
      <c r="O411" s="30"/>
      <c r="P411" s="30"/>
      <c r="Q411" s="30"/>
      <c r="R411" s="30"/>
      <c r="S411" s="30"/>
    </row>
    <row r="412" spans="1:19" x14ac:dyDescent="0.25">
      <c r="A412" s="29">
        <v>44573</v>
      </c>
      <c r="B412" s="31">
        <v>1.8</v>
      </c>
      <c r="C412" s="31">
        <v>1.835</v>
      </c>
      <c r="D412" s="31">
        <v>1.87</v>
      </c>
      <c r="E412" s="31">
        <v>1.895</v>
      </c>
      <c r="F412" s="31">
        <v>1.895</v>
      </c>
      <c r="G412" s="31">
        <v>1.9450000000000001</v>
      </c>
      <c r="H412" s="31">
        <v>2.1320000000000001</v>
      </c>
      <c r="I412" s="31">
        <v>2.2410000000000001</v>
      </c>
      <c r="K412" s="27"/>
      <c r="L412" s="30"/>
      <c r="M412" s="30"/>
      <c r="N412" s="30"/>
      <c r="O412" s="30"/>
      <c r="P412" s="30"/>
      <c r="Q412" s="30"/>
      <c r="R412" s="30"/>
      <c r="S412" s="30"/>
    </row>
    <row r="413" spans="1:19" x14ac:dyDescent="0.25">
      <c r="A413" s="29">
        <v>44574</v>
      </c>
      <c r="B413" s="31">
        <v>1.7070000000000001</v>
      </c>
      <c r="C413" s="31">
        <v>1.756</v>
      </c>
      <c r="D413" s="31">
        <v>1.8049999999999999</v>
      </c>
      <c r="E413" s="31">
        <v>1.8859999999999999</v>
      </c>
      <c r="F413" s="31">
        <v>1.8859999999999999</v>
      </c>
      <c r="G413" s="31">
        <v>1.9359999999999999</v>
      </c>
      <c r="H413" s="31">
        <v>2.1320000000000001</v>
      </c>
      <c r="I413" s="31">
        <v>2.2410000000000001</v>
      </c>
      <c r="K413" s="27"/>
      <c r="L413" s="30"/>
      <c r="M413" s="30"/>
      <c r="N413" s="30"/>
      <c r="O413" s="30"/>
      <c r="P413" s="30"/>
      <c r="Q413" s="30"/>
      <c r="R413" s="30"/>
      <c r="S413" s="30"/>
    </row>
    <row r="414" spans="1:19" x14ac:dyDescent="0.25">
      <c r="A414" s="29">
        <v>44575</v>
      </c>
      <c r="B414" s="31">
        <v>1.7</v>
      </c>
      <c r="C414" s="31">
        <v>1.7430000000000001</v>
      </c>
      <c r="D414" s="31">
        <v>1.786</v>
      </c>
      <c r="E414" s="31">
        <v>1.8859999999999999</v>
      </c>
      <c r="F414" s="31">
        <v>1.8859999999999999</v>
      </c>
      <c r="G414" s="31">
        <v>1.9359999999999999</v>
      </c>
      <c r="H414" s="31">
        <v>2.1320000000000001</v>
      </c>
      <c r="I414" s="31">
        <v>2.2410000000000001</v>
      </c>
      <c r="K414" s="27"/>
      <c r="L414" s="30"/>
      <c r="M414" s="30"/>
      <c r="N414" s="30"/>
      <c r="O414" s="30"/>
      <c r="P414" s="30"/>
      <c r="Q414" s="30"/>
      <c r="R414" s="30"/>
      <c r="S414" s="30"/>
    </row>
    <row r="415" spans="1:19" x14ac:dyDescent="0.25">
      <c r="A415" s="29">
        <v>44578</v>
      </c>
      <c r="B415" s="31">
        <v>1.748</v>
      </c>
      <c r="C415" s="31">
        <v>1.784</v>
      </c>
      <c r="D415" s="31">
        <v>1.82</v>
      </c>
      <c r="E415" s="31">
        <v>1.877</v>
      </c>
      <c r="F415" s="31">
        <v>1.877</v>
      </c>
      <c r="G415" s="31">
        <v>1.9359999999999999</v>
      </c>
      <c r="H415" s="31">
        <v>2.1320000000000001</v>
      </c>
      <c r="I415" s="31">
        <v>2.2410000000000001</v>
      </c>
      <c r="K415" s="27"/>
      <c r="L415" s="30"/>
      <c r="M415" s="30"/>
      <c r="N415" s="30"/>
      <c r="O415" s="30"/>
      <c r="P415" s="30"/>
      <c r="Q415" s="30"/>
      <c r="R415" s="30"/>
      <c r="S415" s="30"/>
    </row>
    <row r="416" spans="1:19" x14ac:dyDescent="0.25">
      <c r="A416" s="29">
        <v>44579</v>
      </c>
      <c r="B416" s="31">
        <v>1.764</v>
      </c>
      <c r="C416" s="31">
        <v>1.7969999999999999</v>
      </c>
      <c r="D416" s="31">
        <v>1.83</v>
      </c>
      <c r="E416" s="31">
        <v>1.877</v>
      </c>
      <c r="F416" s="31">
        <v>1.877</v>
      </c>
      <c r="G416" s="31">
        <v>1.9450000000000001</v>
      </c>
      <c r="H416" s="31">
        <v>2.1320000000000001</v>
      </c>
      <c r="I416" s="31">
        <v>2.2410000000000001</v>
      </c>
      <c r="K416" s="27"/>
      <c r="L416" s="30"/>
      <c r="M416" s="30"/>
      <c r="N416" s="30"/>
      <c r="O416" s="30"/>
      <c r="P416" s="30"/>
      <c r="Q416" s="30"/>
      <c r="R416" s="30"/>
      <c r="S416" s="30"/>
    </row>
    <row r="417" spans="1:19" x14ac:dyDescent="0.25">
      <c r="A417" s="29">
        <v>44580</v>
      </c>
      <c r="B417" s="31">
        <v>1.8979999999999999</v>
      </c>
      <c r="C417" s="31">
        <v>1.885</v>
      </c>
      <c r="D417" s="31">
        <v>1.873</v>
      </c>
      <c r="E417" s="31">
        <v>1.877</v>
      </c>
      <c r="F417" s="31">
        <v>1.877</v>
      </c>
      <c r="G417" s="31">
        <v>1.9450000000000001</v>
      </c>
      <c r="H417" s="31">
        <v>2.1320000000000001</v>
      </c>
      <c r="I417" s="31">
        <v>2.2410000000000001</v>
      </c>
      <c r="K417" s="27"/>
      <c r="L417" s="30"/>
      <c r="M417" s="30"/>
      <c r="N417" s="30"/>
      <c r="O417" s="30"/>
      <c r="P417" s="30"/>
      <c r="Q417" s="30"/>
      <c r="R417" s="30"/>
      <c r="S417" s="30"/>
    </row>
    <row r="418" spans="1:19" x14ac:dyDescent="0.25">
      <c r="A418" s="29">
        <v>44581</v>
      </c>
      <c r="B418" s="31">
        <v>1.92</v>
      </c>
      <c r="C418" s="31">
        <v>1.9179999999999999</v>
      </c>
      <c r="D418" s="31">
        <v>1.9159999999999999</v>
      </c>
      <c r="E418" s="31">
        <v>1.8859999999999999</v>
      </c>
      <c r="F418" s="31">
        <v>1.8859999999999999</v>
      </c>
      <c r="G418" s="31">
        <v>1.9450000000000001</v>
      </c>
      <c r="H418" s="31">
        <v>2.1320000000000001</v>
      </c>
      <c r="I418" s="31">
        <v>2.2410000000000001</v>
      </c>
      <c r="K418" s="27"/>
      <c r="L418" s="30"/>
      <c r="M418" s="30"/>
      <c r="N418" s="30"/>
      <c r="O418" s="30"/>
      <c r="P418" s="30"/>
      <c r="Q418" s="30"/>
      <c r="R418" s="30"/>
      <c r="S418" s="30"/>
    </row>
    <row r="419" spans="1:19" x14ac:dyDescent="0.25">
      <c r="A419" s="29">
        <v>44582</v>
      </c>
      <c r="B419" s="31">
        <v>2.032</v>
      </c>
      <c r="C419" s="31">
        <v>2.032</v>
      </c>
      <c r="D419" s="31">
        <v>2.032</v>
      </c>
      <c r="E419" s="31">
        <v>1.9139999999999999</v>
      </c>
      <c r="F419" s="31">
        <v>1.895</v>
      </c>
      <c r="G419" s="31">
        <v>1.9550000000000001</v>
      </c>
      <c r="H419" s="31">
        <v>2.141</v>
      </c>
      <c r="I419" s="31">
        <v>2.25</v>
      </c>
      <c r="K419" s="27"/>
      <c r="L419" s="30"/>
      <c r="M419" s="30"/>
      <c r="N419" s="30"/>
      <c r="O419" s="30"/>
      <c r="P419" s="30"/>
      <c r="Q419" s="30"/>
      <c r="R419" s="30"/>
      <c r="S419" s="30"/>
    </row>
    <row r="420" spans="1:19" x14ac:dyDescent="0.25">
      <c r="A420" s="29">
        <v>44585</v>
      </c>
      <c r="B420" s="31">
        <v>2.3140000000000001</v>
      </c>
      <c r="C420" s="31">
        <v>2.302</v>
      </c>
      <c r="D420" s="31">
        <v>2.2909999999999999</v>
      </c>
      <c r="E420" s="31">
        <v>1.9770000000000001</v>
      </c>
      <c r="F420" s="31">
        <v>1.968</v>
      </c>
      <c r="G420" s="31">
        <v>1.986</v>
      </c>
      <c r="H420" s="31">
        <v>2.1549999999999998</v>
      </c>
      <c r="I420" s="31">
        <v>2.25</v>
      </c>
      <c r="K420" s="27"/>
      <c r="L420" s="30"/>
      <c r="M420" s="30"/>
      <c r="N420" s="30"/>
      <c r="O420" s="30"/>
      <c r="P420" s="30"/>
      <c r="Q420" s="30"/>
      <c r="R420" s="30"/>
      <c r="S420" s="30"/>
    </row>
    <row r="421" spans="1:19" x14ac:dyDescent="0.25">
      <c r="A421" s="29">
        <v>44586</v>
      </c>
      <c r="B421" s="31">
        <v>2.4409999999999998</v>
      </c>
      <c r="C421" s="31">
        <v>2.4409999999999998</v>
      </c>
      <c r="D421" s="31">
        <v>2.4409999999999998</v>
      </c>
      <c r="E421" s="31">
        <v>2.0270000000000001</v>
      </c>
      <c r="F421" s="31">
        <v>1.9950000000000001</v>
      </c>
      <c r="G421" s="31">
        <v>2.0270000000000001</v>
      </c>
      <c r="H421" s="31">
        <v>2.1680000000000001</v>
      </c>
      <c r="I421" s="31">
        <v>2.2679999999999998</v>
      </c>
      <c r="K421" s="27"/>
      <c r="L421" s="30"/>
      <c r="M421" s="30"/>
      <c r="N421" s="30"/>
      <c r="O421" s="30"/>
      <c r="P421" s="30"/>
      <c r="Q421" s="30"/>
      <c r="R421" s="30"/>
      <c r="S421" s="30"/>
    </row>
    <row r="422" spans="1:19" x14ac:dyDescent="0.25">
      <c r="A422" s="29">
        <v>44587</v>
      </c>
      <c r="B422" s="31">
        <v>2.4950000000000001</v>
      </c>
      <c r="C422" s="31">
        <v>2.4769999999999999</v>
      </c>
      <c r="D422" s="31">
        <v>2.4590000000000001</v>
      </c>
      <c r="E422" s="31">
        <v>2.0499999999999998</v>
      </c>
      <c r="F422" s="31">
        <v>2.0270000000000001</v>
      </c>
      <c r="G422" s="31">
        <v>2.0640000000000001</v>
      </c>
      <c r="H422" s="31">
        <v>2.2050000000000001</v>
      </c>
      <c r="I422" s="31">
        <v>2.2949999999999999</v>
      </c>
      <c r="K422" s="27"/>
      <c r="L422" s="30"/>
      <c r="M422" s="30"/>
      <c r="N422" s="30"/>
      <c r="O422" s="30"/>
      <c r="P422" s="30"/>
      <c r="Q422" s="30"/>
      <c r="R422" s="30"/>
      <c r="S422" s="30"/>
    </row>
    <row r="423" spans="1:19" x14ac:dyDescent="0.25">
      <c r="A423" s="29">
        <v>44588</v>
      </c>
      <c r="B423" s="31">
        <v>2.468</v>
      </c>
      <c r="C423" s="31">
        <v>2.4550000000000001</v>
      </c>
      <c r="D423" s="31">
        <v>2.4409999999999998</v>
      </c>
      <c r="E423" s="31">
        <v>2.0499999999999998</v>
      </c>
      <c r="F423" s="31">
        <v>2.0270000000000001</v>
      </c>
      <c r="G423" s="31">
        <v>2.0640000000000001</v>
      </c>
      <c r="H423" s="31">
        <v>2.2050000000000001</v>
      </c>
      <c r="I423" s="31">
        <v>2.2949999999999999</v>
      </c>
      <c r="K423" s="27"/>
      <c r="L423" s="30"/>
      <c r="M423" s="30"/>
      <c r="N423" s="30"/>
      <c r="O423" s="30"/>
      <c r="P423" s="30"/>
      <c r="Q423" s="30"/>
      <c r="R423" s="30"/>
      <c r="S423" s="30"/>
    </row>
    <row r="424" spans="1:19" x14ac:dyDescent="0.25">
      <c r="A424" s="29">
        <v>44589</v>
      </c>
      <c r="B424" s="31">
        <v>1.9159999999999999</v>
      </c>
      <c r="C424" s="31">
        <v>1.9359999999999999</v>
      </c>
      <c r="D424" s="31">
        <v>1.9570000000000001</v>
      </c>
      <c r="E424" s="31">
        <v>1.9450000000000001</v>
      </c>
      <c r="F424" s="31">
        <v>1.927</v>
      </c>
      <c r="G424" s="31">
        <v>1.982</v>
      </c>
      <c r="H424" s="31">
        <v>2.1680000000000001</v>
      </c>
      <c r="I424" s="31">
        <v>2.35</v>
      </c>
      <c r="K424" s="27"/>
      <c r="L424" s="30"/>
      <c r="M424" s="30"/>
      <c r="N424" s="30"/>
      <c r="O424" s="30"/>
      <c r="P424" s="30"/>
      <c r="Q424" s="30"/>
      <c r="R424" s="30"/>
      <c r="S424" s="30"/>
    </row>
    <row r="425" spans="1:19" x14ac:dyDescent="0.25">
      <c r="A425" s="29">
        <v>44599</v>
      </c>
      <c r="B425" s="31">
        <v>2.2360000000000002</v>
      </c>
      <c r="C425" s="31">
        <v>2.234</v>
      </c>
      <c r="D425" s="31">
        <v>2.2320000000000002</v>
      </c>
      <c r="E425" s="31">
        <v>2.0640000000000001</v>
      </c>
      <c r="F425" s="31">
        <v>2.0449999999999999</v>
      </c>
      <c r="G425" s="31">
        <v>2.0819999999999999</v>
      </c>
      <c r="H425" s="31">
        <v>2.214</v>
      </c>
      <c r="I425" s="31">
        <v>2.2949999999999999</v>
      </c>
      <c r="K425" s="27"/>
      <c r="L425" s="30"/>
      <c r="M425" s="30"/>
      <c r="N425" s="30"/>
      <c r="O425" s="30"/>
      <c r="P425" s="30"/>
      <c r="Q425" s="30"/>
      <c r="R425" s="30"/>
      <c r="S425" s="30"/>
    </row>
    <row r="426" spans="1:19" x14ac:dyDescent="0.25">
      <c r="A426" s="29">
        <v>44600</v>
      </c>
      <c r="B426" s="31">
        <v>2.3820000000000001</v>
      </c>
      <c r="C426" s="31">
        <v>2.3660000000000001</v>
      </c>
      <c r="D426" s="31">
        <v>2.35</v>
      </c>
      <c r="E426" s="31">
        <v>2.077</v>
      </c>
      <c r="F426" s="31">
        <v>2.0819999999999999</v>
      </c>
      <c r="G426" s="31">
        <v>2.0819999999999999</v>
      </c>
      <c r="H426" s="31">
        <v>2.214</v>
      </c>
      <c r="I426" s="31">
        <v>2.2949999999999999</v>
      </c>
      <c r="K426" s="27"/>
      <c r="L426" s="30"/>
      <c r="M426" s="30"/>
      <c r="N426" s="30"/>
      <c r="O426" s="30"/>
      <c r="P426" s="30"/>
      <c r="Q426" s="30"/>
      <c r="R426" s="30"/>
      <c r="S426" s="30"/>
    </row>
    <row r="427" spans="1:19" x14ac:dyDescent="0.25">
      <c r="A427" s="29">
        <v>44601</v>
      </c>
      <c r="B427" s="31">
        <v>2.395</v>
      </c>
      <c r="C427" s="31">
        <v>2.375</v>
      </c>
      <c r="D427" s="31">
        <v>2.355</v>
      </c>
      <c r="E427" s="31">
        <v>2.0859999999999999</v>
      </c>
      <c r="F427" s="31">
        <v>2.0819999999999999</v>
      </c>
      <c r="G427" s="31">
        <v>2.0910000000000002</v>
      </c>
      <c r="H427" s="31">
        <v>2.214</v>
      </c>
      <c r="I427" s="31">
        <v>2.2949999999999999</v>
      </c>
      <c r="K427" s="27"/>
      <c r="L427" s="30"/>
      <c r="M427" s="30"/>
      <c r="N427" s="30"/>
      <c r="O427" s="30"/>
      <c r="P427" s="30"/>
      <c r="Q427" s="30"/>
      <c r="R427" s="30"/>
      <c r="S427" s="30"/>
    </row>
    <row r="428" spans="1:19" x14ac:dyDescent="0.25">
      <c r="A428" s="29">
        <v>44602</v>
      </c>
      <c r="B428" s="31">
        <v>2.395</v>
      </c>
      <c r="C428" s="31">
        <v>2.3860000000000001</v>
      </c>
      <c r="D428" s="31">
        <v>2.3769999999999998</v>
      </c>
      <c r="E428" s="31">
        <v>2.0950000000000002</v>
      </c>
      <c r="F428" s="31">
        <v>2.0819999999999999</v>
      </c>
      <c r="G428" s="31">
        <v>2.0910000000000002</v>
      </c>
      <c r="H428" s="31">
        <v>2.214</v>
      </c>
      <c r="I428" s="31">
        <v>2.2949999999999999</v>
      </c>
      <c r="K428" s="27"/>
      <c r="L428" s="30"/>
      <c r="M428" s="30"/>
      <c r="N428" s="30"/>
      <c r="O428" s="30"/>
      <c r="P428" s="30"/>
      <c r="Q428" s="30"/>
      <c r="R428" s="30"/>
      <c r="S428" s="30"/>
    </row>
    <row r="429" spans="1:19" x14ac:dyDescent="0.25">
      <c r="A429" s="29">
        <v>44603</v>
      </c>
      <c r="B429" s="31">
        <v>2.3730000000000002</v>
      </c>
      <c r="C429" s="31">
        <v>2.3610000000000002</v>
      </c>
      <c r="D429" s="31">
        <v>2.35</v>
      </c>
      <c r="E429" s="31">
        <v>2.105</v>
      </c>
      <c r="F429" s="31">
        <v>2.0910000000000002</v>
      </c>
      <c r="G429" s="31">
        <v>2.1</v>
      </c>
      <c r="H429" s="31">
        <v>2.214</v>
      </c>
      <c r="I429" s="31">
        <v>2.2949999999999999</v>
      </c>
      <c r="K429" s="27"/>
      <c r="L429" s="30"/>
      <c r="M429" s="30"/>
      <c r="N429" s="30"/>
      <c r="O429" s="30"/>
      <c r="P429" s="30"/>
      <c r="Q429" s="30"/>
      <c r="R429" s="30"/>
      <c r="S429" s="30"/>
    </row>
    <row r="430" spans="1:19" x14ac:dyDescent="0.25">
      <c r="A430" s="29">
        <v>44606</v>
      </c>
      <c r="B430" s="31">
        <v>2.339</v>
      </c>
      <c r="C430" s="31">
        <v>2.3319999999999999</v>
      </c>
      <c r="D430" s="31">
        <v>2.3250000000000002</v>
      </c>
      <c r="E430" s="31">
        <v>2.1139999999999999</v>
      </c>
      <c r="F430" s="31">
        <v>2.109</v>
      </c>
      <c r="G430" s="31">
        <v>2.1179999999999999</v>
      </c>
      <c r="H430" s="31">
        <v>2.2320000000000002</v>
      </c>
      <c r="I430" s="31">
        <v>2.2949999999999999</v>
      </c>
      <c r="K430" s="27"/>
      <c r="L430" s="30"/>
      <c r="M430" s="30"/>
      <c r="N430" s="30"/>
      <c r="O430" s="30"/>
      <c r="P430" s="30"/>
      <c r="Q430" s="30"/>
      <c r="R430" s="30"/>
      <c r="S430" s="30"/>
    </row>
    <row r="431" spans="1:19" x14ac:dyDescent="0.25">
      <c r="A431" s="29">
        <v>44607</v>
      </c>
      <c r="B431" s="31">
        <v>2.3319999999999999</v>
      </c>
      <c r="C431" s="31">
        <v>2.323</v>
      </c>
      <c r="D431" s="31">
        <v>2.3140000000000001</v>
      </c>
      <c r="E431" s="31">
        <v>2.1139999999999999</v>
      </c>
      <c r="F431" s="31">
        <v>2.109</v>
      </c>
      <c r="G431" s="31">
        <v>2.1179999999999999</v>
      </c>
      <c r="H431" s="31">
        <v>2.2320000000000002</v>
      </c>
      <c r="I431" s="31">
        <v>2.2949999999999999</v>
      </c>
      <c r="K431" s="27"/>
      <c r="L431" s="30"/>
      <c r="M431" s="30"/>
      <c r="N431" s="30"/>
      <c r="O431" s="30"/>
      <c r="P431" s="30"/>
      <c r="Q431" s="30"/>
      <c r="R431" s="30"/>
      <c r="S431" s="30"/>
    </row>
    <row r="432" spans="1:19" x14ac:dyDescent="0.25">
      <c r="A432" s="29">
        <v>44608</v>
      </c>
      <c r="B432" s="31">
        <v>2.3319999999999999</v>
      </c>
      <c r="C432" s="31">
        <v>2.3199999999999998</v>
      </c>
      <c r="D432" s="31">
        <v>2.3090000000000002</v>
      </c>
      <c r="E432" s="31">
        <v>2.1139999999999999</v>
      </c>
      <c r="F432" s="31">
        <v>2.1269999999999998</v>
      </c>
      <c r="G432" s="31">
        <v>2.1360000000000001</v>
      </c>
      <c r="H432" s="31">
        <v>2.2410000000000001</v>
      </c>
      <c r="I432" s="31">
        <v>2.3050000000000002</v>
      </c>
      <c r="K432" s="27"/>
      <c r="L432" s="30"/>
      <c r="M432" s="30"/>
      <c r="N432" s="30"/>
      <c r="O432" s="30"/>
      <c r="P432" s="30"/>
      <c r="Q432" s="30"/>
      <c r="R432" s="30"/>
      <c r="S432" s="30"/>
    </row>
    <row r="433" spans="1:19" x14ac:dyDescent="0.25">
      <c r="A433" s="29">
        <v>44609</v>
      </c>
      <c r="B433" s="31">
        <v>2.3199999999999998</v>
      </c>
      <c r="C433" s="31">
        <v>2.3159999999999998</v>
      </c>
      <c r="D433" s="31">
        <v>2.3109999999999999</v>
      </c>
      <c r="E433" s="31">
        <v>2.1320000000000001</v>
      </c>
      <c r="F433" s="31">
        <v>2.145</v>
      </c>
      <c r="G433" s="31">
        <v>2.1549999999999998</v>
      </c>
      <c r="H433" s="31">
        <v>2.2589999999999999</v>
      </c>
      <c r="I433" s="31">
        <v>2.323</v>
      </c>
      <c r="K433" s="27"/>
      <c r="L433" s="30"/>
      <c r="M433" s="30"/>
      <c r="N433" s="30"/>
      <c r="O433" s="30"/>
      <c r="P433" s="30"/>
      <c r="Q433" s="30"/>
      <c r="R433" s="30"/>
      <c r="S433" s="30"/>
    </row>
    <row r="434" spans="1:19" x14ac:dyDescent="0.25">
      <c r="A434" s="29">
        <v>44610</v>
      </c>
      <c r="B434" s="31">
        <v>2.2890000000000001</v>
      </c>
      <c r="C434" s="31">
        <v>2.286</v>
      </c>
      <c r="D434" s="31">
        <v>2.2839999999999998</v>
      </c>
      <c r="E434" s="31">
        <v>2.1320000000000001</v>
      </c>
      <c r="F434" s="31">
        <v>2.1360000000000001</v>
      </c>
      <c r="G434" s="31">
        <v>2.1549999999999998</v>
      </c>
      <c r="H434" s="31">
        <v>2.2589999999999999</v>
      </c>
      <c r="I434" s="31">
        <v>2.323</v>
      </c>
      <c r="K434" s="27"/>
      <c r="L434" s="30"/>
      <c r="M434" s="30"/>
      <c r="N434" s="30"/>
      <c r="O434" s="30"/>
      <c r="P434" s="30"/>
      <c r="Q434" s="30"/>
      <c r="R434" s="30"/>
      <c r="S434" s="30"/>
    </row>
    <row r="435" spans="1:19" x14ac:dyDescent="0.25">
      <c r="A435" s="29">
        <v>44613</v>
      </c>
      <c r="B435" s="31">
        <v>2.302</v>
      </c>
      <c r="C435" s="31">
        <v>2.298</v>
      </c>
      <c r="D435" s="31">
        <v>2.2930000000000001</v>
      </c>
      <c r="E435" s="31">
        <v>2.1320000000000001</v>
      </c>
      <c r="F435" s="31">
        <v>2.145</v>
      </c>
      <c r="G435" s="31">
        <v>2.1549999999999998</v>
      </c>
      <c r="H435" s="31">
        <v>2.2589999999999999</v>
      </c>
      <c r="I435" s="31">
        <v>2.323</v>
      </c>
      <c r="K435" s="27"/>
      <c r="L435" s="30"/>
      <c r="M435" s="30"/>
      <c r="N435" s="30"/>
      <c r="O435" s="30"/>
      <c r="P435" s="30"/>
      <c r="Q435" s="30"/>
      <c r="R435" s="30"/>
      <c r="S435" s="30"/>
    </row>
    <row r="436" spans="1:19" x14ac:dyDescent="0.25">
      <c r="A436" s="29">
        <v>44614</v>
      </c>
      <c r="B436" s="31">
        <v>2.3069999999999999</v>
      </c>
      <c r="C436" s="31">
        <v>2.3010000000000002</v>
      </c>
      <c r="D436" s="31">
        <v>2.2949999999999999</v>
      </c>
      <c r="E436" s="31">
        <v>2.15</v>
      </c>
      <c r="F436" s="31">
        <v>2.1589999999999998</v>
      </c>
      <c r="G436" s="31">
        <v>2.1589999999999998</v>
      </c>
      <c r="H436" s="31">
        <v>2.2589999999999999</v>
      </c>
      <c r="I436" s="31">
        <v>2.323</v>
      </c>
      <c r="K436" s="27"/>
      <c r="L436" s="30"/>
      <c r="M436" s="30"/>
      <c r="N436" s="30"/>
      <c r="O436" s="30"/>
      <c r="P436" s="30"/>
      <c r="Q436" s="30"/>
      <c r="R436" s="30"/>
      <c r="S436" s="30"/>
    </row>
    <row r="437" spans="1:19" x14ac:dyDescent="0.25">
      <c r="A437" s="29">
        <v>44616</v>
      </c>
      <c r="B437" s="31">
        <v>2.3069999999999999</v>
      </c>
      <c r="C437" s="31">
        <v>2.3010000000000002</v>
      </c>
      <c r="D437" s="31">
        <v>2.2949999999999999</v>
      </c>
      <c r="E437" s="31">
        <v>2.15</v>
      </c>
      <c r="F437" s="31">
        <v>2.1589999999999998</v>
      </c>
      <c r="G437" s="31">
        <v>2.1589999999999998</v>
      </c>
      <c r="H437" s="31">
        <v>2.2589999999999999</v>
      </c>
      <c r="I437" s="31">
        <v>2.323</v>
      </c>
      <c r="K437" s="27"/>
      <c r="L437" s="30"/>
      <c r="M437" s="30"/>
      <c r="N437" s="30"/>
      <c r="O437" s="30"/>
      <c r="P437" s="30"/>
      <c r="Q437" s="30"/>
      <c r="R437" s="30"/>
      <c r="S437" s="30"/>
    </row>
    <row r="438" spans="1:19" x14ac:dyDescent="0.25">
      <c r="A438" s="29">
        <v>44617</v>
      </c>
      <c r="B438" s="31">
        <v>2.3069999999999999</v>
      </c>
      <c r="C438" s="31">
        <v>2.3010000000000002</v>
      </c>
      <c r="D438" s="31">
        <v>2.2949999999999999</v>
      </c>
      <c r="E438" s="31">
        <v>2.15</v>
      </c>
      <c r="F438" s="31">
        <v>2.1589999999999998</v>
      </c>
      <c r="G438" s="31">
        <v>2.1589999999999998</v>
      </c>
      <c r="H438" s="31">
        <v>2.2589999999999999</v>
      </c>
      <c r="I438" s="31">
        <v>2.323</v>
      </c>
      <c r="K438" s="27"/>
      <c r="L438" s="30"/>
      <c r="M438" s="30"/>
      <c r="N438" s="30"/>
      <c r="O438" s="30"/>
      <c r="P438" s="30"/>
      <c r="Q438" s="30"/>
      <c r="R438" s="30"/>
      <c r="S438" s="30"/>
    </row>
    <row r="439" spans="1:19" x14ac:dyDescent="0.25">
      <c r="A439" s="29">
        <v>44618</v>
      </c>
      <c r="B439" s="31">
        <v>2.3069999999999999</v>
      </c>
      <c r="C439" s="31">
        <v>2.298</v>
      </c>
      <c r="D439" s="31">
        <v>2.2890000000000001</v>
      </c>
      <c r="E439" s="31">
        <v>2.1589999999999998</v>
      </c>
      <c r="F439" s="31">
        <v>2.1589999999999998</v>
      </c>
      <c r="G439" s="31">
        <v>2.1589999999999998</v>
      </c>
      <c r="H439" s="31">
        <v>2.2589999999999999</v>
      </c>
      <c r="I439" s="31">
        <v>2.2949999999999999</v>
      </c>
      <c r="K439" s="27"/>
      <c r="L439" s="30"/>
      <c r="M439" s="30"/>
      <c r="N439" s="30"/>
      <c r="O439" s="30"/>
      <c r="P439" s="30"/>
      <c r="Q439" s="30"/>
      <c r="R439" s="30"/>
      <c r="S439" s="30"/>
    </row>
    <row r="440" spans="1:19" x14ac:dyDescent="0.25">
      <c r="A440" s="29">
        <v>44620</v>
      </c>
      <c r="B440" s="31">
        <v>2.2890000000000001</v>
      </c>
      <c r="C440" s="31">
        <v>2.2829999999999999</v>
      </c>
      <c r="D440" s="31">
        <v>2.2770000000000001</v>
      </c>
      <c r="E440" s="31">
        <v>2.1589999999999998</v>
      </c>
      <c r="F440" s="31">
        <v>2.1589999999999998</v>
      </c>
      <c r="G440" s="31">
        <v>2.1589999999999998</v>
      </c>
      <c r="H440" s="31">
        <v>2.2589999999999999</v>
      </c>
      <c r="I440" s="31">
        <v>2.3140000000000001</v>
      </c>
      <c r="K440" s="27"/>
      <c r="L440" s="30"/>
      <c r="M440" s="30"/>
      <c r="N440" s="30"/>
      <c r="O440" s="30"/>
      <c r="P440" s="30"/>
      <c r="Q440" s="30"/>
      <c r="R440" s="30"/>
      <c r="S440" s="30"/>
    </row>
    <row r="441" spans="1:19" x14ac:dyDescent="0.25">
      <c r="A441" s="29">
        <v>44621</v>
      </c>
      <c r="B441" s="31">
        <v>2.2890000000000001</v>
      </c>
      <c r="C441" s="31">
        <v>2.2839999999999998</v>
      </c>
      <c r="D441" s="31">
        <v>2.2799999999999998</v>
      </c>
      <c r="E441" s="31">
        <v>2.1680000000000001</v>
      </c>
      <c r="F441" s="31">
        <v>2.1589999999999998</v>
      </c>
      <c r="G441" s="31">
        <v>2.1589999999999998</v>
      </c>
      <c r="H441" s="31">
        <v>2.2589999999999999</v>
      </c>
      <c r="I441" s="31">
        <v>2.3140000000000001</v>
      </c>
      <c r="K441" s="27"/>
      <c r="L441" s="30"/>
      <c r="M441" s="30"/>
      <c r="N441" s="30"/>
      <c r="O441" s="30"/>
      <c r="P441" s="30"/>
      <c r="Q441" s="30"/>
      <c r="R441" s="30"/>
      <c r="S441" s="30"/>
    </row>
    <row r="442" spans="1:19" x14ac:dyDescent="0.25">
      <c r="A442" s="29">
        <v>44622</v>
      </c>
      <c r="B442" s="31">
        <v>2.286</v>
      </c>
      <c r="C442" s="31">
        <v>2.282</v>
      </c>
      <c r="D442" s="31">
        <v>2.2770000000000001</v>
      </c>
      <c r="E442" s="31">
        <v>2.1680000000000001</v>
      </c>
      <c r="F442" s="31">
        <v>2.1589999999999998</v>
      </c>
      <c r="G442" s="31">
        <v>2.1589999999999998</v>
      </c>
      <c r="H442" s="31">
        <v>2.2589999999999999</v>
      </c>
      <c r="I442" s="31">
        <v>2.3140000000000001</v>
      </c>
      <c r="K442" s="27"/>
      <c r="L442" s="30"/>
      <c r="M442" s="30"/>
      <c r="N442" s="30"/>
      <c r="O442" s="30"/>
      <c r="P442" s="30"/>
      <c r="Q442" s="30"/>
      <c r="R442" s="30"/>
      <c r="S442" s="30"/>
    </row>
    <row r="443" spans="1:19" x14ac:dyDescent="0.25">
      <c r="A443" s="29">
        <v>44623</v>
      </c>
      <c r="B443" s="31">
        <v>2.286</v>
      </c>
      <c r="C443" s="31">
        <v>2.282</v>
      </c>
      <c r="D443" s="31">
        <v>2.2770000000000001</v>
      </c>
      <c r="E443" s="31">
        <v>2.1680000000000001</v>
      </c>
      <c r="F443" s="31">
        <v>2.1589999999999998</v>
      </c>
      <c r="G443" s="31">
        <v>2.1589999999999998</v>
      </c>
      <c r="H443" s="31">
        <v>2.2589999999999999</v>
      </c>
      <c r="I443" s="31">
        <v>2.3140000000000001</v>
      </c>
      <c r="K443" s="27"/>
      <c r="L443" s="30"/>
      <c r="M443" s="30"/>
      <c r="N443" s="30"/>
      <c r="O443" s="30"/>
      <c r="P443" s="30"/>
      <c r="Q443" s="30"/>
      <c r="R443" s="30"/>
      <c r="S443" s="30"/>
    </row>
    <row r="444" spans="1:19" x14ac:dyDescent="0.25">
      <c r="A444" s="29">
        <v>44624</v>
      </c>
      <c r="B444" s="31">
        <v>2.286</v>
      </c>
      <c r="C444" s="31">
        <v>2.2799999999999998</v>
      </c>
      <c r="D444" s="31">
        <v>2.2730000000000001</v>
      </c>
      <c r="E444" s="31">
        <v>2.1680000000000001</v>
      </c>
      <c r="F444" s="31">
        <v>2.1589999999999998</v>
      </c>
      <c r="G444" s="31">
        <v>2.1589999999999998</v>
      </c>
      <c r="H444" s="31">
        <v>2.2589999999999999</v>
      </c>
      <c r="I444" s="31">
        <v>2.3140000000000001</v>
      </c>
      <c r="K444" s="27"/>
      <c r="L444" s="30"/>
      <c r="M444" s="30"/>
      <c r="N444" s="30"/>
      <c r="O444" s="30"/>
      <c r="P444" s="30"/>
      <c r="Q444" s="30"/>
      <c r="R444" s="30"/>
      <c r="S444" s="30"/>
    </row>
    <row r="445" spans="1:19" x14ac:dyDescent="0.25">
      <c r="A445" s="29">
        <v>44627</v>
      </c>
      <c r="B445" s="31">
        <v>2.27</v>
      </c>
      <c r="C445" s="31">
        <v>2.266</v>
      </c>
      <c r="D445" s="31">
        <v>2.2610000000000001</v>
      </c>
      <c r="E445" s="31">
        <v>2.1589999999999998</v>
      </c>
      <c r="F445" s="31">
        <v>2.1589999999999998</v>
      </c>
      <c r="G445" s="31">
        <v>2.1589999999999998</v>
      </c>
      <c r="H445" s="31">
        <v>2.2589999999999999</v>
      </c>
      <c r="I445" s="31">
        <v>2.3140000000000001</v>
      </c>
      <c r="K445" s="27"/>
      <c r="L445" s="30"/>
      <c r="M445" s="30"/>
      <c r="N445" s="30"/>
      <c r="O445" s="30"/>
      <c r="P445" s="30"/>
      <c r="Q445" s="30"/>
      <c r="R445" s="30"/>
      <c r="S445" s="30"/>
    </row>
    <row r="446" spans="1:19" x14ac:dyDescent="0.25">
      <c r="A446" s="29">
        <v>44628</v>
      </c>
      <c r="B446" s="31">
        <v>2.2360000000000002</v>
      </c>
      <c r="C446" s="31">
        <v>2.234</v>
      </c>
      <c r="D446" s="31">
        <v>2.2320000000000002</v>
      </c>
      <c r="E446" s="31">
        <v>2.1549999999999998</v>
      </c>
      <c r="F446" s="31">
        <v>2.1589999999999998</v>
      </c>
      <c r="G446" s="31">
        <v>2.15</v>
      </c>
      <c r="H446" s="31">
        <v>2.2589999999999999</v>
      </c>
      <c r="I446" s="31">
        <v>2.3140000000000001</v>
      </c>
      <c r="K446" s="27"/>
      <c r="L446" s="30"/>
      <c r="M446" s="30"/>
      <c r="N446" s="30"/>
      <c r="O446" s="30"/>
      <c r="P446" s="30"/>
      <c r="Q446" s="30"/>
      <c r="R446" s="30"/>
      <c r="S446" s="30"/>
    </row>
    <row r="447" spans="1:19" x14ac:dyDescent="0.25">
      <c r="A447" s="29">
        <v>44629</v>
      </c>
      <c r="B447" s="31">
        <v>2.2109999999999999</v>
      </c>
      <c r="C447" s="31">
        <v>2.2130000000000001</v>
      </c>
      <c r="D447" s="31">
        <v>2.214</v>
      </c>
      <c r="E447" s="31">
        <v>2.1549999999999998</v>
      </c>
      <c r="F447" s="31">
        <v>2.1589999999999998</v>
      </c>
      <c r="G447" s="31">
        <v>2.15</v>
      </c>
      <c r="H447" s="31">
        <v>2.2589999999999999</v>
      </c>
      <c r="I447" s="31">
        <v>2.3140000000000001</v>
      </c>
      <c r="K447" s="27"/>
      <c r="L447" s="30"/>
      <c r="M447" s="30"/>
      <c r="N447" s="30"/>
      <c r="O447" s="30"/>
      <c r="P447" s="30"/>
      <c r="Q447" s="30"/>
      <c r="R447" s="30"/>
      <c r="S447" s="30"/>
    </row>
    <row r="448" spans="1:19" x14ac:dyDescent="0.25">
      <c r="A448" s="29">
        <v>44630</v>
      </c>
      <c r="B448" s="31">
        <v>2.1859999999999999</v>
      </c>
      <c r="C448" s="31">
        <v>2.177</v>
      </c>
      <c r="D448" s="31">
        <v>2.1680000000000001</v>
      </c>
      <c r="E448" s="31">
        <v>2.15</v>
      </c>
      <c r="F448" s="31">
        <v>2.173</v>
      </c>
      <c r="G448" s="31">
        <v>2.1549999999999998</v>
      </c>
      <c r="H448" s="31">
        <v>2.2589999999999999</v>
      </c>
      <c r="I448" s="31">
        <v>2.3140000000000001</v>
      </c>
      <c r="K448" s="27"/>
      <c r="L448" s="30"/>
      <c r="M448" s="30"/>
      <c r="N448" s="30"/>
      <c r="O448" s="30"/>
      <c r="P448" s="30"/>
      <c r="Q448" s="30"/>
      <c r="R448" s="30"/>
      <c r="S448" s="30"/>
    </row>
    <row r="449" spans="1:19" x14ac:dyDescent="0.25">
      <c r="A449" s="29">
        <v>44631</v>
      </c>
      <c r="B449" s="31">
        <v>2.1859999999999999</v>
      </c>
      <c r="C449" s="31">
        <v>2.177</v>
      </c>
      <c r="D449" s="31">
        <v>2.1680000000000001</v>
      </c>
      <c r="E449" s="31">
        <v>2.1360000000000001</v>
      </c>
      <c r="F449" s="31">
        <v>2.1549999999999998</v>
      </c>
      <c r="G449" s="31">
        <v>2.145</v>
      </c>
      <c r="H449" s="31">
        <v>2.25</v>
      </c>
      <c r="I449" s="31">
        <v>2.3050000000000002</v>
      </c>
      <c r="K449" s="27"/>
      <c r="L449" s="30"/>
      <c r="M449" s="30"/>
      <c r="N449" s="30"/>
      <c r="O449" s="30"/>
      <c r="P449" s="30"/>
      <c r="Q449" s="30"/>
      <c r="R449" s="30"/>
      <c r="S449" s="30"/>
    </row>
    <row r="450" spans="1:19" x14ac:dyDescent="0.25">
      <c r="A450" s="29">
        <v>44634</v>
      </c>
      <c r="B450" s="31">
        <v>2.1859999999999999</v>
      </c>
      <c r="C450" s="31">
        <v>2.177</v>
      </c>
      <c r="D450" s="31">
        <v>2.1680000000000001</v>
      </c>
      <c r="E450" s="31">
        <v>2.1360000000000001</v>
      </c>
      <c r="F450" s="31">
        <v>2.1549999999999998</v>
      </c>
      <c r="G450" s="31">
        <v>2.145</v>
      </c>
      <c r="H450" s="31">
        <v>2.25</v>
      </c>
      <c r="I450" s="31">
        <v>2.3050000000000002</v>
      </c>
      <c r="K450" s="27"/>
      <c r="L450" s="30"/>
      <c r="M450" s="30"/>
      <c r="N450" s="30"/>
      <c r="O450" s="30"/>
      <c r="P450" s="30"/>
      <c r="Q450" s="30"/>
      <c r="R450" s="30"/>
      <c r="S450" s="30"/>
    </row>
    <row r="451" spans="1:19" x14ac:dyDescent="0.25">
      <c r="A451" s="29">
        <v>44635</v>
      </c>
      <c r="B451" s="31">
        <v>2.1859999999999999</v>
      </c>
      <c r="C451" s="31">
        <v>2.177</v>
      </c>
      <c r="D451" s="31">
        <v>2.1680000000000001</v>
      </c>
      <c r="E451" s="31">
        <v>2.1360000000000001</v>
      </c>
      <c r="F451" s="31">
        <v>2.1549999999999998</v>
      </c>
      <c r="G451" s="31">
        <v>2.145</v>
      </c>
      <c r="H451" s="31">
        <v>2.25</v>
      </c>
      <c r="I451" s="31">
        <v>2.3050000000000002</v>
      </c>
      <c r="K451" s="27"/>
      <c r="L451" s="30"/>
      <c r="M451" s="30"/>
      <c r="N451" s="30"/>
      <c r="O451" s="30"/>
      <c r="P451" s="30"/>
      <c r="Q451" s="30"/>
      <c r="R451" s="30"/>
      <c r="S451" s="30"/>
    </row>
    <row r="452" spans="1:19" x14ac:dyDescent="0.25">
      <c r="A452" s="29">
        <v>44636</v>
      </c>
      <c r="B452" s="31">
        <v>2.1819999999999999</v>
      </c>
      <c r="C452" s="31">
        <v>2.1760000000000002</v>
      </c>
      <c r="D452" s="31">
        <v>2.17</v>
      </c>
      <c r="E452" s="31">
        <v>2.1360000000000001</v>
      </c>
      <c r="F452" s="31">
        <v>2.1549999999999998</v>
      </c>
      <c r="G452" s="31">
        <v>2.145</v>
      </c>
      <c r="H452" s="31">
        <v>2.25</v>
      </c>
      <c r="I452" s="31">
        <v>2.3050000000000002</v>
      </c>
      <c r="K452" s="27"/>
      <c r="L452" s="30"/>
      <c r="M452" s="30"/>
      <c r="N452" s="30"/>
      <c r="O452" s="30"/>
      <c r="P452" s="30"/>
      <c r="Q452" s="30"/>
      <c r="R452" s="30"/>
      <c r="S452" s="30"/>
    </row>
    <row r="453" spans="1:19" x14ac:dyDescent="0.25">
      <c r="A453" s="29">
        <v>44637</v>
      </c>
      <c r="B453" s="31">
        <v>2.177</v>
      </c>
      <c r="C453" s="31">
        <v>2.1739999999999999</v>
      </c>
      <c r="D453" s="31">
        <v>2.17</v>
      </c>
      <c r="E453" s="31">
        <v>2.1360000000000001</v>
      </c>
      <c r="F453" s="31">
        <v>2.1549999999999998</v>
      </c>
      <c r="G453" s="31">
        <v>2.145</v>
      </c>
      <c r="H453" s="31">
        <v>2.25</v>
      </c>
      <c r="I453" s="31">
        <v>2.3050000000000002</v>
      </c>
      <c r="K453" s="27"/>
      <c r="L453" s="30"/>
      <c r="M453" s="30"/>
      <c r="N453" s="30"/>
      <c r="O453" s="30"/>
      <c r="P453" s="30"/>
      <c r="Q453" s="30"/>
      <c r="R453" s="30"/>
      <c r="S453" s="30"/>
    </row>
    <row r="454" spans="1:19" x14ac:dyDescent="0.25">
      <c r="A454" s="29">
        <v>44638</v>
      </c>
      <c r="B454" s="31">
        <v>2.1520000000000001</v>
      </c>
      <c r="C454" s="31">
        <v>2.161</v>
      </c>
      <c r="D454" s="31">
        <v>2.17</v>
      </c>
      <c r="E454" s="31">
        <v>2.1360000000000001</v>
      </c>
      <c r="F454" s="31">
        <v>2.1549999999999998</v>
      </c>
      <c r="G454" s="31">
        <v>2.145</v>
      </c>
      <c r="H454" s="31">
        <v>2.25</v>
      </c>
      <c r="I454" s="31">
        <v>2.3050000000000002</v>
      </c>
      <c r="K454" s="27"/>
      <c r="L454" s="30"/>
      <c r="M454" s="30"/>
      <c r="N454" s="30"/>
      <c r="O454" s="30"/>
      <c r="P454" s="30"/>
      <c r="Q454" s="30"/>
      <c r="R454" s="30"/>
      <c r="S454" s="30"/>
    </row>
    <row r="455" spans="1:19" x14ac:dyDescent="0.25">
      <c r="A455" s="29">
        <v>44641</v>
      </c>
      <c r="B455" s="31">
        <v>2.157</v>
      </c>
      <c r="C455" s="31">
        <v>2.1640000000000001</v>
      </c>
      <c r="D455" s="31">
        <v>2.17</v>
      </c>
      <c r="E455" s="31">
        <v>2.1360000000000001</v>
      </c>
      <c r="F455" s="31">
        <v>2.1549999999999998</v>
      </c>
      <c r="G455" s="31">
        <v>2.145</v>
      </c>
      <c r="H455" s="31">
        <v>2.25</v>
      </c>
      <c r="I455" s="31">
        <v>2.3050000000000002</v>
      </c>
      <c r="K455" s="27"/>
      <c r="L455" s="30"/>
      <c r="M455" s="30"/>
      <c r="N455" s="30"/>
      <c r="O455" s="30"/>
      <c r="P455" s="30"/>
      <c r="Q455" s="30"/>
      <c r="R455" s="30"/>
      <c r="S455" s="30"/>
    </row>
    <row r="456" spans="1:19" x14ac:dyDescent="0.25">
      <c r="A456" s="29">
        <v>44642</v>
      </c>
      <c r="B456" s="31">
        <v>2.161</v>
      </c>
      <c r="C456" s="31">
        <v>2.17</v>
      </c>
      <c r="D456" s="31">
        <v>2.1800000000000002</v>
      </c>
      <c r="E456" s="31">
        <v>2.145</v>
      </c>
      <c r="F456" s="31">
        <v>2.1549999999999998</v>
      </c>
      <c r="G456" s="31">
        <v>2.145</v>
      </c>
      <c r="H456" s="31">
        <v>2.25</v>
      </c>
      <c r="I456" s="31">
        <v>2.3050000000000002</v>
      </c>
      <c r="K456" s="27"/>
      <c r="L456" s="30"/>
      <c r="M456" s="30"/>
      <c r="N456" s="30"/>
      <c r="O456" s="30"/>
      <c r="P456" s="30"/>
      <c r="Q456" s="30"/>
      <c r="R456" s="30"/>
      <c r="S456" s="30"/>
    </row>
    <row r="457" spans="1:19" x14ac:dyDescent="0.25">
      <c r="A457" s="29">
        <v>44643</v>
      </c>
      <c r="B457" s="31">
        <v>2.177</v>
      </c>
      <c r="C457" s="31">
        <v>2.1779999999999999</v>
      </c>
      <c r="D457" s="31">
        <v>2.1800000000000002</v>
      </c>
      <c r="E457" s="31">
        <v>2.145</v>
      </c>
      <c r="F457" s="31">
        <v>2.1549999999999998</v>
      </c>
      <c r="G457" s="31">
        <v>2.145</v>
      </c>
      <c r="H457" s="31">
        <v>2.25</v>
      </c>
      <c r="I457" s="31">
        <v>2.3050000000000002</v>
      </c>
      <c r="K457" s="27"/>
      <c r="L457" s="30"/>
      <c r="M457" s="30"/>
      <c r="N457" s="30"/>
      <c r="O457" s="30"/>
      <c r="P457" s="30"/>
      <c r="Q457" s="30"/>
      <c r="R457" s="30"/>
      <c r="S457" s="30"/>
    </row>
    <row r="458" spans="1:19" x14ac:dyDescent="0.25">
      <c r="A458" s="29">
        <v>44644</v>
      </c>
      <c r="B458" s="31">
        <v>2.177</v>
      </c>
      <c r="C458" s="31">
        <v>2.1829999999999998</v>
      </c>
      <c r="D458" s="31">
        <v>2.1890000000000001</v>
      </c>
      <c r="E458" s="31">
        <v>2.145</v>
      </c>
      <c r="F458" s="31">
        <v>2.1549999999999998</v>
      </c>
      <c r="G458" s="31">
        <v>2.145</v>
      </c>
      <c r="H458" s="31">
        <v>2.25</v>
      </c>
      <c r="I458" s="31">
        <v>2.3050000000000002</v>
      </c>
      <c r="K458" s="27"/>
      <c r="L458" s="30"/>
      <c r="M458" s="30"/>
      <c r="N458" s="30"/>
      <c r="O458" s="30"/>
      <c r="P458" s="30"/>
      <c r="Q458" s="30"/>
      <c r="R458" s="30"/>
      <c r="S458" s="30"/>
    </row>
    <row r="459" spans="1:19" x14ac:dyDescent="0.25">
      <c r="A459" s="29">
        <v>44645</v>
      </c>
      <c r="B459" s="31">
        <v>2.177</v>
      </c>
      <c r="C459" s="31">
        <v>2.1829999999999998</v>
      </c>
      <c r="D459" s="31">
        <v>2.1890000000000001</v>
      </c>
      <c r="E459" s="31">
        <v>2.145</v>
      </c>
      <c r="F459" s="31">
        <v>2.1549999999999998</v>
      </c>
      <c r="G459" s="31">
        <v>2.145</v>
      </c>
      <c r="H459" s="31">
        <v>2.25</v>
      </c>
      <c r="I459" s="31">
        <v>2.3050000000000002</v>
      </c>
      <c r="K459" s="27"/>
      <c r="L459" s="30"/>
      <c r="M459" s="30"/>
      <c r="N459" s="30"/>
      <c r="O459" s="30"/>
      <c r="P459" s="30"/>
      <c r="Q459" s="30"/>
      <c r="R459" s="30"/>
      <c r="S459" s="30"/>
    </row>
    <row r="460" spans="1:19" x14ac:dyDescent="0.25">
      <c r="A460" s="29">
        <v>44648</v>
      </c>
      <c r="B460" s="31">
        <v>2.173</v>
      </c>
      <c r="C460" s="31">
        <v>2.1819999999999999</v>
      </c>
      <c r="D460" s="31">
        <v>2.1909999999999998</v>
      </c>
      <c r="E460" s="31">
        <v>2.1640000000000001</v>
      </c>
      <c r="F460" s="31">
        <v>2.1640000000000001</v>
      </c>
      <c r="G460" s="31">
        <v>2.1589999999999998</v>
      </c>
      <c r="H460" s="31">
        <v>2.25</v>
      </c>
      <c r="I460" s="31">
        <v>2.3050000000000002</v>
      </c>
      <c r="K460" s="27"/>
      <c r="L460" s="30"/>
      <c r="M460" s="30"/>
      <c r="N460" s="30"/>
      <c r="O460" s="30"/>
      <c r="P460" s="30"/>
      <c r="Q460" s="30"/>
      <c r="R460" s="30"/>
      <c r="S460" s="30"/>
    </row>
    <row r="461" spans="1:19" x14ac:dyDescent="0.25">
      <c r="A461" s="29">
        <v>44649</v>
      </c>
      <c r="B461" s="31">
        <v>2.173</v>
      </c>
      <c r="C461" s="31">
        <v>2.1819999999999999</v>
      </c>
      <c r="D461" s="31">
        <v>2.1909999999999998</v>
      </c>
      <c r="E461" s="31">
        <v>2.173</v>
      </c>
      <c r="F461" s="31">
        <v>2.173</v>
      </c>
      <c r="G461" s="31">
        <v>2.1589999999999998</v>
      </c>
      <c r="H461" s="31">
        <v>2.25</v>
      </c>
      <c r="I461" s="31">
        <v>2.3050000000000002</v>
      </c>
      <c r="K461" s="27"/>
      <c r="L461" s="30"/>
      <c r="M461" s="30"/>
      <c r="N461" s="30"/>
      <c r="O461" s="30"/>
      <c r="P461" s="30"/>
      <c r="Q461" s="30"/>
      <c r="R461" s="30"/>
      <c r="S461" s="30"/>
    </row>
    <row r="462" spans="1:19" x14ac:dyDescent="0.25">
      <c r="A462" s="29">
        <v>44650</v>
      </c>
      <c r="B462" s="31">
        <v>2.1680000000000001</v>
      </c>
      <c r="C462" s="31">
        <v>2.177</v>
      </c>
      <c r="D462" s="31">
        <v>2.1859999999999999</v>
      </c>
      <c r="E462" s="31">
        <v>2.173</v>
      </c>
      <c r="F462" s="31">
        <v>2.173</v>
      </c>
      <c r="G462" s="31">
        <v>2.1589999999999998</v>
      </c>
      <c r="H462" s="31">
        <v>2.25</v>
      </c>
      <c r="I462" s="31">
        <v>2.3050000000000002</v>
      </c>
      <c r="K462" s="27"/>
      <c r="L462" s="30"/>
      <c r="M462" s="30"/>
      <c r="N462" s="30"/>
      <c r="O462" s="30"/>
      <c r="P462" s="30"/>
      <c r="Q462" s="30"/>
      <c r="R462" s="30"/>
      <c r="S462" s="30"/>
    </row>
    <row r="463" spans="1:19" x14ac:dyDescent="0.25">
      <c r="A463" s="29">
        <v>44651</v>
      </c>
      <c r="B463" s="31">
        <v>2.17</v>
      </c>
      <c r="C463" s="31">
        <v>2.177</v>
      </c>
      <c r="D463" s="31">
        <v>2.1840000000000002</v>
      </c>
      <c r="E463" s="31">
        <v>2.173</v>
      </c>
      <c r="F463" s="31">
        <v>2.173</v>
      </c>
      <c r="G463" s="31">
        <v>2.1589999999999998</v>
      </c>
      <c r="H463" s="31">
        <v>2.25</v>
      </c>
      <c r="I463" s="31">
        <v>2.3050000000000002</v>
      </c>
      <c r="K463" s="27"/>
      <c r="L463" s="30"/>
      <c r="M463" s="30"/>
      <c r="N463" s="30"/>
      <c r="O463" s="30"/>
      <c r="P463" s="30"/>
      <c r="Q463" s="30"/>
      <c r="R463" s="30"/>
      <c r="S463" s="30"/>
    </row>
    <row r="464" spans="1:19" x14ac:dyDescent="0.25">
      <c r="A464" s="29">
        <v>44652</v>
      </c>
      <c r="B464" s="31">
        <v>2.17</v>
      </c>
      <c r="C464" s="31">
        <v>2.177</v>
      </c>
      <c r="D464" s="31">
        <v>2.1840000000000002</v>
      </c>
      <c r="E464" s="31">
        <v>2.173</v>
      </c>
      <c r="F464" s="31">
        <v>2.1819999999999999</v>
      </c>
      <c r="G464" s="31">
        <v>2.1680000000000001</v>
      </c>
      <c r="H464" s="31">
        <v>2.25</v>
      </c>
      <c r="I464" s="31">
        <v>2.3050000000000002</v>
      </c>
      <c r="K464" s="27"/>
      <c r="L464" s="30"/>
      <c r="M464" s="30"/>
      <c r="N464" s="30"/>
      <c r="O464" s="30"/>
      <c r="P464" s="30"/>
      <c r="Q464" s="30"/>
      <c r="R464" s="30"/>
      <c r="S464" s="30"/>
    </row>
    <row r="465" spans="1:19" x14ac:dyDescent="0.25">
      <c r="A465" s="29">
        <v>44655</v>
      </c>
      <c r="B465" s="31">
        <v>2.17</v>
      </c>
      <c r="C465" s="31">
        <v>2.1779999999999999</v>
      </c>
      <c r="D465" s="31">
        <v>2.1859999999999999</v>
      </c>
      <c r="E465" s="31">
        <v>2.1549999999999998</v>
      </c>
      <c r="F465" s="31">
        <v>2.173</v>
      </c>
      <c r="G465" s="31">
        <v>2.1549999999999998</v>
      </c>
      <c r="H465" s="31">
        <v>2.25</v>
      </c>
      <c r="I465" s="31">
        <v>2.3050000000000002</v>
      </c>
      <c r="K465" s="27"/>
      <c r="L465" s="30"/>
      <c r="M465" s="30"/>
      <c r="N465" s="30"/>
      <c r="O465" s="30"/>
      <c r="P465" s="30"/>
      <c r="Q465" s="30"/>
      <c r="R465" s="30"/>
      <c r="S465" s="30"/>
    </row>
    <row r="466" spans="1:19" x14ac:dyDescent="0.25">
      <c r="A466" s="29">
        <v>44656</v>
      </c>
      <c r="B466" s="31">
        <v>2.1749999999999998</v>
      </c>
      <c r="C466" s="31">
        <v>2.1800000000000002</v>
      </c>
      <c r="D466" s="31">
        <v>2.1840000000000002</v>
      </c>
      <c r="E466" s="31">
        <v>2.1549999999999998</v>
      </c>
      <c r="F466" s="31">
        <v>2.173</v>
      </c>
      <c r="G466" s="31">
        <v>2.1549999999999998</v>
      </c>
      <c r="H466" s="31">
        <v>2.25</v>
      </c>
      <c r="I466" s="31">
        <v>2.3050000000000002</v>
      </c>
      <c r="K466" s="27"/>
      <c r="L466" s="30"/>
      <c r="M466" s="30"/>
      <c r="N466" s="30"/>
      <c r="O466" s="30"/>
      <c r="P466" s="30"/>
      <c r="Q466" s="30"/>
      <c r="R466" s="30"/>
      <c r="S466" s="30"/>
    </row>
    <row r="467" spans="1:19" x14ac:dyDescent="0.25">
      <c r="A467" s="29">
        <v>44657</v>
      </c>
      <c r="B467" s="31">
        <v>2.1800000000000002</v>
      </c>
      <c r="C467" s="31">
        <v>2.1829999999999998</v>
      </c>
      <c r="D467" s="31">
        <v>2.1859999999999999</v>
      </c>
      <c r="E467" s="31">
        <v>2.1549999999999998</v>
      </c>
      <c r="F467" s="31">
        <v>2.173</v>
      </c>
      <c r="G467" s="31">
        <v>2.1549999999999998</v>
      </c>
      <c r="H467" s="31">
        <v>2.25</v>
      </c>
      <c r="I467" s="31">
        <v>2.3050000000000002</v>
      </c>
      <c r="K467" s="27"/>
      <c r="L467" s="30"/>
      <c r="M467" s="30"/>
      <c r="N467" s="30"/>
      <c r="O467" s="30"/>
      <c r="P467" s="30"/>
      <c r="Q467" s="30"/>
      <c r="R467" s="30"/>
      <c r="S467" s="30"/>
    </row>
    <row r="468" spans="1:19" x14ac:dyDescent="0.25">
      <c r="A468" s="29">
        <v>44658</v>
      </c>
      <c r="B468" s="31">
        <v>2.1800000000000002</v>
      </c>
      <c r="C468" s="31">
        <v>2.1829999999999998</v>
      </c>
      <c r="D468" s="31">
        <v>2.1859999999999999</v>
      </c>
      <c r="E468" s="31">
        <v>2.1549999999999998</v>
      </c>
      <c r="F468" s="31">
        <v>2.173</v>
      </c>
      <c r="G468" s="31">
        <v>2.1549999999999998</v>
      </c>
      <c r="H468" s="31">
        <v>2.25</v>
      </c>
      <c r="I468" s="31">
        <v>2.3050000000000002</v>
      </c>
      <c r="K468" s="27"/>
      <c r="L468" s="30"/>
      <c r="M468" s="30"/>
      <c r="N468" s="30"/>
      <c r="O468" s="30"/>
      <c r="P468" s="30"/>
      <c r="Q468" s="30"/>
      <c r="R468" s="30"/>
      <c r="S468" s="30"/>
    </row>
    <row r="469" spans="1:19" x14ac:dyDescent="0.25">
      <c r="A469" s="29">
        <v>44659</v>
      </c>
      <c r="B469" s="31">
        <v>2.1840000000000002</v>
      </c>
      <c r="C469" s="31">
        <v>2.1880000000000002</v>
      </c>
      <c r="D469" s="31">
        <v>2.1909999999999998</v>
      </c>
      <c r="E469" s="31">
        <v>2.1549999999999998</v>
      </c>
      <c r="F469" s="31">
        <v>2.177</v>
      </c>
      <c r="G469" s="31">
        <v>2.1589999999999998</v>
      </c>
      <c r="H469" s="31">
        <v>2.2549999999999999</v>
      </c>
      <c r="I469" s="31">
        <v>2.3090000000000002</v>
      </c>
      <c r="K469" s="27"/>
      <c r="L469" s="30"/>
      <c r="M469" s="30"/>
      <c r="N469" s="30"/>
      <c r="O469" s="30"/>
      <c r="P469" s="30"/>
      <c r="Q469" s="30"/>
      <c r="R469" s="30"/>
      <c r="S469" s="30"/>
    </row>
    <row r="470" spans="1:19" x14ac:dyDescent="0.25">
      <c r="A470" s="29">
        <v>44663</v>
      </c>
      <c r="B470" s="31">
        <v>2.1840000000000002</v>
      </c>
      <c r="C470" s="31">
        <v>2.1880000000000002</v>
      </c>
      <c r="D470" s="31">
        <v>2.1909999999999998</v>
      </c>
      <c r="E470" s="31">
        <v>2.1549999999999998</v>
      </c>
      <c r="F470" s="31">
        <v>2.177</v>
      </c>
      <c r="G470" s="31">
        <v>2.1589999999999998</v>
      </c>
      <c r="H470" s="31">
        <v>2.2549999999999999</v>
      </c>
      <c r="I470" s="31">
        <v>2.3090000000000002</v>
      </c>
      <c r="K470" s="27"/>
      <c r="L470" s="30"/>
      <c r="M470" s="30"/>
      <c r="N470" s="30"/>
      <c r="O470" s="30"/>
      <c r="P470" s="30"/>
      <c r="Q470" s="30"/>
      <c r="R470" s="30"/>
      <c r="S470" s="30"/>
    </row>
    <row r="471" spans="1:19" x14ac:dyDescent="0.25">
      <c r="A471" s="29">
        <v>44664</v>
      </c>
      <c r="B471" s="31">
        <v>2.1859999999999999</v>
      </c>
      <c r="C471" s="31">
        <v>2.1890000000000001</v>
      </c>
      <c r="D471" s="31">
        <v>2.1909999999999998</v>
      </c>
      <c r="E471" s="31">
        <v>2.1549999999999998</v>
      </c>
      <c r="F471" s="31">
        <v>2.177</v>
      </c>
      <c r="G471" s="31">
        <v>2.1589999999999998</v>
      </c>
      <c r="H471" s="31">
        <v>2.2549999999999999</v>
      </c>
      <c r="I471" s="31">
        <v>2.3090000000000002</v>
      </c>
      <c r="K471" s="27"/>
      <c r="L471" s="30"/>
      <c r="M471" s="30"/>
      <c r="N471" s="30"/>
      <c r="O471" s="30"/>
      <c r="P471" s="30"/>
      <c r="Q471" s="30"/>
      <c r="R471" s="30"/>
      <c r="S471" s="30"/>
    </row>
    <row r="472" spans="1:19" x14ac:dyDescent="0.25">
      <c r="A472" s="29">
        <v>44665</v>
      </c>
      <c r="B472" s="31">
        <v>2.1859999999999999</v>
      </c>
      <c r="C472" s="31">
        <v>2.1890000000000001</v>
      </c>
      <c r="D472" s="31">
        <v>2.1909999999999998</v>
      </c>
      <c r="E472" s="31">
        <v>2.1549999999999998</v>
      </c>
      <c r="F472" s="31">
        <v>2.177</v>
      </c>
      <c r="G472" s="31">
        <v>2.1589999999999998</v>
      </c>
      <c r="H472" s="31">
        <v>2.2549999999999999</v>
      </c>
      <c r="I472" s="31">
        <v>2.3090000000000002</v>
      </c>
      <c r="K472" s="27"/>
      <c r="L472" s="30"/>
      <c r="M472" s="30"/>
      <c r="N472" s="30"/>
      <c r="O472" s="30"/>
      <c r="P472" s="30"/>
      <c r="Q472" s="30"/>
      <c r="R472" s="30"/>
      <c r="S472" s="30"/>
    </row>
    <row r="473" spans="1:19" x14ac:dyDescent="0.25">
      <c r="A473" s="29">
        <v>44666</v>
      </c>
      <c r="B473" s="31">
        <v>2.1859999999999999</v>
      </c>
      <c r="C473" s="31">
        <v>2.1890000000000001</v>
      </c>
      <c r="D473" s="31">
        <v>2.1909999999999998</v>
      </c>
      <c r="E473" s="31">
        <v>2.1549999999999998</v>
      </c>
      <c r="F473" s="31">
        <v>2.177</v>
      </c>
      <c r="G473" s="31">
        <v>2.1589999999999998</v>
      </c>
      <c r="H473" s="31">
        <v>2.2549999999999999</v>
      </c>
      <c r="I473" s="31">
        <v>2.3090000000000002</v>
      </c>
      <c r="K473" s="27"/>
      <c r="L473" s="30"/>
      <c r="M473" s="30"/>
      <c r="N473" s="30"/>
      <c r="O473" s="30"/>
      <c r="P473" s="30"/>
      <c r="Q473" s="30"/>
      <c r="R473" s="30"/>
      <c r="S473" s="30"/>
    </row>
    <row r="474" spans="1:19" x14ac:dyDescent="0.25">
      <c r="A474" s="29">
        <v>44669</v>
      </c>
      <c r="B474" s="31">
        <v>2.1859999999999999</v>
      </c>
      <c r="C474" s="31">
        <v>2.1890000000000001</v>
      </c>
      <c r="D474" s="31">
        <v>2.1909999999999998</v>
      </c>
      <c r="E474" s="31">
        <v>2.1549999999999998</v>
      </c>
      <c r="F474" s="31">
        <v>2.177</v>
      </c>
      <c r="G474" s="31">
        <v>2.1589999999999998</v>
      </c>
      <c r="H474" s="31">
        <v>2.2549999999999999</v>
      </c>
      <c r="I474" s="31">
        <v>2.3090000000000002</v>
      </c>
      <c r="K474" s="27"/>
      <c r="L474" s="30"/>
      <c r="M474" s="30"/>
      <c r="N474" s="30"/>
      <c r="O474" s="30"/>
      <c r="P474" s="30"/>
      <c r="Q474" s="30"/>
      <c r="R474" s="30"/>
      <c r="S474" s="30"/>
    </row>
    <row r="475" spans="1:19" x14ac:dyDescent="0.25">
      <c r="A475" s="29">
        <v>44670</v>
      </c>
      <c r="B475" s="31">
        <v>2.1859999999999999</v>
      </c>
      <c r="C475" s="31">
        <v>2.1850000000000001</v>
      </c>
      <c r="D475" s="31">
        <v>2.1840000000000002</v>
      </c>
      <c r="E475" s="31">
        <v>2.1549999999999998</v>
      </c>
      <c r="F475" s="31">
        <v>2.177</v>
      </c>
      <c r="G475" s="31">
        <v>2.1589999999999998</v>
      </c>
      <c r="H475" s="31">
        <v>2.2549999999999999</v>
      </c>
      <c r="I475" s="31">
        <v>2.3090000000000002</v>
      </c>
      <c r="K475" s="27"/>
      <c r="L475" s="30"/>
      <c r="M475" s="30"/>
      <c r="N475" s="30"/>
      <c r="O475" s="30"/>
      <c r="P475" s="30"/>
      <c r="Q475" s="30"/>
      <c r="R475" s="30"/>
      <c r="S475" s="30"/>
    </row>
    <row r="476" spans="1:19" x14ac:dyDescent="0.25">
      <c r="A476" s="29">
        <v>44671</v>
      </c>
      <c r="B476" s="31">
        <v>2.177</v>
      </c>
      <c r="C476" s="31">
        <v>2.1800000000000002</v>
      </c>
      <c r="D476" s="31">
        <v>2.1819999999999999</v>
      </c>
      <c r="E476" s="31">
        <v>2.1549999999999998</v>
      </c>
      <c r="F476" s="31">
        <v>2.177</v>
      </c>
      <c r="G476" s="31">
        <v>2.1589999999999998</v>
      </c>
      <c r="H476" s="31">
        <v>2.2549999999999999</v>
      </c>
      <c r="I476" s="31">
        <v>2.3090000000000002</v>
      </c>
      <c r="K476" s="27"/>
      <c r="L476" s="30"/>
      <c r="M476" s="30"/>
      <c r="N476" s="30"/>
      <c r="O476" s="30"/>
      <c r="P476" s="30"/>
      <c r="Q476" s="30"/>
      <c r="R476" s="30"/>
      <c r="S476" s="30"/>
    </row>
    <row r="477" spans="1:19" x14ac:dyDescent="0.25">
      <c r="A477" s="29">
        <v>44672</v>
      </c>
      <c r="B477" s="31">
        <v>2.1320000000000001</v>
      </c>
      <c r="C477" s="31">
        <v>2.141</v>
      </c>
      <c r="D477" s="31">
        <v>2.15</v>
      </c>
      <c r="E477" s="31">
        <v>2.1549999999999998</v>
      </c>
      <c r="F477" s="31">
        <v>2.177</v>
      </c>
      <c r="G477" s="31">
        <v>2.1589999999999998</v>
      </c>
      <c r="H477" s="31">
        <v>2.2549999999999999</v>
      </c>
      <c r="I477" s="31">
        <v>2.3090000000000002</v>
      </c>
      <c r="K477" s="27"/>
      <c r="L477" s="30"/>
      <c r="M477" s="30"/>
      <c r="N477" s="30"/>
      <c r="O477" s="30"/>
      <c r="P477" s="30"/>
      <c r="Q477" s="30"/>
      <c r="R477" s="30"/>
      <c r="S477" s="30"/>
    </row>
    <row r="478" spans="1:19" x14ac:dyDescent="0.25">
      <c r="A478" s="29">
        <v>44673</v>
      </c>
      <c r="B478" s="31">
        <v>2.1179999999999999</v>
      </c>
      <c r="C478" s="31">
        <v>2.1309999999999998</v>
      </c>
      <c r="D478" s="31">
        <v>2.1429999999999998</v>
      </c>
      <c r="E478" s="31">
        <v>2.1360000000000001</v>
      </c>
      <c r="F478" s="31">
        <v>2.177</v>
      </c>
      <c r="G478" s="31">
        <v>2.1589999999999998</v>
      </c>
      <c r="H478" s="31">
        <v>2.2549999999999999</v>
      </c>
      <c r="I478" s="31">
        <v>2.3090000000000002</v>
      </c>
      <c r="K478" s="27"/>
      <c r="L478" s="30"/>
      <c r="M478" s="30"/>
      <c r="N478" s="30"/>
      <c r="O478" s="30"/>
      <c r="P478" s="30"/>
      <c r="Q478" s="30"/>
      <c r="R478" s="30"/>
      <c r="S478" s="30"/>
    </row>
    <row r="479" spans="1:19" x14ac:dyDescent="0.25">
      <c r="A479" s="29">
        <v>44676</v>
      </c>
      <c r="B479" s="31">
        <v>2.105</v>
      </c>
      <c r="C479" s="31">
        <v>2.1219999999999999</v>
      </c>
      <c r="D479" s="31">
        <v>2.1389999999999998</v>
      </c>
      <c r="E479" s="31">
        <v>2.1360000000000001</v>
      </c>
      <c r="F479" s="31">
        <v>2.173</v>
      </c>
      <c r="G479" s="31">
        <v>2.1549999999999998</v>
      </c>
      <c r="H479" s="31">
        <v>2.25</v>
      </c>
      <c r="I479" s="31">
        <v>2.3050000000000002</v>
      </c>
      <c r="K479" s="27"/>
      <c r="L479" s="30"/>
      <c r="M479" s="30"/>
      <c r="N479" s="30"/>
      <c r="O479" s="30"/>
      <c r="P479" s="30"/>
      <c r="Q479" s="30"/>
      <c r="R479" s="30"/>
      <c r="S479" s="30"/>
    </row>
    <row r="480" spans="1:19" x14ac:dyDescent="0.25">
      <c r="A480" s="29">
        <v>44677</v>
      </c>
      <c r="B480" s="31">
        <v>2.1019999999999999</v>
      </c>
      <c r="C480" s="31">
        <v>2.1219999999999999</v>
      </c>
      <c r="D480" s="31">
        <v>2.141</v>
      </c>
      <c r="E480" s="31">
        <v>2.1360000000000001</v>
      </c>
      <c r="F480" s="31">
        <v>2.173</v>
      </c>
      <c r="G480" s="31">
        <v>2.1589999999999998</v>
      </c>
      <c r="H480" s="31">
        <v>2.2549999999999999</v>
      </c>
      <c r="I480" s="31">
        <v>2.3090000000000002</v>
      </c>
      <c r="K480" s="27"/>
      <c r="L480" s="30"/>
      <c r="M480" s="30"/>
      <c r="N480" s="30"/>
      <c r="O480" s="30"/>
      <c r="P480" s="30"/>
      <c r="Q480" s="30"/>
      <c r="R480" s="30"/>
      <c r="S480" s="30"/>
    </row>
    <row r="481" spans="1:19" x14ac:dyDescent="0.25">
      <c r="A481" s="29">
        <v>44678</v>
      </c>
      <c r="B481" s="31">
        <v>2.0819999999999999</v>
      </c>
      <c r="C481" s="31">
        <v>2.0990000000000002</v>
      </c>
      <c r="D481" s="31">
        <v>2.1160000000000001</v>
      </c>
      <c r="E481" s="31">
        <v>2.1360000000000001</v>
      </c>
      <c r="F481" s="31">
        <v>2.173</v>
      </c>
      <c r="G481" s="31">
        <v>2.1589999999999998</v>
      </c>
      <c r="H481" s="31">
        <v>2.2549999999999999</v>
      </c>
      <c r="I481" s="31">
        <v>2.3090000000000002</v>
      </c>
      <c r="K481" s="27"/>
      <c r="L481" s="30"/>
      <c r="M481" s="30"/>
      <c r="N481" s="30"/>
      <c r="O481" s="30"/>
      <c r="P481" s="30"/>
      <c r="Q481" s="30"/>
      <c r="R481" s="30"/>
      <c r="S481" s="30"/>
    </row>
    <row r="482" spans="1:19" x14ac:dyDescent="0.25">
      <c r="A482" s="29">
        <v>44679</v>
      </c>
      <c r="B482" s="31">
        <v>2.0270000000000001</v>
      </c>
      <c r="C482" s="31">
        <v>2.0529999999999999</v>
      </c>
      <c r="D482" s="31">
        <v>2.08</v>
      </c>
      <c r="E482" s="31">
        <v>2.1320000000000001</v>
      </c>
      <c r="F482" s="31">
        <v>2.173</v>
      </c>
      <c r="G482" s="31">
        <v>2.1589999999999998</v>
      </c>
      <c r="H482" s="31">
        <v>2.2549999999999999</v>
      </c>
      <c r="I482" s="31">
        <v>2.3090000000000002</v>
      </c>
      <c r="K482" s="27"/>
      <c r="L482" s="30"/>
      <c r="M482" s="30"/>
      <c r="N482" s="30"/>
      <c r="O482" s="30"/>
      <c r="P482" s="30"/>
      <c r="Q482" s="30"/>
      <c r="R482" s="30"/>
      <c r="S482" s="30"/>
    </row>
    <row r="483" spans="1:19" x14ac:dyDescent="0.25">
      <c r="A483" s="29">
        <v>44680</v>
      </c>
      <c r="B483" s="31">
        <v>2.032</v>
      </c>
      <c r="C483" s="31">
        <v>2.0579999999999998</v>
      </c>
      <c r="D483" s="31">
        <v>2.0840000000000001</v>
      </c>
      <c r="E483" s="31">
        <v>2.1320000000000001</v>
      </c>
      <c r="F483" s="31">
        <v>2.177</v>
      </c>
      <c r="G483" s="31">
        <v>2.1589999999999998</v>
      </c>
      <c r="H483" s="31">
        <v>2.2549999999999999</v>
      </c>
      <c r="I483" s="31">
        <v>2.3090000000000002</v>
      </c>
      <c r="K483" s="27"/>
      <c r="L483" s="30"/>
      <c r="M483" s="30"/>
      <c r="N483" s="30"/>
      <c r="O483" s="30"/>
      <c r="P483" s="30"/>
      <c r="Q483" s="30"/>
      <c r="R483" s="30"/>
      <c r="S483" s="30"/>
    </row>
    <row r="484" spans="1:19" x14ac:dyDescent="0.25">
      <c r="A484" s="29">
        <v>44685</v>
      </c>
      <c r="B484" s="31">
        <v>2.032</v>
      </c>
      <c r="C484" s="31">
        <v>2.0579999999999998</v>
      </c>
      <c r="D484" s="31">
        <v>2.0840000000000001</v>
      </c>
      <c r="E484" s="31">
        <v>2.1320000000000001</v>
      </c>
      <c r="F484" s="31">
        <v>2.177</v>
      </c>
      <c r="G484" s="31">
        <v>2.1589999999999998</v>
      </c>
      <c r="H484" s="31">
        <v>2.2549999999999999</v>
      </c>
      <c r="I484" s="31">
        <v>2.3090000000000002</v>
      </c>
      <c r="K484" s="27"/>
      <c r="L484" s="30"/>
      <c r="M484" s="30"/>
      <c r="N484" s="30"/>
      <c r="O484" s="30"/>
      <c r="P484" s="30"/>
      <c r="Q484" s="30"/>
      <c r="R484" s="30"/>
      <c r="S484" s="30"/>
    </row>
    <row r="485" spans="1:19" x14ac:dyDescent="0.25">
      <c r="A485" s="29">
        <v>44686</v>
      </c>
      <c r="B485" s="31">
        <v>2.0299999999999998</v>
      </c>
      <c r="C485" s="31">
        <v>2.056</v>
      </c>
      <c r="D485" s="31">
        <v>2.0819999999999999</v>
      </c>
      <c r="E485" s="31">
        <v>2.1320000000000001</v>
      </c>
      <c r="F485" s="31">
        <v>2.177</v>
      </c>
      <c r="G485" s="31">
        <v>2.1589999999999998</v>
      </c>
      <c r="H485" s="31">
        <v>2.2549999999999999</v>
      </c>
      <c r="I485" s="31">
        <v>2.3090000000000002</v>
      </c>
      <c r="K485" s="27"/>
      <c r="L485" s="30"/>
      <c r="M485" s="30"/>
      <c r="N485" s="30"/>
      <c r="O485" s="30"/>
      <c r="P485" s="30"/>
      <c r="Q485" s="30"/>
      <c r="R485" s="30"/>
      <c r="S485" s="30"/>
    </row>
    <row r="486" spans="1:19" x14ac:dyDescent="0.25">
      <c r="A486" s="29">
        <v>44687</v>
      </c>
      <c r="B486" s="31">
        <v>2.0249999999999999</v>
      </c>
      <c r="C486" s="31">
        <v>2.0510000000000002</v>
      </c>
      <c r="D486" s="31">
        <v>2.077</v>
      </c>
      <c r="E486" s="31">
        <v>2.1320000000000001</v>
      </c>
      <c r="F486" s="31">
        <v>2.177</v>
      </c>
      <c r="G486" s="31">
        <v>2.1589999999999998</v>
      </c>
      <c r="H486" s="31">
        <v>2.2549999999999999</v>
      </c>
      <c r="I486" s="31">
        <v>2.3090000000000002</v>
      </c>
      <c r="K486" s="27"/>
      <c r="L486" s="30"/>
      <c r="M486" s="30"/>
      <c r="N486" s="30"/>
      <c r="O486" s="30"/>
      <c r="P486" s="30"/>
      <c r="Q486" s="30"/>
      <c r="R486" s="30"/>
      <c r="S486" s="30"/>
    </row>
    <row r="487" spans="1:19" x14ac:dyDescent="0.25">
      <c r="A487" s="29">
        <v>44690</v>
      </c>
      <c r="B487" s="31">
        <v>2.0339999999999998</v>
      </c>
      <c r="C487" s="31">
        <v>2.06</v>
      </c>
      <c r="D487" s="31">
        <v>2.0859999999999999</v>
      </c>
      <c r="E487" s="31">
        <v>2.15</v>
      </c>
      <c r="F487" s="31">
        <v>2.1859999999999999</v>
      </c>
      <c r="G487" s="31">
        <v>2.1859999999999999</v>
      </c>
      <c r="H487" s="31">
        <v>2.2549999999999999</v>
      </c>
      <c r="I487" s="31">
        <v>2.3090000000000002</v>
      </c>
      <c r="K487" s="27"/>
      <c r="L487" s="30"/>
      <c r="M487" s="30"/>
      <c r="N487" s="30"/>
      <c r="O487" s="30"/>
      <c r="P487" s="30"/>
      <c r="Q487" s="30"/>
      <c r="R487" s="30"/>
      <c r="S487" s="30"/>
    </row>
    <row r="488" spans="1:19" x14ac:dyDescent="0.25">
      <c r="A488" s="29">
        <v>44691</v>
      </c>
      <c r="B488" s="31">
        <v>2.0339999999999998</v>
      </c>
      <c r="C488" s="31">
        <v>2.06</v>
      </c>
      <c r="D488" s="31">
        <v>2.0859999999999999</v>
      </c>
      <c r="E488" s="31">
        <v>2.15</v>
      </c>
      <c r="F488" s="31">
        <v>2.1859999999999999</v>
      </c>
      <c r="G488" s="31">
        <v>2.1859999999999999</v>
      </c>
      <c r="H488" s="31">
        <v>2.2549999999999999</v>
      </c>
      <c r="I488" s="31">
        <v>2.3090000000000002</v>
      </c>
      <c r="K488" s="27"/>
      <c r="L488" s="30"/>
      <c r="M488" s="30"/>
      <c r="N488" s="30"/>
      <c r="O488" s="30"/>
      <c r="P488" s="30"/>
      <c r="Q488" s="30"/>
      <c r="R488" s="30"/>
      <c r="S488" s="30"/>
    </row>
    <row r="489" spans="1:19" x14ac:dyDescent="0.25">
      <c r="A489" s="29">
        <v>44692</v>
      </c>
      <c r="B489" s="31">
        <v>2.0550000000000002</v>
      </c>
      <c r="C489" s="31">
        <v>2.0760000000000001</v>
      </c>
      <c r="D489" s="31">
        <v>2.0979999999999999</v>
      </c>
      <c r="E489" s="31">
        <v>2.15</v>
      </c>
      <c r="F489" s="31">
        <v>2.1859999999999999</v>
      </c>
      <c r="G489" s="31">
        <v>2.1859999999999999</v>
      </c>
      <c r="H489" s="31">
        <v>2.2549999999999999</v>
      </c>
      <c r="I489" s="31">
        <v>2.3090000000000002</v>
      </c>
      <c r="K489" s="27"/>
      <c r="L489" s="30"/>
      <c r="M489" s="30"/>
      <c r="N489" s="30"/>
      <c r="O489" s="30"/>
      <c r="P489" s="30"/>
      <c r="Q489" s="30"/>
      <c r="R489" s="30"/>
      <c r="S489" s="30"/>
    </row>
    <row r="490" spans="1:19" x14ac:dyDescent="0.25">
      <c r="A490" s="29">
        <v>44693</v>
      </c>
      <c r="B490" s="31">
        <v>2.0859999999999999</v>
      </c>
      <c r="C490" s="31">
        <v>2.1080000000000001</v>
      </c>
      <c r="D490" s="31">
        <v>2.13</v>
      </c>
      <c r="E490" s="31">
        <v>2.1589999999999998</v>
      </c>
      <c r="F490" s="31">
        <v>2.1859999999999999</v>
      </c>
      <c r="G490" s="31">
        <v>2.1909999999999998</v>
      </c>
      <c r="H490" s="31">
        <v>2.2589999999999999</v>
      </c>
      <c r="I490" s="31">
        <v>2.3140000000000001</v>
      </c>
      <c r="K490" s="27"/>
      <c r="L490" s="30"/>
      <c r="M490" s="30"/>
      <c r="N490" s="30"/>
      <c r="O490" s="30"/>
      <c r="P490" s="30"/>
      <c r="Q490" s="30"/>
      <c r="R490" s="30"/>
      <c r="S490" s="30"/>
    </row>
    <row r="491" spans="1:19" x14ac:dyDescent="0.25">
      <c r="A491" s="29">
        <v>44694</v>
      </c>
      <c r="B491" s="31">
        <v>2.0979999999999999</v>
      </c>
      <c r="C491" s="31">
        <v>2.117</v>
      </c>
      <c r="D491" s="31">
        <v>2.1360000000000001</v>
      </c>
      <c r="E491" s="31">
        <v>2.1680000000000001</v>
      </c>
      <c r="F491" s="31">
        <v>2.1859999999999999</v>
      </c>
      <c r="G491" s="31">
        <v>2.1909999999999998</v>
      </c>
      <c r="H491" s="31">
        <v>2.2589999999999999</v>
      </c>
      <c r="I491" s="31">
        <v>2.3180000000000001</v>
      </c>
      <c r="K491" s="27"/>
      <c r="L491" s="30"/>
      <c r="M491" s="30"/>
      <c r="N491" s="30"/>
      <c r="O491" s="30"/>
      <c r="P491" s="30"/>
      <c r="Q491" s="30"/>
      <c r="R491" s="30"/>
      <c r="S491" s="30"/>
    </row>
    <row r="492" spans="1:19" x14ac:dyDescent="0.25">
      <c r="A492" s="29">
        <v>44697</v>
      </c>
      <c r="B492" s="31">
        <v>2.1019999999999999</v>
      </c>
      <c r="C492" s="31">
        <v>2.1219999999999999</v>
      </c>
      <c r="D492" s="31">
        <v>2.141</v>
      </c>
      <c r="E492" s="31">
        <v>2.1680000000000001</v>
      </c>
      <c r="F492" s="31">
        <v>2.1859999999999999</v>
      </c>
      <c r="G492" s="31">
        <v>2.1909999999999998</v>
      </c>
      <c r="H492" s="31">
        <v>2.2589999999999999</v>
      </c>
      <c r="I492" s="31">
        <v>2.3180000000000001</v>
      </c>
      <c r="K492" s="27"/>
      <c r="L492" s="30"/>
      <c r="M492" s="30"/>
      <c r="N492" s="30"/>
      <c r="O492" s="30"/>
      <c r="P492" s="30"/>
      <c r="Q492" s="30"/>
      <c r="R492" s="30"/>
      <c r="S492" s="30"/>
    </row>
    <row r="493" spans="1:19" x14ac:dyDescent="0.25">
      <c r="A493" s="29">
        <v>44698</v>
      </c>
      <c r="B493" s="31">
        <v>2.1070000000000002</v>
      </c>
      <c r="C493" s="31">
        <v>2.1269999999999998</v>
      </c>
      <c r="D493" s="31">
        <v>2.1480000000000001</v>
      </c>
      <c r="E493" s="31">
        <v>2.1680000000000001</v>
      </c>
      <c r="F493" s="31">
        <v>2.1859999999999999</v>
      </c>
      <c r="G493" s="31">
        <v>2.1909999999999998</v>
      </c>
      <c r="H493" s="31">
        <v>2.2589999999999999</v>
      </c>
      <c r="I493" s="31">
        <v>2.3180000000000001</v>
      </c>
      <c r="K493" s="27"/>
      <c r="L493" s="30"/>
      <c r="M493" s="30"/>
      <c r="N493" s="30"/>
      <c r="O493" s="30"/>
      <c r="P493" s="30"/>
      <c r="Q493" s="30"/>
      <c r="R493" s="30"/>
      <c r="S493" s="30"/>
    </row>
    <row r="494" spans="1:19" x14ac:dyDescent="0.25">
      <c r="A494" s="29">
        <v>44699</v>
      </c>
      <c r="B494" s="31">
        <v>2.0819999999999999</v>
      </c>
      <c r="C494" s="31">
        <v>2.1019999999999999</v>
      </c>
      <c r="D494" s="31">
        <v>2.1230000000000002</v>
      </c>
      <c r="E494" s="31">
        <v>2.1680000000000001</v>
      </c>
      <c r="F494" s="31">
        <v>2.1859999999999999</v>
      </c>
      <c r="G494" s="31">
        <v>2.1909999999999998</v>
      </c>
      <c r="H494" s="31">
        <v>2.2589999999999999</v>
      </c>
      <c r="I494" s="31">
        <v>2.3180000000000001</v>
      </c>
      <c r="K494" s="27"/>
      <c r="L494" s="30"/>
      <c r="M494" s="30"/>
      <c r="N494" s="30"/>
      <c r="O494" s="30"/>
      <c r="P494" s="30"/>
      <c r="Q494" s="30"/>
      <c r="R494" s="30"/>
      <c r="S494" s="30"/>
    </row>
    <row r="495" spans="1:19" x14ac:dyDescent="0.25">
      <c r="A495" s="29">
        <v>44700</v>
      </c>
      <c r="B495" s="31">
        <v>2.048</v>
      </c>
      <c r="C495" s="31">
        <v>2.0760000000000001</v>
      </c>
      <c r="D495" s="31">
        <v>2.105</v>
      </c>
      <c r="E495" s="31">
        <v>2.1680000000000001</v>
      </c>
      <c r="F495" s="31">
        <v>2.1859999999999999</v>
      </c>
      <c r="G495" s="31">
        <v>2.1909999999999998</v>
      </c>
      <c r="H495" s="31">
        <v>2.2589999999999999</v>
      </c>
      <c r="I495" s="31">
        <v>2.3180000000000001</v>
      </c>
      <c r="K495" s="27"/>
      <c r="L495" s="30"/>
      <c r="M495" s="30"/>
      <c r="N495" s="30"/>
      <c r="O495" s="30"/>
      <c r="P495" s="30"/>
      <c r="Q495" s="30"/>
      <c r="R495" s="30"/>
      <c r="S495" s="30"/>
    </row>
    <row r="496" spans="1:19" x14ac:dyDescent="0.25">
      <c r="A496" s="29">
        <v>44701</v>
      </c>
      <c r="B496" s="31">
        <v>2.0339999999999998</v>
      </c>
      <c r="C496" s="31">
        <v>2.0649999999999999</v>
      </c>
      <c r="D496" s="31">
        <v>2.0950000000000002</v>
      </c>
      <c r="E496" s="31">
        <v>2.1680000000000001</v>
      </c>
      <c r="F496" s="31">
        <v>2.1859999999999999</v>
      </c>
      <c r="G496" s="31">
        <v>2.1909999999999998</v>
      </c>
      <c r="H496" s="31">
        <v>2.2589999999999999</v>
      </c>
      <c r="I496" s="31">
        <v>2.3180000000000001</v>
      </c>
      <c r="K496" s="27"/>
      <c r="L496" s="30"/>
      <c r="M496" s="30"/>
      <c r="N496" s="30"/>
      <c r="O496" s="30"/>
      <c r="P496" s="30"/>
      <c r="Q496" s="30"/>
      <c r="R496" s="30"/>
      <c r="S496" s="30"/>
    </row>
    <row r="497" spans="1:19" x14ac:dyDescent="0.25">
      <c r="A497" s="29">
        <v>44704</v>
      </c>
      <c r="B497" s="31">
        <v>2.0299999999999998</v>
      </c>
      <c r="C497" s="31">
        <v>2.0579999999999998</v>
      </c>
      <c r="D497" s="31">
        <v>2.0859999999999999</v>
      </c>
      <c r="E497" s="31">
        <v>2.1589999999999998</v>
      </c>
      <c r="F497" s="31">
        <v>2.1909999999999998</v>
      </c>
      <c r="G497" s="31">
        <v>2.1949999999999998</v>
      </c>
      <c r="H497" s="31">
        <v>2.2639999999999998</v>
      </c>
      <c r="I497" s="31">
        <v>2.3180000000000001</v>
      </c>
      <c r="K497" s="27"/>
      <c r="L497" s="30"/>
      <c r="M497" s="30"/>
      <c r="N497" s="30"/>
      <c r="O497" s="30"/>
      <c r="P497" s="30"/>
      <c r="Q497" s="30"/>
      <c r="R497" s="30"/>
      <c r="S497" s="30"/>
    </row>
    <row r="498" spans="1:19" x14ac:dyDescent="0.25">
      <c r="A498" s="29">
        <v>44705</v>
      </c>
      <c r="B498" s="31">
        <v>1.998</v>
      </c>
      <c r="C498" s="31">
        <v>2.0390000000000001</v>
      </c>
      <c r="D498" s="31">
        <v>2.08</v>
      </c>
      <c r="E498" s="31">
        <v>2.1589999999999998</v>
      </c>
      <c r="F498" s="31">
        <v>2.1909999999999998</v>
      </c>
      <c r="G498" s="31">
        <v>2.1949999999999998</v>
      </c>
      <c r="H498" s="31">
        <v>2.2639999999999998</v>
      </c>
      <c r="I498" s="31">
        <v>2.3180000000000001</v>
      </c>
      <c r="K498" s="27"/>
      <c r="L498" s="30"/>
      <c r="M498" s="30"/>
      <c r="N498" s="30"/>
      <c r="O498" s="30"/>
      <c r="P498" s="30"/>
      <c r="Q498" s="30"/>
      <c r="R498" s="30"/>
      <c r="S498" s="30"/>
    </row>
    <row r="499" spans="1:19" x14ac:dyDescent="0.25">
      <c r="A499" s="29">
        <v>44706</v>
      </c>
      <c r="B499" s="31">
        <v>1.9770000000000001</v>
      </c>
      <c r="C499" s="31">
        <v>2.0270000000000001</v>
      </c>
      <c r="D499" s="31">
        <v>2.077</v>
      </c>
      <c r="E499" s="31">
        <v>2.1589999999999998</v>
      </c>
      <c r="F499" s="31">
        <v>2.1909999999999998</v>
      </c>
      <c r="G499" s="31">
        <v>2.1949999999999998</v>
      </c>
      <c r="H499" s="31">
        <v>2.2639999999999998</v>
      </c>
      <c r="I499" s="31">
        <v>2.3180000000000001</v>
      </c>
      <c r="K499" s="27"/>
      <c r="L499" s="30"/>
      <c r="M499" s="30"/>
      <c r="N499" s="30"/>
      <c r="O499" s="30"/>
      <c r="P499" s="30"/>
      <c r="Q499" s="30"/>
      <c r="R499" s="30"/>
      <c r="S499" s="30"/>
    </row>
    <row r="500" spans="1:19" x14ac:dyDescent="0.25">
      <c r="A500" s="29">
        <v>44707</v>
      </c>
      <c r="B500" s="31">
        <v>1.966</v>
      </c>
      <c r="C500" s="31">
        <v>2.0219999999999998</v>
      </c>
      <c r="D500" s="31">
        <v>2.077</v>
      </c>
      <c r="E500" s="31">
        <v>2.1589999999999998</v>
      </c>
      <c r="F500" s="31">
        <v>2.1909999999999998</v>
      </c>
      <c r="G500" s="31">
        <v>2.1949999999999998</v>
      </c>
      <c r="H500" s="31">
        <v>2.2639999999999998</v>
      </c>
      <c r="I500" s="31">
        <v>2.3180000000000001</v>
      </c>
      <c r="K500" s="27"/>
      <c r="L500" s="30"/>
      <c r="M500" s="30"/>
      <c r="N500" s="30"/>
      <c r="O500" s="30"/>
      <c r="P500" s="30"/>
      <c r="Q500" s="30"/>
      <c r="R500" s="30"/>
      <c r="S500" s="30"/>
    </row>
    <row r="501" spans="1:19" x14ac:dyDescent="0.25">
      <c r="A501" s="29">
        <v>44708</v>
      </c>
      <c r="B501" s="31">
        <v>1.845</v>
      </c>
      <c r="C501" s="31">
        <v>1.9079999999999999</v>
      </c>
      <c r="D501" s="31">
        <v>1.97</v>
      </c>
      <c r="E501" s="31">
        <v>2.1520000000000001</v>
      </c>
      <c r="F501" s="31">
        <v>2.1909999999999998</v>
      </c>
      <c r="G501" s="31">
        <v>2.1949999999999998</v>
      </c>
      <c r="H501" s="31">
        <v>2.2639999999999998</v>
      </c>
      <c r="I501" s="31">
        <v>2.3180000000000001</v>
      </c>
      <c r="K501" s="27"/>
      <c r="L501" s="30"/>
      <c r="M501" s="30"/>
      <c r="N501" s="30"/>
      <c r="O501" s="30"/>
      <c r="P501" s="30"/>
      <c r="Q501" s="30"/>
      <c r="R501" s="30"/>
      <c r="S501" s="30"/>
    </row>
    <row r="502" spans="1:19" x14ac:dyDescent="0.25">
      <c r="A502" s="29">
        <v>44711</v>
      </c>
      <c r="B502" s="31">
        <v>1.73</v>
      </c>
      <c r="C502" s="31">
        <v>1.8260000000000001</v>
      </c>
      <c r="D502" s="31">
        <v>1.923</v>
      </c>
      <c r="E502" s="31">
        <v>2.1480000000000001</v>
      </c>
      <c r="F502" s="31">
        <v>2.1909999999999998</v>
      </c>
      <c r="G502" s="31">
        <v>2.1949999999999998</v>
      </c>
      <c r="H502" s="31">
        <v>2.2639999999999998</v>
      </c>
      <c r="I502" s="31">
        <v>2.3180000000000001</v>
      </c>
      <c r="K502" s="27"/>
      <c r="L502" s="30"/>
      <c r="M502" s="30"/>
      <c r="N502" s="30"/>
      <c r="O502" s="30"/>
      <c r="P502" s="30"/>
      <c r="Q502" s="30"/>
      <c r="R502" s="30"/>
      <c r="S502" s="30"/>
    </row>
    <row r="503" spans="1:19" x14ac:dyDescent="0.25">
      <c r="A503" s="29">
        <v>44712</v>
      </c>
      <c r="B503" s="31">
        <v>1.645</v>
      </c>
      <c r="C503" s="31">
        <v>1.7829999999999999</v>
      </c>
      <c r="D503" s="31">
        <v>1.92</v>
      </c>
      <c r="E503" s="31">
        <v>2.1429999999999998</v>
      </c>
      <c r="F503" s="31">
        <v>2.1859999999999999</v>
      </c>
      <c r="G503" s="31">
        <v>2.1909999999999998</v>
      </c>
      <c r="H503" s="31">
        <v>2.2679999999999998</v>
      </c>
      <c r="I503" s="31">
        <v>2.323</v>
      </c>
      <c r="K503" s="27"/>
      <c r="L503" s="30"/>
      <c r="M503" s="30"/>
      <c r="N503" s="30"/>
      <c r="O503" s="30"/>
      <c r="P503" s="30"/>
      <c r="Q503" s="30"/>
      <c r="R503" s="30"/>
      <c r="S503" s="30"/>
    </row>
    <row r="504" spans="1:19" x14ac:dyDescent="0.25">
      <c r="A504" s="29">
        <v>44713</v>
      </c>
      <c r="B504" s="31">
        <v>1.639</v>
      </c>
      <c r="C504" s="31">
        <v>1.7769999999999999</v>
      </c>
      <c r="D504" s="31">
        <v>1.9159999999999999</v>
      </c>
      <c r="E504" s="31">
        <v>2.1429999999999998</v>
      </c>
      <c r="F504" s="31">
        <v>2.1859999999999999</v>
      </c>
      <c r="G504" s="31">
        <v>2.1909999999999998</v>
      </c>
      <c r="H504" s="31">
        <v>2.2679999999999998</v>
      </c>
      <c r="I504" s="31">
        <v>2.323</v>
      </c>
      <c r="K504" s="27"/>
      <c r="L504" s="30"/>
      <c r="M504" s="30"/>
      <c r="N504" s="30"/>
      <c r="O504" s="30"/>
      <c r="P504" s="30"/>
      <c r="Q504" s="30"/>
      <c r="R504" s="30"/>
      <c r="S504" s="30"/>
    </row>
    <row r="505" spans="1:19" x14ac:dyDescent="0.25">
      <c r="A505" s="29">
        <v>44714</v>
      </c>
      <c r="B505" s="31">
        <v>1.62</v>
      </c>
      <c r="C505" s="31">
        <v>1.7450000000000001</v>
      </c>
      <c r="D505" s="31">
        <v>1.87</v>
      </c>
      <c r="E505" s="31">
        <v>2.141</v>
      </c>
      <c r="F505" s="31">
        <v>2.1840000000000002</v>
      </c>
      <c r="G505" s="31">
        <v>2.1840000000000002</v>
      </c>
      <c r="H505" s="31">
        <v>2.2610000000000001</v>
      </c>
      <c r="I505" s="31">
        <v>2.3159999999999998</v>
      </c>
      <c r="K505" s="27"/>
      <c r="L505" s="30"/>
      <c r="M505" s="30"/>
      <c r="N505" s="30"/>
      <c r="O505" s="30"/>
      <c r="P505" s="30"/>
      <c r="Q505" s="30"/>
      <c r="R505" s="30"/>
      <c r="S505" s="30"/>
    </row>
    <row r="506" spans="1:19" x14ac:dyDescent="0.25">
      <c r="A506" s="29">
        <v>44715</v>
      </c>
      <c r="B506" s="31">
        <v>1.552</v>
      </c>
      <c r="C506" s="31">
        <v>1.6850000000000001</v>
      </c>
      <c r="D506" s="31">
        <v>1.8180000000000001</v>
      </c>
      <c r="E506" s="31">
        <v>2.1389999999999998</v>
      </c>
      <c r="F506" s="31">
        <v>2.1840000000000002</v>
      </c>
      <c r="G506" s="31">
        <v>2.1859999999999999</v>
      </c>
      <c r="H506" s="31">
        <v>2.2639999999999998</v>
      </c>
      <c r="I506" s="31">
        <v>2.3180000000000001</v>
      </c>
      <c r="K506" s="27"/>
      <c r="L506" s="30"/>
      <c r="M506" s="30"/>
      <c r="N506" s="30"/>
      <c r="O506" s="30"/>
      <c r="P506" s="30"/>
      <c r="Q506" s="30"/>
      <c r="R506" s="30"/>
      <c r="S506" s="30"/>
    </row>
    <row r="507" spans="1:19" x14ac:dyDescent="0.25">
      <c r="A507" s="29">
        <v>44718</v>
      </c>
      <c r="B507" s="31">
        <v>1.3680000000000001</v>
      </c>
      <c r="C507" s="31">
        <v>1.524</v>
      </c>
      <c r="D507" s="31">
        <v>1.68</v>
      </c>
      <c r="E507" s="31">
        <v>2.1389999999999998</v>
      </c>
      <c r="F507" s="31">
        <v>2.1840000000000002</v>
      </c>
      <c r="G507" s="31">
        <v>2.1859999999999999</v>
      </c>
      <c r="H507" s="31">
        <v>2.2639999999999998</v>
      </c>
      <c r="I507" s="31">
        <v>2.3180000000000001</v>
      </c>
      <c r="K507" s="27"/>
      <c r="L507" s="30"/>
      <c r="M507" s="30"/>
      <c r="N507" s="30"/>
      <c r="O507" s="30"/>
      <c r="P507" s="30"/>
      <c r="Q507" s="30"/>
      <c r="R507" s="30"/>
      <c r="S507" s="30"/>
    </row>
    <row r="508" spans="1:19" x14ac:dyDescent="0.25">
      <c r="A508" s="29">
        <v>44719</v>
      </c>
      <c r="B508" s="31">
        <v>1.18</v>
      </c>
      <c r="C508" s="31">
        <v>1.4159999999999999</v>
      </c>
      <c r="D508" s="31">
        <v>1.6519999999999999</v>
      </c>
      <c r="E508" s="31">
        <v>2.13</v>
      </c>
      <c r="F508" s="31">
        <v>2.177</v>
      </c>
      <c r="G508" s="31">
        <v>2.1859999999999999</v>
      </c>
      <c r="H508" s="31">
        <v>2.2639999999999998</v>
      </c>
      <c r="I508" s="31">
        <v>2.3180000000000001</v>
      </c>
      <c r="K508" s="27"/>
      <c r="L508" s="30"/>
      <c r="M508" s="30"/>
      <c r="N508" s="30"/>
      <c r="O508" s="30"/>
      <c r="P508" s="30"/>
      <c r="Q508" s="30"/>
      <c r="R508" s="30"/>
      <c r="S508" s="30"/>
    </row>
    <row r="509" spans="1:19" x14ac:dyDescent="0.25">
      <c r="A509" s="29">
        <v>44720</v>
      </c>
      <c r="B509" s="31">
        <v>0.98899999999999999</v>
      </c>
      <c r="C509" s="31">
        <v>1.302</v>
      </c>
      <c r="D509" s="31">
        <v>1.6160000000000001</v>
      </c>
      <c r="E509" s="31">
        <v>2.13</v>
      </c>
      <c r="F509" s="31">
        <v>2.177</v>
      </c>
      <c r="G509" s="31">
        <v>2.1859999999999999</v>
      </c>
      <c r="H509" s="31">
        <v>2.2639999999999998</v>
      </c>
      <c r="I509" s="31">
        <v>2.3180000000000001</v>
      </c>
      <c r="K509" s="27"/>
      <c r="L509" s="30"/>
      <c r="M509" s="30"/>
      <c r="N509" s="30"/>
      <c r="O509" s="30"/>
      <c r="P509" s="30"/>
      <c r="Q509" s="30"/>
      <c r="R509" s="30"/>
      <c r="S509" s="30"/>
    </row>
    <row r="510" spans="1:19" x14ac:dyDescent="0.25">
      <c r="A510" s="29">
        <v>44721</v>
      </c>
      <c r="B510" s="31">
        <v>0.93899999999999995</v>
      </c>
      <c r="C510" s="31">
        <v>1.278</v>
      </c>
      <c r="D510" s="31">
        <v>1.6180000000000001</v>
      </c>
      <c r="E510" s="31">
        <v>2.13</v>
      </c>
      <c r="F510" s="31">
        <v>2.177</v>
      </c>
      <c r="G510" s="31">
        <v>2.1859999999999999</v>
      </c>
      <c r="H510" s="31">
        <v>2.2639999999999998</v>
      </c>
      <c r="I510" s="31">
        <v>2.3180000000000001</v>
      </c>
      <c r="K510" s="27"/>
      <c r="L510" s="30"/>
      <c r="M510" s="30"/>
      <c r="N510" s="30"/>
      <c r="O510" s="30"/>
      <c r="P510" s="30"/>
      <c r="Q510" s="30"/>
      <c r="R510" s="30"/>
      <c r="S510" s="30"/>
    </row>
    <row r="511" spans="1:19" x14ac:dyDescent="0.25">
      <c r="A511" s="29">
        <v>44722</v>
      </c>
      <c r="B511" s="31">
        <v>0.91800000000000004</v>
      </c>
      <c r="C511" s="31">
        <v>1.2470000000000001</v>
      </c>
      <c r="D511" s="31">
        <v>1.575</v>
      </c>
      <c r="E511" s="31">
        <v>2.13</v>
      </c>
      <c r="F511" s="31">
        <v>2.177</v>
      </c>
      <c r="G511" s="31">
        <v>2.1859999999999999</v>
      </c>
      <c r="H511" s="31">
        <v>2.2639999999999998</v>
      </c>
      <c r="I511" s="31">
        <v>2.3180000000000001</v>
      </c>
      <c r="K511" s="27"/>
      <c r="L511" s="30"/>
      <c r="M511" s="30"/>
      <c r="N511" s="30"/>
      <c r="O511" s="30"/>
      <c r="P511" s="30"/>
      <c r="Q511" s="30"/>
      <c r="R511" s="30"/>
      <c r="S511" s="30"/>
    </row>
    <row r="512" spans="1:19" x14ac:dyDescent="0.25">
      <c r="A512" s="29">
        <v>44725</v>
      </c>
      <c r="B512" s="31">
        <v>0.92700000000000005</v>
      </c>
      <c r="C512" s="31">
        <v>1.2470000000000001</v>
      </c>
      <c r="D512" s="31">
        <v>1.5660000000000001</v>
      </c>
      <c r="E512" s="31">
        <v>2.13</v>
      </c>
      <c r="F512" s="31">
        <v>2.177</v>
      </c>
      <c r="G512" s="31">
        <v>2.1859999999999999</v>
      </c>
      <c r="H512" s="31">
        <v>2.2639999999999998</v>
      </c>
      <c r="I512" s="31">
        <v>2.3180000000000001</v>
      </c>
      <c r="K512" s="27"/>
      <c r="L512" s="30"/>
      <c r="M512" s="30"/>
      <c r="N512" s="30"/>
      <c r="O512" s="30"/>
      <c r="P512" s="30"/>
      <c r="Q512" s="30"/>
      <c r="R512" s="30"/>
      <c r="S512" s="30"/>
    </row>
    <row r="513" spans="1:19" x14ac:dyDescent="0.25">
      <c r="A513" s="29">
        <v>44726</v>
      </c>
      <c r="B513" s="31">
        <v>0.92</v>
      </c>
      <c r="C513" s="31">
        <v>1.24</v>
      </c>
      <c r="D513" s="31">
        <v>1.5589999999999999</v>
      </c>
      <c r="E513" s="31">
        <v>2.13</v>
      </c>
      <c r="F513" s="31">
        <v>2.177</v>
      </c>
      <c r="G513" s="31">
        <v>2.1859999999999999</v>
      </c>
      <c r="H513" s="31">
        <v>2.2639999999999998</v>
      </c>
      <c r="I513" s="31">
        <v>2.3180000000000001</v>
      </c>
      <c r="K513" s="27"/>
      <c r="L513" s="30"/>
      <c r="M513" s="30"/>
      <c r="N513" s="30"/>
      <c r="O513" s="30"/>
      <c r="P513" s="30"/>
      <c r="Q513" s="30"/>
      <c r="R513" s="30"/>
      <c r="S513" s="30"/>
    </row>
    <row r="514" spans="1:19" x14ac:dyDescent="0.25">
      <c r="A514" s="29">
        <v>44727</v>
      </c>
      <c r="B514" s="31">
        <v>0.92500000000000004</v>
      </c>
      <c r="C514" s="31">
        <v>1.2490000000000001</v>
      </c>
      <c r="D514" s="31">
        <v>1.573</v>
      </c>
      <c r="E514" s="31">
        <v>2.1389999999999998</v>
      </c>
      <c r="F514" s="31">
        <v>2.177</v>
      </c>
      <c r="G514" s="31">
        <v>2.1859999999999999</v>
      </c>
      <c r="H514" s="31">
        <v>2.2639999999999998</v>
      </c>
      <c r="I514" s="31">
        <v>2.3180000000000001</v>
      </c>
      <c r="K514" s="27"/>
      <c r="L514" s="30"/>
      <c r="M514" s="30"/>
      <c r="N514" s="30"/>
      <c r="O514" s="30"/>
      <c r="P514" s="30"/>
      <c r="Q514" s="30"/>
      <c r="R514" s="30"/>
      <c r="S514" s="30"/>
    </row>
    <row r="515" spans="1:19" x14ac:dyDescent="0.25">
      <c r="A515" s="29">
        <v>44728</v>
      </c>
      <c r="B515" s="31">
        <v>0.95</v>
      </c>
      <c r="C515" s="31">
        <v>1.2749999999999999</v>
      </c>
      <c r="D515" s="31">
        <v>1.6</v>
      </c>
      <c r="E515" s="31">
        <v>2.1389999999999998</v>
      </c>
      <c r="F515" s="31">
        <v>2.177</v>
      </c>
      <c r="G515" s="31">
        <v>2.1859999999999999</v>
      </c>
      <c r="H515" s="31">
        <v>2.2639999999999998</v>
      </c>
      <c r="I515" s="31">
        <v>2.3180000000000001</v>
      </c>
      <c r="K515" s="27"/>
      <c r="L515" s="30"/>
      <c r="M515" s="30"/>
      <c r="N515" s="30"/>
      <c r="O515" s="30"/>
      <c r="P515" s="30"/>
      <c r="Q515" s="30"/>
      <c r="R515" s="30"/>
      <c r="S515" s="30"/>
    </row>
    <row r="516" spans="1:19" x14ac:dyDescent="0.25">
      <c r="A516" s="29">
        <v>44729</v>
      </c>
      <c r="B516" s="31">
        <v>0.998</v>
      </c>
      <c r="C516" s="31">
        <v>1.306</v>
      </c>
      <c r="D516" s="31">
        <v>1.6140000000000001</v>
      </c>
      <c r="E516" s="31">
        <v>2.141</v>
      </c>
      <c r="F516" s="31">
        <v>2.177</v>
      </c>
      <c r="G516" s="31">
        <v>2.2090000000000001</v>
      </c>
      <c r="H516" s="31">
        <v>2.2679999999999998</v>
      </c>
      <c r="I516" s="31">
        <v>2.323</v>
      </c>
      <c r="K516" s="27"/>
      <c r="L516" s="30"/>
      <c r="M516" s="30"/>
      <c r="N516" s="30"/>
      <c r="O516" s="30"/>
      <c r="P516" s="30"/>
      <c r="Q516" s="30"/>
      <c r="R516" s="30"/>
      <c r="S516" s="30"/>
    </row>
    <row r="517" spans="1:19" x14ac:dyDescent="0.25">
      <c r="A517" s="29">
        <v>44732</v>
      </c>
      <c r="B517" s="31">
        <v>1.4570000000000001</v>
      </c>
      <c r="C517" s="31">
        <v>1.64</v>
      </c>
      <c r="D517" s="31">
        <v>1.823</v>
      </c>
      <c r="E517" s="31">
        <v>2.141</v>
      </c>
      <c r="F517" s="31">
        <v>2.1819999999999999</v>
      </c>
      <c r="G517" s="31">
        <v>2.2090000000000001</v>
      </c>
      <c r="H517" s="31">
        <v>2.2679999999999998</v>
      </c>
      <c r="I517" s="31">
        <v>2.323</v>
      </c>
      <c r="K517" s="27"/>
      <c r="L517" s="30"/>
      <c r="M517" s="30"/>
      <c r="N517" s="30"/>
      <c r="O517" s="30"/>
      <c r="P517" s="30"/>
      <c r="Q517" s="30"/>
      <c r="R517" s="30"/>
      <c r="S517" s="30"/>
    </row>
    <row r="518" spans="1:19" x14ac:dyDescent="0.25">
      <c r="A518" s="29">
        <v>44733</v>
      </c>
      <c r="B518" s="31">
        <v>1.5</v>
      </c>
      <c r="C518" s="31">
        <v>1.6759999999999999</v>
      </c>
      <c r="D518" s="31">
        <v>1.8520000000000001</v>
      </c>
      <c r="E518" s="31">
        <v>2.15</v>
      </c>
      <c r="F518" s="31">
        <v>2.1909999999999998</v>
      </c>
      <c r="G518" s="31">
        <v>2.218</v>
      </c>
      <c r="H518" s="31">
        <v>2.2770000000000001</v>
      </c>
      <c r="I518" s="31">
        <v>2.3319999999999999</v>
      </c>
      <c r="K518" s="27"/>
      <c r="L518" s="30"/>
      <c r="M518" s="30"/>
      <c r="N518" s="30"/>
      <c r="O518" s="30"/>
      <c r="P518" s="30"/>
      <c r="Q518" s="30"/>
      <c r="R518" s="30"/>
      <c r="S518" s="30"/>
    </row>
    <row r="519" spans="1:19" x14ac:dyDescent="0.25">
      <c r="A519" s="29">
        <v>44734</v>
      </c>
      <c r="B519" s="31">
        <v>1.38</v>
      </c>
      <c r="C519" s="31">
        <v>1.56</v>
      </c>
      <c r="D519" s="31">
        <v>1.7410000000000001</v>
      </c>
      <c r="E519" s="31">
        <v>2.15</v>
      </c>
      <c r="F519" s="31">
        <v>2.1909999999999998</v>
      </c>
      <c r="G519" s="31">
        <v>2.218</v>
      </c>
      <c r="H519" s="31">
        <v>2.2770000000000001</v>
      </c>
      <c r="I519" s="31">
        <v>2.3319999999999999</v>
      </c>
      <c r="K519" s="27"/>
      <c r="L519" s="30"/>
      <c r="M519" s="30"/>
      <c r="N519" s="30"/>
      <c r="O519" s="30"/>
      <c r="P519" s="30"/>
      <c r="Q519" s="30"/>
      <c r="R519" s="30"/>
      <c r="S519" s="30"/>
    </row>
    <row r="520" spans="1:19" x14ac:dyDescent="0.25">
      <c r="A520" s="29">
        <v>44735</v>
      </c>
      <c r="B520" s="31">
        <v>1.361</v>
      </c>
      <c r="C520" s="31">
        <v>1.5249999999999999</v>
      </c>
      <c r="D520" s="31">
        <v>1.6890000000000001</v>
      </c>
      <c r="E520" s="31">
        <v>2.15</v>
      </c>
      <c r="F520" s="31">
        <v>2.1909999999999998</v>
      </c>
      <c r="G520" s="31">
        <v>2.218</v>
      </c>
      <c r="H520" s="31">
        <v>2.2770000000000001</v>
      </c>
      <c r="I520" s="31">
        <v>2.3319999999999999</v>
      </c>
      <c r="K520" s="27"/>
      <c r="L520" s="30"/>
      <c r="M520" s="30"/>
      <c r="N520" s="30"/>
      <c r="O520" s="30"/>
      <c r="P520" s="30"/>
      <c r="Q520" s="30"/>
      <c r="R520" s="30"/>
      <c r="S520" s="30"/>
    </row>
    <row r="521" spans="1:19" x14ac:dyDescent="0.25">
      <c r="A521" s="29">
        <v>44736</v>
      </c>
      <c r="B521" s="31">
        <v>1.3680000000000001</v>
      </c>
      <c r="C521" s="31">
        <v>1.53</v>
      </c>
      <c r="D521" s="31">
        <v>1.6910000000000001</v>
      </c>
      <c r="E521" s="31">
        <v>2.15</v>
      </c>
      <c r="F521" s="31">
        <v>2.1909999999999998</v>
      </c>
      <c r="G521" s="31">
        <v>2.218</v>
      </c>
      <c r="H521" s="31">
        <v>2.2770000000000001</v>
      </c>
      <c r="I521" s="31">
        <v>2.3319999999999999</v>
      </c>
      <c r="K521" s="27"/>
      <c r="L521" s="30"/>
      <c r="M521" s="30"/>
      <c r="N521" s="30"/>
      <c r="O521" s="30"/>
      <c r="P521" s="30"/>
      <c r="Q521" s="30"/>
      <c r="R521" s="30"/>
      <c r="S521" s="30"/>
    </row>
    <row r="522" spans="1:19" x14ac:dyDescent="0.25">
      <c r="A522" s="29">
        <v>44739</v>
      </c>
      <c r="B522" s="31">
        <v>1.3680000000000001</v>
      </c>
      <c r="C522" s="31">
        <v>1.536</v>
      </c>
      <c r="D522" s="31">
        <v>1.7050000000000001</v>
      </c>
      <c r="E522" s="31">
        <v>2.145</v>
      </c>
      <c r="F522" s="31">
        <v>2.1909999999999998</v>
      </c>
      <c r="G522" s="31">
        <v>2.218</v>
      </c>
      <c r="H522" s="31">
        <v>2.2770000000000001</v>
      </c>
      <c r="I522" s="31">
        <v>2.3319999999999999</v>
      </c>
      <c r="K522" s="27"/>
      <c r="L522" s="30"/>
      <c r="M522" s="30"/>
      <c r="N522" s="30"/>
      <c r="O522" s="30"/>
      <c r="P522" s="30"/>
      <c r="Q522" s="30"/>
      <c r="R522" s="30"/>
      <c r="S522" s="30"/>
    </row>
    <row r="523" spans="1:19" x14ac:dyDescent="0.25">
      <c r="A523" s="29">
        <v>44740</v>
      </c>
      <c r="B523" s="31">
        <v>1.327</v>
      </c>
      <c r="C523" s="31">
        <v>1.4670000000000001</v>
      </c>
      <c r="D523" s="31">
        <v>1.607</v>
      </c>
      <c r="E523" s="31">
        <v>2.145</v>
      </c>
      <c r="F523" s="31">
        <v>2.1909999999999998</v>
      </c>
      <c r="G523" s="31">
        <v>2.218</v>
      </c>
      <c r="H523" s="31">
        <v>2.2770000000000001</v>
      </c>
      <c r="I523" s="31">
        <v>2.3319999999999999</v>
      </c>
      <c r="K523" s="27"/>
      <c r="L523" s="30"/>
      <c r="M523" s="30"/>
      <c r="N523" s="30"/>
      <c r="O523" s="30"/>
      <c r="P523" s="30"/>
      <c r="Q523" s="30"/>
      <c r="R523" s="30"/>
      <c r="S523" s="30"/>
    </row>
    <row r="524" spans="1:19" x14ac:dyDescent="0.25">
      <c r="A524" s="29">
        <v>44741</v>
      </c>
      <c r="B524" s="31">
        <v>1.3320000000000001</v>
      </c>
      <c r="C524" s="31">
        <v>1.474</v>
      </c>
      <c r="D524" s="31">
        <v>1.6160000000000001</v>
      </c>
      <c r="E524" s="31">
        <v>2.145</v>
      </c>
      <c r="F524" s="31">
        <v>2.1909999999999998</v>
      </c>
      <c r="G524" s="31">
        <v>2.218</v>
      </c>
      <c r="H524" s="31">
        <v>2.2770000000000001</v>
      </c>
      <c r="I524" s="31">
        <v>2.3319999999999999</v>
      </c>
      <c r="K524" s="27"/>
      <c r="L524" s="30"/>
      <c r="M524" s="30"/>
      <c r="N524" s="30"/>
      <c r="O524" s="30"/>
      <c r="P524" s="30"/>
      <c r="Q524" s="30"/>
      <c r="R524" s="30"/>
      <c r="S524" s="30"/>
    </row>
    <row r="525" spans="1:19" x14ac:dyDescent="0.25">
      <c r="A525" s="29">
        <v>44742</v>
      </c>
      <c r="B525" s="31">
        <v>1.377</v>
      </c>
      <c r="C525" s="31">
        <v>1.5169999999999999</v>
      </c>
      <c r="D525" s="31">
        <v>1.657</v>
      </c>
      <c r="E525" s="31">
        <v>2.141</v>
      </c>
      <c r="F525" s="31">
        <v>2.1859999999999999</v>
      </c>
      <c r="G525" s="31">
        <v>2.1949999999999998</v>
      </c>
      <c r="H525" s="31">
        <v>2.2770000000000001</v>
      </c>
      <c r="I525" s="31">
        <v>2.3319999999999999</v>
      </c>
      <c r="K525" s="27"/>
      <c r="L525" s="30"/>
      <c r="M525" s="30"/>
      <c r="N525" s="30"/>
      <c r="O525" s="30"/>
      <c r="P525" s="30"/>
      <c r="Q525" s="30"/>
      <c r="R525" s="30"/>
      <c r="S525" s="30"/>
    </row>
    <row r="526" spans="1:19" x14ac:dyDescent="0.25">
      <c r="A526" s="29">
        <v>44743</v>
      </c>
      <c r="B526" s="31">
        <v>1.4</v>
      </c>
      <c r="C526" s="31">
        <v>1.528</v>
      </c>
      <c r="D526" s="31">
        <v>1.657</v>
      </c>
      <c r="E526" s="31">
        <v>2.15</v>
      </c>
      <c r="F526" s="31">
        <v>2.1890000000000001</v>
      </c>
      <c r="G526" s="31">
        <v>2.2000000000000002</v>
      </c>
      <c r="H526" s="31">
        <v>2.282</v>
      </c>
      <c r="I526" s="31">
        <v>2.3359999999999999</v>
      </c>
      <c r="K526" s="27"/>
      <c r="L526" s="30"/>
      <c r="M526" s="30"/>
      <c r="N526" s="30"/>
      <c r="O526" s="30"/>
      <c r="P526" s="30"/>
      <c r="Q526" s="30"/>
      <c r="R526" s="30"/>
      <c r="S526" s="30"/>
    </row>
    <row r="527" spans="1:19" x14ac:dyDescent="0.25">
      <c r="A527" s="29">
        <v>44746</v>
      </c>
      <c r="B527" s="31">
        <v>1.423</v>
      </c>
      <c r="C527" s="31">
        <v>1.548</v>
      </c>
      <c r="D527" s="31">
        <v>1.673</v>
      </c>
      <c r="E527" s="31">
        <v>2.145</v>
      </c>
      <c r="F527" s="31">
        <v>2.1840000000000002</v>
      </c>
      <c r="G527" s="31">
        <v>2.1949999999999998</v>
      </c>
      <c r="H527" s="31">
        <v>2.2730000000000001</v>
      </c>
      <c r="I527" s="31">
        <v>2.3359999999999999</v>
      </c>
      <c r="K527" s="27"/>
      <c r="L527" s="30"/>
      <c r="M527" s="30"/>
      <c r="N527" s="30"/>
      <c r="O527" s="30"/>
      <c r="P527" s="30"/>
      <c r="Q527" s="30"/>
      <c r="R527" s="30"/>
      <c r="S527" s="30"/>
    </row>
    <row r="528" spans="1:19" x14ac:dyDescent="0.25">
      <c r="A528" s="29">
        <v>44747</v>
      </c>
      <c r="B528" s="31">
        <v>1.4359999999999999</v>
      </c>
      <c r="C528" s="31">
        <v>1.556</v>
      </c>
      <c r="D528" s="31">
        <v>1.675</v>
      </c>
      <c r="E528" s="31">
        <v>2.145</v>
      </c>
      <c r="F528" s="31">
        <v>2.1840000000000002</v>
      </c>
      <c r="G528" s="31">
        <v>2.1949999999999998</v>
      </c>
      <c r="H528" s="31">
        <v>2.2730000000000001</v>
      </c>
      <c r="I528" s="31">
        <v>2.3359999999999999</v>
      </c>
      <c r="K528" s="27"/>
      <c r="L528" s="30"/>
      <c r="M528" s="30"/>
      <c r="N528" s="30"/>
      <c r="O528" s="30"/>
      <c r="P528" s="30"/>
      <c r="Q528" s="30"/>
      <c r="R528" s="30"/>
      <c r="S528" s="30"/>
    </row>
    <row r="529" spans="1:19" x14ac:dyDescent="0.25">
      <c r="A529" s="29">
        <v>44748</v>
      </c>
      <c r="B529" s="31">
        <v>1.373</v>
      </c>
      <c r="C529" s="31">
        <v>1.5069999999999999</v>
      </c>
      <c r="D529" s="31">
        <v>1.641</v>
      </c>
      <c r="E529" s="31">
        <v>2.145</v>
      </c>
      <c r="F529" s="31">
        <v>2.1840000000000002</v>
      </c>
      <c r="G529" s="31">
        <v>2.1949999999999998</v>
      </c>
      <c r="H529" s="31">
        <v>2.2730000000000001</v>
      </c>
      <c r="I529" s="31">
        <v>2.3359999999999999</v>
      </c>
      <c r="K529" s="27"/>
      <c r="L529" s="30"/>
      <c r="M529" s="30"/>
      <c r="N529" s="30"/>
      <c r="O529" s="30"/>
      <c r="P529" s="30"/>
      <c r="Q529" s="30"/>
      <c r="R529" s="30"/>
      <c r="S529" s="30"/>
    </row>
    <row r="530" spans="1:19" x14ac:dyDescent="0.25">
      <c r="A530" s="29">
        <v>44749</v>
      </c>
      <c r="B530" s="31">
        <v>1.266</v>
      </c>
      <c r="C530" s="31">
        <v>1.4470000000000001</v>
      </c>
      <c r="D530" s="31">
        <v>1.627</v>
      </c>
      <c r="E530" s="31">
        <v>2.1389999999999998</v>
      </c>
      <c r="F530" s="31">
        <v>2.1840000000000002</v>
      </c>
      <c r="G530" s="31">
        <v>2.1949999999999998</v>
      </c>
      <c r="H530" s="31">
        <v>2.2730000000000001</v>
      </c>
      <c r="I530" s="31">
        <v>2.3359999999999999</v>
      </c>
      <c r="K530" s="27"/>
      <c r="L530" s="30"/>
      <c r="M530" s="30"/>
      <c r="N530" s="30"/>
      <c r="O530" s="30"/>
      <c r="P530" s="30"/>
      <c r="Q530" s="30"/>
      <c r="R530" s="30"/>
      <c r="S530" s="30"/>
    </row>
    <row r="531" spans="1:19" x14ac:dyDescent="0.25">
      <c r="A531" s="29">
        <v>44750</v>
      </c>
      <c r="B531" s="31">
        <v>1.2909999999999999</v>
      </c>
      <c r="C531" s="31">
        <v>1.4630000000000001</v>
      </c>
      <c r="D531" s="31">
        <v>1.6339999999999999</v>
      </c>
      <c r="E531" s="31">
        <v>2.1480000000000001</v>
      </c>
      <c r="F531" s="31">
        <v>2.1840000000000002</v>
      </c>
      <c r="G531" s="31">
        <v>2.1949999999999998</v>
      </c>
      <c r="H531" s="31">
        <v>2.2730000000000001</v>
      </c>
      <c r="I531" s="31">
        <v>2.3359999999999999</v>
      </c>
      <c r="K531" s="27"/>
      <c r="L531" s="30"/>
      <c r="M531" s="30"/>
      <c r="N531" s="30"/>
      <c r="O531" s="30"/>
      <c r="P531" s="30"/>
      <c r="Q531" s="30"/>
      <c r="R531" s="30"/>
      <c r="S531" s="30"/>
    </row>
    <row r="532" spans="1:19" x14ac:dyDescent="0.25">
      <c r="A532" s="29">
        <v>44753</v>
      </c>
      <c r="B532" s="31">
        <v>1.1950000000000001</v>
      </c>
      <c r="C532" s="31">
        <v>1.4059999999999999</v>
      </c>
      <c r="D532" s="31">
        <v>1.6160000000000001</v>
      </c>
      <c r="E532" s="31">
        <v>2.1480000000000001</v>
      </c>
      <c r="F532" s="31">
        <v>2.1840000000000002</v>
      </c>
      <c r="G532" s="31">
        <v>2.1949999999999998</v>
      </c>
      <c r="H532" s="31">
        <v>2.2730000000000001</v>
      </c>
      <c r="I532" s="31">
        <v>2.3359999999999999</v>
      </c>
      <c r="K532" s="27"/>
      <c r="L532" s="30"/>
      <c r="M532" s="30"/>
      <c r="N532" s="30"/>
      <c r="O532" s="30"/>
      <c r="P532" s="30"/>
      <c r="Q532" s="30"/>
      <c r="R532" s="30"/>
      <c r="S532" s="30"/>
    </row>
    <row r="533" spans="1:19" x14ac:dyDescent="0.25">
      <c r="A533" s="29">
        <v>44754</v>
      </c>
      <c r="B533" s="31">
        <v>1.177</v>
      </c>
      <c r="C533" s="31">
        <v>1.389</v>
      </c>
      <c r="D533" s="31">
        <v>1.6</v>
      </c>
      <c r="E533" s="31">
        <v>2.1339999999999999</v>
      </c>
      <c r="F533" s="31">
        <v>2.1680000000000001</v>
      </c>
      <c r="G533" s="31">
        <v>2.1909999999999998</v>
      </c>
      <c r="H533" s="31">
        <v>2.2679999999999998</v>
      </c>
      <c r="I533" s="31">
        <v>2.3319999999999999</v>
      </c>
      <c r="K533" s="27"/>
      <c r="L533" s="30"/>
      <c r="M533" s="30"/>
      <c r="N533" s="30"/>
      <c r="O533" s="30"/>
      <c r="P533" s="30"/>
      <c r="Q533" s="30"/>
      <c r="R533" s="30"/>
      <c r="S533" s="30"/>
    </row>
    <row r="534" spans="1:19" x14ac:dyDescent="0.25">
      <c r="A534" s="29">
        <v>44755</v>
      </c>
      <c r="B534" s="31">
        <v>1.1180000000000001</v>
      </c>
      <c r="C534" s="31">
        <v>1.355</v>
      </c>
      <c r="D534" s="31">
        <v>1.591</v>
      </c>
      <c r="E534" s="31">
        <v>2.1429999999999998</v>
      </c>
      <c r="F534" s="31">
        <v>2.177</v>
      </c>
      <c r="G534" s="31">
        <v>2.1909999999999998</v>
      </c>
      <c r="H534" s="31">
        <v>2.2679999999999998</v>
      </c>
      <c r="I534" s="31">
        <v>2.3319999999999999</v>
      </c>
      <c r="K534" s="27"/>
      <c r="L534" s="30"/>
      <c r="M534" s="30"/>
      <c r="N534" s="30"/>
      <c r="O534" s="30"/>
      <c r="P534" s="30"/>
      <c r="Q534" s="30"/>
      <c r="R534" s="30"/>
      <c r="S534" s="30"/>
    </row>
    <row r="535" spans="1:19" x14ac:dyDescent="0.25">
      <c r="A535" s="29">
        <v>44756</v>
      </c>
      <c r="B535" s="31">
        <v>1.145</v>
      </c>
      <c r="C535" s="31">
        <v>1.38</v>
      </c>
      <c r="D535" s="31">
        <v>1.6140000000000001</v>
      </c>
      <c r="E535" s="31">
        <v>2.1429999999999998</v>
      </c>
      <c r="F535" s="31">
        <v>2.177</v>
      </c>
      <c r="G535" s="31">
        <v>2.1909999999999998</v>
      </c>
      <c r="H535" s="31">
        <v>2.2679999999999998</v>
      </c>
      <c r="I535" s="31">
        <v>2.3319999999999999</v>
      </c>
      <c r="K535" s="27"/>
      <c r="L535" s="30"/>
      <c r="M535" s="30"/>
      <c r="N535" s="30"/>
      <c r="O535" s="30"/>
      <c r="P535" s="30"/>
      <c r="Q535" s="30"/>
      <c r="R535" s="30"/>
      <c r="S535" s="30"/>
    </row>
    <row r="536" spans="1:19" x14ac:dyDescent="0.25">
      <c r="A536" s="29">
        <v>44757</v>
      </c>
      <c r="B536" s="31">
        <v>1.2250000000000001</v>
      </c>
      <c r="C536" s="31">
        <v>1.419</v>
      </c>
      <c r="D536" s="31">
        <v>1.6140000000000001</v>
      </c>
      <c r="E536" s="31">
        <v>2.1429999999999998</v>
      </c>
      <c r="F536" s="31">
        <v>2.1819999999999999</v>
      </c>
      <c r="G536" s="31">
        <v>2.1909999999999998</v>
      </c>
      <c r="H536" s="31">
        <v>2.2679999999999998</v>
      </c>
      <c r="I536" s="31">
        <v>2.3319999999999999</v>
      </c>
      <c r="K536" s="27"/>
      <c r="L536" s="30"/>
      <c r="M536" s="30"/>
      <c r="N536" s="30"/>
      <c r="O536" s="30"/>
      <c r="P536" s="30"/>
      <c r="Q536" s="30"/>
      <c r="R536" s="30"/>
      <c r="S536" s="30"/>
    </row>
    <row r="537" spans="1:19" x14ac:dyDescent="0.25">
      <c r="A537" s="29">
        <v>44760</v>
      </c>
      <c r="B537" s="31">
        <v>1.282</v>
      </c>
      <c r="C537" s="31">
        <v>1.4590000000000001</v>
      </c>
      <c r="D537" s="31">
        <v>1.6359999999999999</v>
      </c>
      <c r="E537" s="31">
        <v>2.1429999999999998</v>
      </c>
      <c r="F537" s="31">
        <v>2.1819999999999999</v>
      </c>
      <c r="G537" s="31">
        <v>2.1909999999999998</v>
      </c>
      <c r="H537" s="31">
        <v>2.2679999999999998</v>
      </c>
      <c r="I537" s="31">
        <v>2.3319999999999999</v>
      </c>
      <c r="K537" s="27"/>
      <c r="L537" s="30"/>
      <c r="M537" s="30"/>
      <c r="N537" s="30"/>
      <c r="O537" s="30"/>
      <c r="P537" s="30"/>
      <c r="Q537" s="30"/>
      <c r="R537" s="30"/>
      <c r="S537" s="30"/>
    </row>
    <row r="538" spans="1:19" x14ac:dyDescent="0.25">
      <c r="A538" s="29">
        <v>44761</v>
      </c>
      <c r="B538" s="31">
        <v>1.5089999999999999</v>
      </c>
      <c r="C538" s="31">
        <v>1.6779999999999999</v>
      </c>
      <c r="D538" s="31">
        <v>1.8480000000000001</v>
      </c>
      <c r="E538" s="31">
        <v>2.173</v>
      </c>
      <c r="F538" s="31">
        <v>2.2050000000000001</v>
      </c>
      <c r="G538" s="31">
        <v>2.214</v>
      </c>
      <c r="H538" s="31">
        <v>2.2909999999999999</v>
      </c>
      <c r="I538" s="31">
        <v>2.355</v>
      </c>
      <c r="K538" s="27"/>
      <c r="L538" s="30"/>
      <c r="M538" s="30"/>
      <c r="N538" s="30"/>
      <c r="O538" s="30"/>
      <c r="P538" s="30"/>
      <c r="Q538" s="30"/>
      <c r="R538" s="30"/>
      <c r="S538" s="30"/>
    </row>
    <row r="539" spans="1:19" x14ac:dyDescent="0.25">
      <c r="A539" s="29">
        <v>44762</v>
      </c>
      <c r="B539" s="31">
        <v>1.6679999999999999</v>
      </c>
      <c r="C539" s="31">
        <v>1.82</v>
      </c>
      <c r="D539" s="31">
        <v>1.9730000000000001</v>
      </c>
      <c r="E539" s="31">
        <v>2.2050000000000001</v>
      </c>
      <c r="F539" s="31">
        <v>2.25</v>
      </c>
      <c r="G539" s="31">
        <v>2.286</v>
      </c>
      <c r="H539" s="31">
        <v>2.3820000000000001</v>
      </c>
      <c r="I539" s="31">
        <v>2.4449999999999998</v>
      </c>
      <c r="K539" s="27"/>
      <c r="L539" s="30"/>
      <c r="M539" s="30"/>
      <c r="N539" s="30"/>
      <c r="O539" s="30"/>
      <c r="P539" s="30"/>
      <c r="Q539" s="30"/>
      <c r="R539" s="30"/>
      <c r="S539" s="30"/>
    </row>
    <row r="540" spans="1:19" x14ac:dyDescent="0.25">
      <c r="A540" s="29">
        <v>44763</v>
      </c>
      <c r="B540" s="31">
        <v>2.2450000000000001</v>
      </c>
      <c r="C540" s="31">
        <v>2.298</v>
      </c>
      <c r="D540" s="31">
        <v>2.35</v>
      </c>
      <c r="E540" s="31">
        <v>2.2229999999999999</v>
      </c>
      <c r="F540" s="31">
        <v>2.2679999999999998</v>
      </c>
      <c r="G540" s="31">
        <v>2.2949999999999999</v>
      </c>
      <c r="H540" s="31">
        <v>2.4049999999999998</v>
      </c>
      <c r="I540" s="31">
        <v>2.4449999999999998</v>
      </c>
      <c r="K540" s="27"/>
      <c r="L540" s="30"/>
      <c r="M540" s="30"/>
      <c r="N540" s="30"/>
      <c r="O540" s="30"/>
      <c r="P540" s="30"/>
      <c r="Q540" s="30"/>
      <c r="R540" s="30"/>
      <c r="S540" s="30"/>
    </row>
    <row r="541" spans="1:19" x14ac:dyDescent="0.25">
      <c r="A541" s="29">
        <v>44764</v>
      </c>
      <c r="B541" s="31">
        <v>2.4500000000000002</v>
      </c>
      <c r="C541" s="31">
        <v>2.5</v>
      </c>
      <c r="D541" s="31">
        <v>2.5499999999999998</v>
      </c>
      <c r="E541" s="31">
        <v>2.359</v>
      </c>
      <c r="F541" s="31">
        <v>2.3860000000000001</v>
      </c>
      <c r="G541" s="31">
        <v>2.391</v>
      </c>
      <c r="H541" s="31">
        <v>2.4820000000000002</v>
      </c>
      <c r="I541" s="31">
        <v>2.5139999999999998</v>
      </c>
      <c r="K541" s="27"/>
      <c r="L541" s="30"/>
      <c r="M541" s="30"/>
      <c r="N541" s="30"/>
      <c r="O541" s="30"/>
      <c r="P541" s="30"/>
      <c r="Q541" s="30"/>
      <c r="R541" s="30"/>
      <c r="S541" s="30"/>
    </row>
    <row r="542" spans="1:19" x14ac:dyDescent="0.25">
      <c r="A542" s="29">
        <v>44767</v>
      </c>
      <c r="B542" s="31">
        <v>2.7090000000000001</v>
      </c>
      <c r="C542" s="31">
        <v>2.7480000000000002</v>
      </c>
      <c r="D542" s="31">
        <v>2.786</v>
      </c>
      <c r="E542" s="31">
        <v>2.5270000000000001</v>
      </c>
      <c r="F542" s="31">
        <v>2.573</v>
      </c>
      <c r="G542" s="31">
        <v>2.5950000000000002</v>
      </c>
      <c r="H542" s="31">
        <v>2.6139999999999999</v>
      </c>
      <c r="I542" s="31">
        <v>2.6549999999999998</v>
      </c>
      <c r="K542" s="27"/>
      <c r="L542" s="30"/>
      <c r="M542" s="30"/>
      <c r="N542" s="30"/>
      <c r="O542" s="30"/>
      <c r="P542" s="30"/>
      <c r="Q542" s="30"/>
      <c r="R542" s="30"/>
      <c r="S542" s="30"/>
    </row>
    <row r="543" spans="1:19" x14ac:dyDescent="0.25">
      <c r="A543" s="29">
        <v>44768</v>
      </c>
      <c r="B543" s="31">
        <v>3.2320000000000002</v>
      </c>
      <c r="C543" s="31">
        <v>3.327</v>
      </c>
      <c r="D543" s="31">
        <v>3.423</v>
      </c>
      <c r="E543" s="31">
        <v>2.782</v>
      </c>
      <c r="F543" s="31">
        <v>2.8090000000000002</v>
      </c>
      <c r="G543" s="31">
        <v>2.8410000000000002</v>
      </c>
      <c r="H543" s="31">
        <v>2.8860000000000001</v>
      </c>
      <c r="I543" s="31">
        <v>2.9409999999999998</v>
      </c>
      <c r="K543" s="27"/>
      <c r="L543" s="30"/>
      <c r="M543" s="30"/>
      <c r="N543" s="30"/>
      <c r="O543" s="30"/>
      <c r="P543" s="30"/>
      <c r="Q543" s="30"/>
      <c r="R543" s="30"/>
      <c r="S543" s="30"/>
    </row>
    <row r="544" spans="1:19" x14ac:dyDescent="0.25">
      <c r="A544" s="29">
        <v>44769</v>
      </c>
      <c r="B544" s="31">
        <v>4.0730000000000004</v>
      </c>
      <c r="C544" s="31">
        <v>4.22</v>
      </c>
      <c r="D544" s="31">
        <v>4.3680000000000003</v>
      </c>
      <c r="E544" s="31">
        <v>3.7050000000000001</v>
      </c>
      <c r="F544" s="31">
        <v>3.6859999999999999</v>
      </c>
      <c r="G544" s="31">
        <v>3.7229999999999999</v>
      </c>
      <c r="H544" s="31">
        <v>3.7410000000000001</v>
      </c>
      <c r="I544" s="31">
        <v>3.7589999999999999</v>
      </c>
      <c r="K544" s="27"/>
      <c r="L544" s="30"/>
      <c r="M544" s="30"/>
      <c r="N544" s="30"/>
      <c r="O544" s="30"/>
      <c r="P544" s="30"/>
      <c r="Q544" s="30"/>
      <c r="R544" s="30"/>
      <c r="S544" s="30"/>
    </row>
    <row r="545" spans="1:19" x14ac:dyDescent="0.25">
      <c r="A545" s="29">
        <v>44770</v>
      </c>
      <c r="B545" s="31">
        <v>3.9860000000000002</v>
      </c>
      <c r="C545" s="31">
        <v>4.0839999999999996</v>
      </c>
      <c r="D545" s="31">
        <v>4.1820000000000004</v>
      </c>
      <c r="E545" s="31">
        <v>3.7639999999999998</v>
      </c>
      <c r="F545" s="31">
        <v>3.8</v>
      </c>
      <c r="G545" s="31">
        <v>3.8359999999999999</v>
      </c>
      <c r="H545" s="31">
        <v>3.8639999999999999</v>
      </c>
      <c r="I545" s="31">
        <v>3.891</v>
      </c>
      <c r="K545" s="27"/>
      <c r="L545" s="30"/>
      <c r="M545" s="30"/>
      <c r="N545" s="30"/>
      <c r="O545" s="30"/>
      <c r="P545" s="30"/>
      <c r="Q545" s="30"/>
      <c r="R545" s="30"/>
      <c r="S545" s="30"/>
    </row>
    <row r="546" spans="1:19" x14ac:dyDescent="0.25">
      <c r="A546" s="29">
        <v>44771</v>
      </c>
      <c r="B546" s="31">
        <v>3.9550000000000001</v>
      </c>
      <c r="C546" s="31">
        <v>4.05</v>
      </c>
      <c r="D546" s="31">
        <v>4.1449999999999996</v>
      </c>
      <c r="E546" s="31">
        <v>3.8</v>
      </c>
      <c r="F546" s="31">
        <v>3.827</v>
      </c>
      <c r="G546" s="31">
        <v>3.8639999999999999</v>
      </c>
      <c r="H546" s="31">
        <v>3.891</v>
      </c>
      <c r="I546" s="31">
        <v>3.9180000000000001</v>
      </c>
      <c r="K546" s="27"/>
      <c r="L546" s="30"/>
      <c r="M546" s="30"/>
      <c r="N546" s="30"/>
      <c r="O546" s="30"/>
      <c r="P546" s="30"/>
      <c r="Q546" s="30"/>
      <c r="R546" s="30"/>
      <c r="S546" s="30"/>
    </row>
    <row r="547" spans="1:19" x14ac:dyDescent="0.25">
      <c r="A547" s="29">
        <v>44774</v>
      </c>
      <c r="B547" s="31">
        <v>3.9860000000000002</v>
      </c>
      <c r="C547" s="31">
        <v>4.0730000000000004</v>
      </c>
      <c r="D547" s="31">
        <v>4.1589999999999998</v>
      </c>
      <c r="E547" s="31">
        <v>3.8639999999999999</v>
      </c>
      <c r="F547" s="31">
        <v>3.8820000000000001</v>
      </c>
      <c r="G547" s="31">
        <v>3.9089999999999998</v>
      </c>
      <c r="H547" s="31">
        <v>3.9359999999999999</v>
      </c>
      <c r="I547" s="31">
        <v>3.964</v>
      </c>
      <c r="K547" s="27"/>
      <c r="L547" s="30"/>
      <c r="M547" s="30"/>
      <c r="N547" s="30"/>
      <c r="O547" s="30"/>
      <c r="P547" s="30"/>
      <c r="Q547" s="30"/>
      <c r="R547" s="30"/>
      <c r="S547" s="30"/>
    </row>
    <row r="548" spans="1:19" x14ac:dyDescent="0.25">
      <c r="A548" s="29">
        <v>44775</v>
      </c>
      <c r="B548" s="31">
        <v>3.9660000000000002</v>
      </c>
      <c r="C548" s="31">
        <v>4.0199999999999996</v>
      </c>
      <c r="D548" s="31">
        <v>4.0750000000000002</v>
      </c>
      <c r="E548" s="31">
        <v>4.0179999999999998</v>
      </c>
      <c r="F548" s="31">
        <v>4.0410000000000004</v>
      </c>
      <c r="G548" s="31">
        <v>4.0679999999999996</v>
      </c>
      <c r="H548" s="31">
        <v>4.0860000000000003</v>
      </c>
      <c r="I548" s="31">
        <v>4.1139999999999999</v>
      </c>
      <c r="K548" s="27"/>
      <c r="L548" s="30"/>
      <c r="M548" s="30"/>
      <c r="N548" s="30"/>
      <c r="O548" s="30"/>
      <c r="P548" s="30"/>
      <c r="Q548" s="30"/>
      <c r="R548" s="30"/>
      <c r="S548" s="30"/>
    </row>
    <row r="549" spans="1:19" x14ac:dyDescent="0.25">
      <c r="A549" s="29">
        <v>44776</v>
      </c>
      <c r="B549" s="31">
        <v>3.98</v>
      </c>
      <c r="C549" s="31">
        <v>4.0140000000000002</v>
      </c>
      <c r="D549" s="31">
        <v>4.048</v>
      </c>
      <c r="E549" s="31">
        <v>4.0410000000000004</v>
      </c>
      <c r="F549" s="31">
        <v>4.0590000000000002</v>
      </c>
      <c r="G549" s="31">
        <v>4.1139999999999999</v>
      </c>
      <c r="H549" s="31">
        <v>4.141</v>
      </c>
      <c r="I549" s="31">
        <v>4.1680000000000001</v>
      </c>
      <c r="K549" s="27"/>
      <c r="L549" s="30"/>
      <c r="M549" s="30"/>
      <c r="N549" s="30"/>
      <c r="O549" s="30"/>
      <c r="P549" s="30"/>
      <c r="Q549" s="30"/>
      <c r="R549" s="30"/>
      <c r="S549" s="30"/>
    </row>
    <row r="550" spans="1:19" x14ac:dyDescent="0.25">
      <c r="A550" s="29">
        <v>44777</v>
      </c>
      <c r="B550" s="31">
        <v>4.05</v>
      </c>
      <c r="C550" s="31">
        <v>4.0730000000000004</v>
      </c>
      <c r="D550" s="31">
        <v>4.0949999999999998</v>
      </c>
      <c r="E550" s="31">
        <v>4.0410000000000004</v>
      </c>
      <c r="F550" s="31">
        <v>4.0590000000000002</v>
      </c>
      <c r="G550" s="31">
        <v>4.1139999999999999</v>
      </c>
      <c r="H550" s="31">
        <v>4.141</v>
      </c>
      <c r="I550" s="31">
        <v>4.1680000000000001</v>
      </c>
      <c r="K550" s="27"/>
      <c r="L550" s="30"/>
      <c r="M550" s="30"/>
      <c r="N550" s="30"/>
      <c r="O550" s="30"/>
      <c r="P550" s="30"/>
      <c r="Q550" s="30"/>
      <c r="R550" s="30"/>
      <c r="S550" s="30"/>
    </row>
    <row r="551" spans="1:19" x14ac:dyDescent="0.25">
      <c r="A551" s="29">
        <v>44778</v>
      </c>
      <c r="B551" s="31">
        <v>4.202</v>
      </c>
      <c r="C551" s="31">
        <v>4.22</v>
      </c>
      <c r="D551" s="31">
        <v>4.2389999999999999</v>
      </c>
      <c r="E551" s="31">
        <v>4.05</v>
      </c>
      <c r="F551" s="31">
        <v>4.0679999999999996</v>
      </c>
      <c r="G551" s="31">
        <v>4.1230000000000002</v>
      </c>
      <c r="H551" s="31">
        <v>4.1500000000000004</v>
      </c>
      <c r="I551" s="31">
        <v>4.1769999999999996</v>
      </c>
      <c r="K551" s="27"/>
      <c r="L551" s="30"/>
      <c r="M551" s="30"/>
      <c r="N551" s="30"/>
      <c r="O551" s="30"/>
      <c r="P551" s="30"/>
      <c r="Q551" s="30"/>
      <c r="R551" s="30"/>
      <c r="S551" s="30"/>
    </row>
    <row r="552" spans="1:19" x14ac:dyDescent="0.25">
      <c r="A552" s="29">
        <v>44781</v>
      </c>
      <c r="B552" s="31">
        <v>4.3159999999999998</v>
      </c>
      <c r="C552" s="31">
        <v>4.3360000000000003</v>
      </c>
      <c r="D552" s="31">
        <v>4.3570000000000002</v>
      </c>
      <c r="E552" s="31">
        <v>4.2140000000000004</v>
      </c>
      <c r="F552" s="31">
        <v>4.2140000000000004</v>
      </c>
      <c r="G552" s="31">
        <v>4.2590000000000003</v>
      </c>
      <c r="H552" s="31">
        <v>4.2859999999999996</v>
      </c>
      <c r="I552" s="31">
        <v>4.3140000000000001</v>
      </c>
      <c r="K552" s="27"/>
      <c r="L552" s="30"/>
      <c r="M552" s="30"/>
      <c r="N552" s="30"/>
      <c r="O552" s="30"/>
      <c r="P552" s="30"/>
      <c r="Q552" s="30"/>
      <c r="R552" s="30"/>
      <c r="S552" s="30"/>
    </row>
    <row r="553" spans="1:19" x14ac:dyDescent="0.25">
      <c r="A553" s="29">
        <v>44782</v>
      </c>
      <c r="B553" s="31">
        <v>4.218</v>
      </c>
      <c r="C553" s="31">
        <v>4.2610000000000001</v>
      </c>
      <c r="D553" s="31">
        <v>4.3049999999999997</v>
      </c>
      <c r="E553" s="31">
        <v>4.2089999999999996</v>
      </c>
      <c r="F553" s="31">
        <v>4.2089999999999996</v>
      </c>
      <c r="G553" s="31">
        <v>4.2640000000000002</v>
      </c>
      <c r="H553" s="31">
        <v>4.3</v>
      </c>
      <c r="I553" s="31">
        <v>4.327</v>
      </c>
      <c r="K553" s="27"/>
      <c r="L553" s="30"/>
      <c r="M553" s="30"/>
      <c r="N553" s="30"/>
      <c r="O553" s="30"/>
      <c r="P553" s="30"/>
      <c r="Q553" s="30"/>
      <c r="R553" s="30"/>
      <c r="S553" s="30"/>
    </row>
    <row r="554" spans="1:19" x14ac:dyDescent="0.25">
      <c r="A554" s="29">
        <v>44783</v>
      </c>
      <c r="B554" s="31">
        <v>4.0389999999999997</v>
      </c>
      <c r="C554" s="31">
        <v>4.1079999999999997</v>
      </c>
      <c r="D554" s="31">
        <v>4.1769999999999996</v>
      </c>
      <c r="E554" s="31">
        <v>4.1950000000000003</v>
      </c>
      <c r="F554" s="31">
        <v>4.2089999999999996</v>
      </c>
      <c r="G554" s="31">
        <v>4.2640000000000002</v>
      </c>
      <c r="H554" s="31">
        <v>4.3</v>
      </c>
      <c r="I554" s="31">
        <v>4.327</v>
      </c>
      <c r="K554" s="27"/>
      <c r="L554" s="30"/>
      <c r="M554" s="30"/>
      <c r="N554" s="30"/>
      <c r="O554" s="30"/>
      <c r="P554" s="30"/>
      <c r="Q554" s="30"/>
      <c r="R554" s="30"/>
      <c r="S554" s="30"/>
    </row>
    <row r="555" spans="1:19" x14ac:dyDescent="0.25">
      <c r="A555" s="29">
        <v>44784</v>
      </c>
      <c r="B555" s="31">
        <v>3.7050000000000001</v>
      </c>
      <c r="C555" s="31">
        <v>3.8359999999999999</v>
      </c>
      <c r="D555" s="31">
        <v>3.968</v>
      </c>
      <c r="E555" s="31">
        <v>4.05</v>
      </c>
      <c r="F555" s="31">
        <v>4.0730000000000004</v>
      </c>
      <c r="G555" s="31">
        <v>4.1360000000000001</v>
      </c>
      <c r="H555" s="31">
        <v>4.173</v>
      </c>
      <c r="I555" s="31">
        <v>4.2</v>
      </c>
      <c r="K555" s="27"/>
      <c r="L555" s="30"/>
      <c r="M555" s="30"/>
      <c r="N555" s="30"/>
      <c r="O555" s="30"/>
      <c r="P555" s="30"/>
      <c r="Q555" s="30"/>
      <c r="R555" s="30"/>
      <c r="S555" s="30"/>
    </row>
    <row r="556" spans="1:19" x14ac:dyDescent="0.25">
      <c r="A556" s="29">
        <v>44785</v>
      </c>
      <c r="B556" s="31">
        <v>3.1909999999999998</v>
      </c>
      <c r="C556" s="31">
        <v>3.3730000000000002</v>
      </c>
      <c r="D556" s="31">
        <v>3.5550000000000002</v>
      </c>
      <c r="E556" s="31">
        <v>3.9769999999999999</v>
      </c>
      <c r="F556" s="31">
        <v>4.0410000000000004</v>
      </c>
      <c r="G556" s="31">
        <v>4.109</v>
      </c>
      <c r="H556" s="31">
        <v>4.1449999999999996</v>
      </c>
      <c r="I556" s="31">
        <v>4.2</v>
      </c>
      <c r="K556" s="27"/>
      <c r="L556" s="30"/>
      <c r="M556" s="30"/>
      <c r="N556" s="30"/>
      <c r="O556" s="30"/>
      <c r="P556" s="30"/>
      <c r="Q556" s="30"/>
      <c r="R556" s="30"/>
      <c r="S556" s="30"/>
    </row>
    <row r="557" spans="1:19" x14ac:dyDescent="0.25">
      <c r="A557" s="29">
        <v>44788</v>
      </c>
      <c r="B557" s="31">
        <v>3.01</v>
      </c>
      <c r="C557" s="31">
        <v>3.26</v>
      </c>
      <c r="D557" s="31">
        <v>3.51</v>
      </c>
      <c r="E557" s="31">
        <v>3.95</v>
      </c>
      <c r="F557" s="31">
        <v>4.04</v>
      </c>
      <c r="G557" s="31">
        <v>4.08</v>
      </c>
      <c r="H557" s="31">
        <v>4.1500000000000004</v>
      </c>
      <c r="I557" s="31">
        <v>4.17</v>
      </c>
      <c r="K557" s="27"/>
      <c r="L557" s="30"/>
      <c r="M557" s="30"/>
      <c r="N557" s="30"/>
      <c r="O557" s="30"/>
      <c r="P557" s="30"/>
      <c r="Q557" s="30"/>
      <c r="R557" s="30"/>
      <c r="S557" s="30"/>
    </row>
    <row r="558" spans="1:19" x14ac:dyDescent="0.25">
      <c r="A558" s="29">
        <v>44789</v>
      </c>
      <c r="B558" s="31">
        <v>2.75</v>
      </c>
      <c r="C558" s="31">
        <v>3.07</v>
      </c>
      <c r="D558" s="31">
        <v>3.391</v>
      </c>
      <c r="E558" s="31">
        <v>3.9049999999999998</v>
      </c>
      <c r="F558" s="31">
        <v>4.0229999999999997</v>
      </c>
      <c r="G558" s="31">
        <v>4.0640000000000001</v>
      </c>
      <c r="H558" s="31">
        <v>4.1180000000000003</v>
      </c>
      <c r="I558" s="31">
        <v>4.1269999999999998</v>
      </c>
      <c r="K558" s="27"/>
      <c r="L558" s="30"/>
      <c r="M558" s="30"/>
      <c r="N558" s="30"/>
      <c r="O558" s="30"/>
      <c r="P558" s="30"/>
      <c r="Q558" s="30"/>
      <c r="R558" s="30"/>
      <c r="S558" s="30"/>
    </row>
    <row r="559" spans="1:19" x14ac:dyDescent="0.25">
      <c r="A559" s="29">
        <v>44790</v>
      </c>
      <c r="B559" s="31">
        <v>2.97</v>
      </c>
      <c r="C559" s="31">
        <v>3.24</v>
      </c>
      <c r="D559" s="31">
        <v>3.51</v>
      </c>
      <c r="E559" s="31">
        <v>3.91</v>
      </c>
      <c r="F559" s="31">
        <v>4.0199999999999996</v>
      </c>
      <c r="G559" s="31">
        <v>4.0599999999999996</v>
      </c>
      <c r="H559" s="31">
        <v>4.12</v>
      </c>
      <c r="I559" s="31">
        <v>4.13</v>
      </c>
      <c r="K559" s="27"/>
      <c r="L559" s="30"/>
      <c r="M559" s="30"/>
      <c r="N559" s="30"/>
      <c r="O559" s="30"/>
      <c r="P559" s="30"/>
      <c r="Q559" s="30"/>
      <c r="R559" s="30"/>
      <c r="S559" s="30"/>
    </row>
    <row r="560" spans="1:19" x14ac:dyDescent="0.25">
      <c r="A560" s="29">
        <v>44791</v>
      </c>
      <c r="B560" s="31">
        <v>3.036</v>
      </c>
      <c r="C560" s="31">
        <v>3.32</v>
      </c>
      <c r="D560" s="31">
        <v>3.605</v>
      </c>
      <c r="E560" s="31">
        <v>3.9950000000000001</v>
      </c>
      <c r="F560" s="31">
        <v>4.1139999999999999</v>
      </c>
      <c r="G560" s="31">
        <v>4.1550000000000002</v>
      </c>
      <c r="H560" s="31">
        <v>4.2089999999999996</v>
      </c>
      <c r="I560" s="31">
        <v>4.218</v>
      </c>
      <c r="K560" s="27"/>
      <c r="L560" s="30"/>
      <c r="M560" s="30"/>
      <c r="N560" s="30"/>
      <c r="O560" s="30"/>
      <c r="P560" s="30"/>
      <c r="Q560" s="30"/>
      <c r="R560" s="30"/>
      <c r="S560" s="30"/>
    </row>
    <row r="561" spans="1:19" x14ac:dyDescent="0.25">
      <c r="A561" s="29">
        <v>44792</v>
      </c>
      <c r="B561" s="31">
        <v>3.032</v>
      </c>
      <c r="C561" s="31">
        <v>3.33</v>
      </c>
      <c r="D561" s="31">
        <v>3.6269999999999998</v>
      </c>
      <c r="E561" s="31">
        <v>4.0229999999999997</v>
      </c>
      <c r="F561" s="31">
        <v>4.141</v>
      </c>
      <c r="G561" s="31">
        <v>4.1820000000000004</v>
      </c>
      <c r="H561" s="31">
        <v>4.2359999999999998</v>
      </c>
      <c r="I561" s="31">
        <v>4.2450000000000001</v>
      </c>
      <c r="K561" s="27"/>
      <c r="L561" s="30"/>
      <c r="M561" s="30"/>
      <c r="N561" s="30"/>
      <c r="O561" s="30"/>
      <c r="P561" s="30"/>
      <c r="Q561" s="30"/>
      <c r="R561" s="30"/>
      <c r="S561" s="30"/>
    </row>
    <row r="562" spans="1:19" x14ac:dyDescent="0.25">
      <c r="A562" s="29">
        <v>44795</v>
      </c>
      <c r="B562" s="31">
        <v>3.1269999999999998</v>
      </c>
      <c r="C562" s="31">
        <v>3.407</v>
      </c>
      <c r="D562" s="31">
        <v>3.6859999999999999</v>
      </c>
      <c r="E562" s="31">
        <v>4.0229999999999997</v>
      </c>
      <c r="F562" s="31">
        <v>4.141</v>
      </c>
      <c r="G562" s="31">
        <v>4.1820000000000004</v>
      </c>
      <c r="H562" s="31">
        <v>4.2359999999999998</v>
      </c>
      <c r="I562" s="31">
        <v>4.2450000000000001</v>
      </c>
      <c r="K562" s="27"/>
      <c r="L562" s="30"/>
      <c r="M562" s="30"/>
      <c r="N562" s="30"/>
      <c r="O562" s="30"/>
      <c r="P562" s="30"/>
      <c r="Q562" s="30"/>
      <c r="R562" s="30"/>
      <c r="S562" s="30"/>
    </row>
    <row r="563" spans="1:19" x14ac:dyDescent="0.25">
      <c r="A563" s="29">
        <v>44796</v>
      </c>
      <c r="B563" s="31">
        <v>3.895</v>
      </c>
      <c r="C563" s="31">
        <v>4.0229999999999997</v>
      </c>
      <c r="D563" s="31">
        <v>4.1500000000000004</v>
      </c>
      <c r="E563" s="31">
        <v>4.1050000000000004</v>
      </c>
      <c r="F563" s="31">
        <v>4.1859999999999999</v>
      </c>
      <c r="G563" s="31">
        <v>4.2270000000000003</v>
      </c>
      <c r="H563" s="31">
        <v>4.282</v>
      </c>
      <c r="I563" s="31">
        <v>4.2910000000000004</v>
      </c>
      <c r="K563" s="27"/>
      <c r="L563" s="30"/>
      <c r="M563" s="30"/>
      <c r="N563" s="30"/>
      <c r="O563" s="30"/>
      <c r="P563" s="30"/>
      <c r="Q563" s="30"/>
      <c r="R563" s="30"/>
      <c r="S563" s="30"/>
    </row>
    <row r="564" spans="1:19" x14ac:dyDescent="0.25">
      <c r="A564" s="29">
        <v>44797</v>
      </c>
      <c r="B564" s="31">
        <v>4.0910000000000002</v>
      </c>
      <c r="C564" s="31">
        <v>4.173</v>
      </c>
      <c r="D564" s="31">
        <v>4.2549999999999999</v>
      </c>
      <c r="E564" s="31">
        <v>4.2140000000000004</v>
      </c>
      <c r="F564" s="31">
        <v>4.25</v>
      </c>
      <c r="G564" s="31">
        <v>4.3049999999999997</v>
      </c>
      <c r="H564" s="31">
        <v>4.3319999999999999</v>
      </c>
      <c r="I564" s="31">
        <v>4.3410000000000002</v>
      </c>
      <c r="K564" s="27"/>
      <c r="L564" s="30"/>
      <c r="M564" s="30"/>
      <c r="N564" s="30"/>
      <c r="O564" s="30"/>
      <c r="P564" s="30"/>
      <c r="Q564" s="30"/>
      <c r="R564" s="30"/>
      <c r="S564" s="30"/>
    </row>
    <row r="565" spans="1:19" x14ac:dyDescent="0.25">
      <c r="A565" s="29">
        <v>44798</v>
      </c>
      <c r="B565" s="31">
        <v>4.0250000000000004</v>
      </c>
      <c r="C565" s="31">
        <v>4.1429999999999998</v>
      </c>
      <c r="D565" s="31">
        <v>4.2610000000000001</v>
      </c>
      <c r="E565" s="31">
        <v>4.2140000000000004</v>
      </c>
      <c r="F565" s="31">
        <v>4.25</v>
      </c>
      <c r="G565" s="31">
        <v>4.3049999999999997</v>
      </c>
      <c r="H565" s="31">
        <v>4.3319999999999999</v>
      </c>
      <c r="I565" s="31">
        <v>4.3410000000000002</v>
      </c>
      <c r="K565" s="27"/>
      <c r="L565" s="30"/>
      <c r="M565" s="30"/>
      <c r="N565" s="30"/>
      <c r="O565" s="30"/>
      <c r="P565" s="30"/>
      <c r="Q565" s="30"/>
      <c r="R565" s="30"/>
      <c r="S565" s="30"/>
    </row>
    <row r="566" spans="1:19" x14ac:dyDescent="0.25">
      <c r="A566" s="29">
        <v>44799</v>
      </c>
      <c r="B566" s="31">
        <v>3.9750000000000001</v>
      </c>
      <c r="C566" s="31">
        <v>4.0910000000000002</v>
      </c>
      <c r="D566" s="31">
        <v>4.2069999999999999</v>
      </c>
      <c r="E566" s="31">
        <v>4.25</v>
      </c>
      <c r="F566" s="31">
        <v>4.2770000000000001</v>
      </c>
      <c r="G566" s="31">
        <v>4.3410000000000002</v>
      </c>
      <c r="H566" s="31">
        <v>4.359</v>
      </c>
      <c r="I566" s="31">
        <v>4.3680000000000003</v>
      </c>
      <c r="K566" s="27"/>
      <c r="L566" s="30"/>
      <c r="M566" s="30"/>
      <c r="N566" s="30"/>
      <c r="O566" s="30"/>
      <c r="P566" s="30"/>
      <c r="Q566" s="30"/>
      <c r="R566" s="30"/>
      <c r="S566" s="30"/>
    </row>
    <row r="567" spans="1:19" x14ac:dyDescent="0.25">
      <c r="A567" s="29">
        <v>44802</v>
      </c>
      <c r="B567" s="31">
        <v>4.1360000000000001</v>
      </c>
      <c r="C567" s="31">
        <v>4.22</v>
      </c>
      <c r="D567" s="31">
        <v>4.3049999999999997</v>
      </c>
      <c r="E567" s="31">
        <v>4.2949999999999999</v>
      </c>
      <c r="F567" s="31">
        <v>4.3230000000000004</v>
      </c>
      <c r="G567" s="31">
        <v>4.3769999999999998</v>
      </c>
      <c r="H567" s="31">
        <v>4.3949999999999996</v>
      </c>
      <c r="I567" s="31">
        <v>4.4050000000000002</v>
      </c>
      <c r="K567" s="27"/>
      <c r="L567" s="30"/>
      <c r="M567" s="30"/>
      <c r="N567" s="30"/>
      <c r="O567" s="30"/>
      <c r="P567" s="30"/>
      <c r="Q567" s="30"/>
      <c r="R567" s="30"/>
      <c r="S567" s="30"/>
    </row>
    <row r="568" spans="1:19" x14ac:dyDescent="0.25">
      <c r="A568" s="29">
        <v>44803</v>
      </c>
      <c r="B568" s="31">
        <v>4.3410000000000002</v>
      </c>
      <c r="C568" s="31">
        <v>4.3949999999999996</v>
      </c>
      <c r="D568" s="31">
        <v>4.45</v>
      </c>
      <c r="E568" s="31">
        <v>4.3049999999999997</v>
      </c>
      <c r="F568" s="31">
        <v>4.3319999999999999</v>
      </c>
      <c r="G568" s="31">
        <v>4.4050000000000002</v>
      </c>
      <c r="H568" s="31">
        <v>4.4409999999999998</v>
      </c>
      <c r="I568" s="31">
        <v>4.45</v>
      </c>
      <c r="K568" s="27"/>
      <c r="L568" s="30"/>
      <c r="M568" s="30"/>
      <c r="N568" s="30"/>
      <c r="O568" s="30"/>
      <c r="P568" s="30"/>
      <c r="Q568" s="30"/>
      <c r="R568" s="30"/>
      <c r="S568" s="30"/>
    </row>
    <row r="569" spans="1:19" x14ac:dyDescent="0.25">
      <c r="A569" s="29">
        <v>44804</v>
      </c>
      <c r="B569" s="31">
        <v>4.6319999999999997</v>
      </c>
      <c r="C569" s="31">
        <v>4.6449999999999996</v>
      </c>
      <c r="D569" s="31">
        <v>4.6589999999999998</v>
      </c>
      <c r="E569" s="31">
        <v>4.4409999999999998</v>
      </c>
      <c r="F569" s="31">
        <v>4.4589999999999996</v>
      </c>
      <c r="G569" s="31">
        <v>4.5049999999999999</v>
      </c>
      <c r="H569" s="31">
        <v>4.5410000000000004</v>
      </c>
      <c r="I569" s="31">
        <v>4.55</v>
      </c>
      <c r="K569" s="27"/>
      <c r="L569" s="30"/>
      <c r="M569" s="30"/>
      <c r="N569" s="30"/>
      <c r="O569" s="30"/>
      <c r="P569" s="30"/>
      <c r="Q569" s="30"/>
      <c r="R569" s="30"/>
      <c r="S569" s="30"/>
    </row>
    <row r="570" spans="1:19" x14ac:dyDescent="0.25">
      <c r="A570" s="29">
        <v>44809</v>
      </c>
      <c r="B570" s="31">
        <v>4.7320000000000002</v>
      </c>
      <c r="C570" s="31">
        <v>4.7359999999999998</v>
      </c>
      <c r="D570" s="31">
        <v>4.7409999999999997</v>
      </c>
      <c r="E570" s="31">
        <v>4.5640000000000001</v>
      </c>
      <c r="F570" s="31">
        <v>4.5449999999999999</v>
      </c>
      <c r="G570" s="31">
        <v>4.5819999999999999</v>
      </c>
      <c r="H570" s="31">
        <v>4.5910000000000002</v>
      </c>
      <c r="I570" s="31">
        <v>4.5910000000000002</v>
      </c>
      <c r="K570" s="27"/>
      <c r="L570" s="30"/>
      <c r="M570" s="30"/>
      <c r="N570" s="30"/>
      <c r="O570" s="30"/>
      <c r="P570" s="30"/>
      <c r="Q570" s="30"/>
      <c r="R570" s="30"/>
      <c r="S570" s="30"/>
    </row>
    <row r="571" spans="1:19" x14ac:dyDescent="0.25">
      <c r="A571" s="29">
        <v>44810</v>
      </c>
      <c r="B571" s="31">
        <v>4.8410000000000002</v>
      </c>
      <c r="C571" s="31">
        <v>4.8499999999999996</v>
      </c>
      <c r="D571" s="31">
        <v>4.859</v>
      </c>
      <c r="E571" s="31">
        <v>4.6360000000000001</v>
      </c>
      <c r="F571" s="31">
        <v>4.6269999999999998</v>
      </c>
      <c r="G571" s="31">
        <v>4.6550000000000002</v>
      </c>
      <c r="H571" s="31">
        <v>4.6550000000000002</v>
      </c>
      <c r="I571" s="31">
        <v>4.6550000000000002</v>
      </c>
      <c r="K571" s="27"/>
      <c r="L571" s="30"/>
      <c r="M571" s="30"/>
      <c r="N571" s="30"/>
      <c r="O571" s="30"/>
      <c r="P571" s="30"/>
      <c r="Q571" s="30"/>
      <c r="R571" s="30"/>
      <c r="S571" s="30"/>
    </row>
    <row r="572" spans="1:19" x14ac:dyDescent="0.25">
      <c r="A572" s="29">
        <v>44811</v>
      </c>
      <c r="B572" s="31">
        <v>5.3449999999999998</v>
      </c>
      <c r="C572" s="31">
        <v>5.35</v>
      </c>
      <c r="D572" s="31">
        <v>5.3550000000000004</v>
      </c>
      <c r="E572" s="31">
        <v>4.8769999999999998</v>
      </c>
      <c r="F572" s="31">
        <v>4.8860000000000001</v>
      </c>
      <c r="G572" s="31">
        <v>4.9000000000000004</v>
      </c>
      <c r="H572" s="31">
        <v>4.9000000000000004</v>
      </c>
      <c r="I572" s="31">
        <v>4.9089999999999998</v>
      </c>
      <c r="K572" s="27"/>
      <c r="L572" s="30"/>
      <c r="M572" s="30"/>
      <c r="N572" s="30"/>
      <c r="O572" s="30"/>
      <c r="P572" s="30"/>
      <c r="Q572" s="30"/>
      <c r="R572" s="30"/>
      <c r="S572" s="30"/>
    </row>
    <row r="573" spans="1:19" x14ac:dyDescent="0.25">
      <c r="A573" s="29">
        <v>44812</v>
      </c>
      <c r="B573" s="31">
        <v>5.2050000000000001</v>
      </c>
      <c r="C573" s="31">
        <v>5.2249999999999996</v>
      </c>
      <c r="D573" s="31">
        <v>5.2450000000000001</v>
      </c>
      <c r="E573" s="31">
        <v>5.0819999999999999</v>
      </c>
      <c r="F573" s="31">
        <v>5.0730000000000004</v>
      </c>
      <c r="G573" s="31">
        <v>5.0999999999999996</v>
      </c>
      <c r="H573" s="31">
        <v>5.0999999999999996</v>
      </c>
      <c r="I573" s="31">
        <v>5.0999999999999996</v>
      </c>
      <c r="K573" s="27"/>
      <c r="L573" s="30"/>
      <c r="M573" s="30"/>
      <c r="N573" s="30"/>
      <c r="O573" s="30"/>
      <c r="P573" s="30"/>
      <c r="Q573" s="30"/>
      <c r="R573" s="30"/>
      <c r="S573" s="30"/>
    </row>
    <row r="574" spans="1:19" x14ac:dyDescent="0.25">
      <c r="A574" s="29">
        <v>44813</v>
      </c>
      <c r="B574" s="31">
        <v>4.641</v>
      </c>
      <c r="C574" s="31">
        <v>4.6929999999999996</v>
      </c>
      <c r="D574" s="31">
        <v>4.7450000000000001</v>
      </c>
      <c r="E574" s="31">
        <v>5.0730000000000004</v>
      </c>
      <c r="F574" s="31">
        <v>5.0999999999999996</v>
      </c>
      <c r="G574" s="31">
        <v>5.1589999999999998</v>
      </c>
      <c r="H574" s="31">
        <v>5.1589999999999998</v>
      </c>
      <c r="I574" s="31">
        <v>5.1680000000000001</v>
      </c>
      <c r="K574" s="27"/>
      <c r="L574" s="30"/>
      <c r="M574" s="30"/>
      <c r="N574" s="30"/>
      <c r="O574" s="30"/>
      <c r="P574" s="30"/>
      <c r="Q574" s="30"/>
      <c r="R574" s="30"/>
      <c r="S574" s="30"/>
    </row>
    <row r="575" spans="1:19" x14ac:dyDescent="0.25">
      <c r="A575" s="29">
        <v>44816</v>
      </c>
      <c r="B575" s="31">
        <v>4.5410000000000004</v>
      </c>
      <c r="C575" s="31">
        <v>4.6109999999999998</v>
      </c>
      <c r="D575" s="31">
        <v>4.6820000000000004</v>
      </c>
      <c r="E575" s="31">
        <v>4.9820000000000002</v>
      </c>
      <c r="F575" s="31">
        <v>5.0640000000000001</v>
      </c>
      <c r="G575" s="31">
        <v>5.16</v>
      </c>
      <c r="H575" s="31">
        <v>5.1769999999999996</v>
      </c>
      <c r="I575" s="31">
        <v>5.1859999999999999</v>
      </c>
      <c r="K575" s="27"/>
      <c r="L575" s="30"/>
      <c r="M575" s="30"/>
      <c r="N575" s="30"/>
      <c r="O575" s="30"/>
      <c r="P575" s="30"/>
      <c r="Q575" s="30"/>
      <c r="R575" s="30"/>
      <c r="S575" s="30"/>
    </row>
    <row r="576" spans="1:19" x14ac:dyDescent="0.25">
      <c r="A576" s="29">
        <v>44817</v>
      </c>
      <c r="B576" s="31">
        <v>4.4950000000000001</v>
      </c>
      <c r="C576" s="31">
        <v>4.58</v>
      </c>
      <c r="D576" s="31">
        <v>4.6639999999999997</v>
      </c>
      <c r="E576" s="31">
        <v>4.968</v>
      </c>
      <c r="F576" s="31">
        <v>5.0229999999999997</v>
      </c>
      <c r="G576" s="31">
        <v>5.1459999999999999</v>
      </c>
      <c r="H576" s="31">
        <v>5.1639999999999997</v>
      </c>
      <c r="I576" s="31">
        <v>5.173</v>
      </c>
      <c r="K576" s="27"/>
      <c r="L576" s="30"/>
      <c r="M576" s="30"/>
      <c r="N576" s="30"/>
      <c r="O576" s="30"/>
      <c r="P576" s="30"/>
      <c r="Q576" s="30"/>
      <c r="R576" s="30"/>
      <c r="S576" s="30"/>
    </row>
    <row r="577" spans="1:19" x14ac:dyDescent="0.25">
      <c r="A577" s="29">
        <v>44818</v>
      </c>
      <c r="B577" s="31">
        <v>4.4409999999999998</v>
      </c>
      <c r="C577" s="31">
        <v>4.5350000000000001</v>
      </c>
      <c r="D577" s="31">
        <v>4.63</v>
      </c>
      <c r="E577" s="31">
        <v>4.968</v>
      </c>
      <c r="F577" s="31">
        <v>5.0410000000000004</v>
      </c>
      <c r="G577" s="31">
        <v>5.1639999999999997</v>
      </c>
      <c r="H577" s="31">
        <v>5.1820000000000004</v>
      </c>
      <c r="I577" s="31">
        <v>5.1909999999999998</v>
      </c>
      <c r="K577" s="27"/>
      <c r="L577" s="30"/>
      <c r="M577" s="30"/>
      <c r="N577" s="30"/>
      <c r="O577" s="30"/>
      <c r="P577" s="30"/>
      <c r="Q577" s="30"/>
      <c r="R577" s="30"/>
      <c r="S577" s="30"/>
    </row>
    <row r="578" spans="1:19" x14ac:dyDescent="0.25">
      <c r="A578" s="29">
        <v>44819</v>
      </c>
      <c r="B578" s="31">
        <v>4.4589999999999996</v>
      </c>
      <c r="C578" s="31">
        <v>4.5359999999999996</v>
      </c>
      <c r="D578" s="31">
        <v>4.6139999999999999</v>
      </c>
      <c r="E578" s="31">
        <v>4.968</v>
      </c>
      <c r="F578" s="31">
        <v>5.0410000000000004</v>
      </c>
      <c r="G578" s="31">
        <v>5.1639999999999997</v>
      </c>
      <c r="H578" s="31">
        <v>5.1820000000000004</v>
      </c>
      <c r="I578" s="31">
        <v>5.1909999999999998</v>
      </c>
      <c r="K578" s="27"/>
      <c r="L578" s="30"/>
      <c r="M578" s="30"/>
      <c r="N578" s="30"/>
      <c r="O578" s="30"/>
      <c r="P578" s="30"/>
      <c r="Q578" s="30"/>
      <c r="R578" s="30"/>
      <c r="S578" s="30"/>
    </row>
    <row r="579" spans="1:19" x14ac:dyDescent="0.25">
      <c r="A579" s="29">
        <v>44820</v>
      </c>
      <c r="B579" s="31">
        <v>4.4820000000000002</v>
      </c>
      <c r="C579" s="31">
        <v>4.5549999999999997</v>
      </c>
      <c r="D579" s="31">
        <v>4.6269999999999998</v>
      </c>
      <c r="E579" s="31">
        <v>4.968</v>
      </c>
      <c r="F579" s="31">
        <v>5.0410000000000004</v>
      </c>
      <c r="G579" s="31">
        <v>5.1639999999999997</v>
      </c>
      <c r="H579" s="31">
        <v>5.1820000000000004</v>
      </c>
      <c r="I579" s="31">
        <v>5.1909999999999998</v>
      </c>
      <c r="K579" s="27"/>
      <c r="L579" s="30"/>
      <c r="M579" s="30"/>
      <c r="N579" s="30"/>
      <c r="O579" s="30"/>
      <c r="P579" s="30"/>
      <c r="Q579" s="30"/>
      <c r="R579" s="30"/>
      <c r="S579" s="30"/>
    </row>
    <row r="580" spans="1:19" x14ac:dyDescent="0.25">
      <c r="A580" s="29">
        <v>44823</v>
      </c>
      <c r="B580" s="31">
        <v>4.4610000000000003</v>
      </c>
      <c r="C580" s="31">
        <v>4.556</v>
      </c>
      <c r="D580" s="31">
        <v>4.6500000000000004</v>
      </c>
      <c r="E580" s="31">
        <v>4.968</v>
      </c>
      <c r="F580" s="31">
        <v>5.0410000000000004</v>
      </c>
      <c r="G580" s="31">
        <v>5.1639999999999997</v>
      </c>
      <c r="H580" s="31">
        <v>5.173</v>
      </c>
      <c r="I580" s="31">
        <v>5.1909999999999998</v>
      </c>
      <c r="K580" s="27"/>
      <c r="L580" s="30"/>
      <c r="M580" s="30"/>
      <c r="N580" s="30"/>
      <c r="O580" s="30"/>
      <c r="P580" s="30"/>
      <c r="Q580" s="30"/>
      <c r="R580" s="30"/>
      <c r="S580" s="30"/>
    </row>
    <row r="581" spans="1:19" x14ac:dyDescent="0.25">
      <c r="A581" s="29">
        <v>44824</v>
      </c>
      <c r="B581" s="31">
        <v>4.6449999999999996</v>
      </c>
      <c r="C581" s="31">
        <v>4.7</v>
      </c>
      <c r="D581" s="31">
        <v>4.7549999999999999</v>
      </c>
      <c r="E581" s="31">
        <v>4.968</v>
      </c>
      <c r="F581" s="31">
        <v>5.0410000000000004</v>
      </c>
      <c r="G581" s="31">
        <v>5.1639999999999997</v>
      </c>
      <c r="H581" s="31">
        <v>5.1820000000000004</v>
      </c>
      <c r="I581" s="31">
        <v>5.1909999999999998</v>
      </c>
      <c r="K581" s="27"/>
      <c r="L581" s="30"/>
      <c r="M581" s="30"/>
      <c r="N581" s="30"/>
      <c r="O581" s="30"/>
      <c r="P581" s="30"/>
      <c r="Q581" s="30"/>
      <c r="R581" s="30"/>
      <c r="S581" s="30"/>
    </row>
    <row r="582" spans="1:19" x14ac:dyDescent="0.25">
      <c r="A582" s="29">
        <v>44825</v>
      </c>
      <c r="B582" s="31">
        <v>4.7409999999999997</v>
      </c>
      <c r="C582" s="31">
        <v>4.7930000000000001</v>
      </c>
      <c r="D582" s="31">
        <v>4.8449999999999998</v>
      </c>
      <c r="E582" s="31">
        <v>4.9859999999999998</v>
      </c>
      <c r="F582" s="31">
        <v>5.05</v>
      </c>
      <c r="G582" s="31">
        <v>5.1639999999999997</v>
      </c>
      <c r="H582" s="31">
        <v>5.1820000000000004</v>
      </c>
      <c r="I582" s="31">
        <v>5.1909999999999998</v>
      </c>
      <c r="K582" s="27"/>
      <c r="L582" s="30"/>
      <c r="M582" s="30"/>
      <c r="N582" s="30"/>
      <c r="O582" s="30"/>
      <c r="P582" s="30"/>
      <c r="Q582" s="30"/>
      <c r="R582" s="30"/>
      <c r="S582" s="30"/>
    </row>
    <row r="583" spans="1:19" x14ac:dyDescent="0.25">
      <c r="A583" s="29">
        <v>44826</v>
      </c>
      <c r="B583" s="31">
        <v>4.891</v>
      </c>
      <c r="C583" s="31">
        <v>4.9980000000000002</v>
      </c>
      <c r="D583" s="31">
        <v>5.1050000000000004</v>
      </c>
      <c r="E583" s="31">
        <v>5.0590000000000002</v>
      </c>
      <c r="F583" s="31">
        <v>5.0910000000000002</v>
      </c>
      <c r="G583" s="31">
        <v>5.1639999999999997</v>
      </c>
      <c r="H583" s="31">
        <v>5.1820000000000004</v>
      </c>
      <c r="I583" s="31">
        <v>5.1909999999999998</v>
      </c>
      <c r="K583" s="27"/>
      <c r="L583" s="30"/>
      <c r="M583" s="30"/>
      <c r="N583" s="30"/>
      <c r="O583" s="30"/>
      <c r="P583" s="30"/>
      <c r="Q583" s="30"/>
      <c r="R583" s="30"/>
      <c r="S583" s="30"/>
    </row>
    <row r="584" spans="1:19" x14ac:dyDescent="0.25">
      <c r="A584" s="29">
        <v>44827</v>
      </c>
      <c r="B584" s="31">
        <v>5.15</v>
      </c>
      <c r="C584" s="31">
        <v>5.2450000000000001</v>
      </c>
      <c r="D584" s="31">
        <v>5.3410000000000002</v>
      </c>
      <c r="E584" s="31">
        <v>5.2320000000000002</v>
      </c>
      <c r="F584" s="31">
        <v>5.2450000000000001</v>
      </c>
      <c r="G584" s="31">
        <v>5.3</v>
      </c>
      <c r="H584" s="31">
        <v>5.327</v>
      </c>
      <c r="I584" s="31">
        <v>5.3360000000000003</v>
      </c>
      <c r="K584" s="27"/>
      <c r="L584" s="30"/>
      <c r="M584" s="30"/>
      <c r="N584" s="30"/>
      <c r="O584" s="30"/>
      <c r="P584" s="30"/>
      <c r="Q584" s="30"/>
      <c r="R584" s="30"/>
      <c r="S584" s="30"/>
    </row>
    <row r="585" spans="1:19" x14ac:dyDescent="0.25">
      <c r="A585" s="29">
        <v>44830</v>
      </c>
      <c r="B585" s="31">
        <v>5.3410000000000002</v>
      </c>
      <c r="C585" s="31">
        <v>5.4390000000000001</v>
      </c>
      <c r="D585" s="31">
        <v>5.5359999999999996</v>
      </c>
      <c r="E585" s="31">
        <v>5.3360000000000003</v>
      </c>
      <c r="F585" s="31">
        <v>5.3449999999999998</v>
      </c>
      <c r="G585" s="31">
        <v>5.3949999999999996</v>
      </c>
      <c r="H585" s="31">
        <v>5.4139999999999997</v>
      </c>
      <c r="I585" s="31">
        <v>5.4139999999999997</v>
      </c>
      <c r="K585" s="27"/>
      <c r="L585" s="30"/>
      <c r="M585" s="30"/>
      <c r="N585" s="30"/>
      <c r="O585" s="30"/>
      <c r="P585" s="30"/>
      <c r="Q585" s="30"/>
      <c r="R585" s="30"/>
      <c r="S585" s="30"/>
    </row>
    <row r="586" spans="1:19" x14ac:dyDescent="0.25">
      <c r="A586" s="29">
        <v>44831</v>
      </c>
      <c r="B586" s="31">
        <v>5.4409999999999998</v>
      </c>
      <c r="C586" s="31">
        <v>5.548</v>
      </c>
      <c r="D586" s="31">
        <v>5.6550000000000002</v>
      </c>
      <c r="E586" s="31">
        <v>5.4</v>
      </c>
      <c r="F586" s="31">
        <v>5.4269999999999996</v>
      </c>
      <c r="G586" s="31">
        <v>5.4589999999999996</v>
      </c>
      <c r="H586" s="31">
        <v>5.4770000000000003</v>
      </c>
      <c r="I586" s="31">
        <v>5.4770000000000003</v>
      </c>
      <c r="K586" s="27"/>
      <c r="L586" s="30"/>
      <c r="M586" s="30"/>
      <c r="N586" s="30"/>
      <c r="O586" s="30"/>
      <c r="P586" s="30"/>
      <c r="Q586" s="30"/>
      <c r="R586" s="30"/>
      <c r="S586" s="30"/>
    </row>
    <row r="587" spans="1:19" x14ac:dyDescent="0.25">
      <c r="A587" s="29">
        <v>44832</v>
      </c>
      <c r="B587" s="31">
        <v>5.4390000000000001</v>
      </c>
      <c r="C587" s="31">
        <v>5.54</v>
      </c>
      <c r="D587" s="31">
        <v>5.641</v>
      </c>
      <c r="E587" s="31">
        <v>5.4550000000000001</v>
      </c>
      <c r="F587" s="31">
        <v>5.4820000000000002</v>
      </c>
      <c r="G587" s="31">
        <v>5.4950000000000001</v>
      </c>
      <c r="H587" s="31">
        <v>5.5049999999999999</v>
      </c>
      <c r="I587" s="31">
        <v>5.5140000000000002</v>
      </c>
      <c r="K587" s="27"/>
      <c r="L587" s="30"/>
      <c r="M587" s="30"/>
      <c r="N587" s="30"/>
      <c r="O587" s="30"/>
      <c r="P587" s="30"/>
      <c r="Q587" s="30"/>
      <c r="R587" s="30"/>
      <c r="S587" s="30"/>
    </row>
    <row r="588" spans="1:19" x14ac:dyDescent="0.25">
      <c r="A588" s="29">
        <v>44833</v>
      </c>
      <c r="B588" s="31">
        <v>5.423</v>
      </c>
      <c r="C588" s="31">
        <v>5.5270000000000001</v>
      </c>
      <c r="D588" s="31">
        <v>5.6319999999999997</v>
      </c>
      <c r="E588" s="31">
        <v>5.4550000000000001</v>
      </c>
      <c r="F588" s="31">
        <v>5.4820000000000002</v>
      </c>
      <c r="G588" s="31">
        <v>5.4950000000000001</v>
      </c>
      <c r="H588" s="31">
        <v>5.5049999999999999</v>
      </c>
      <c r="I588" s="31">
        <v>5.5140000000000002</v>
      </c>
      <c r="K588" s="27"/>
      <c r="L588" s="30"/>
      <c r="M588" s="30"/>
      <c r="N588" s="30"/>
      <c r="O588" s="30"/>
      <c r="P588" s="30"/>
      <c r="Q588" s="30"/>
      <c r="R588" s="30"/>
      <c r="S588" s="30"/>
    </row>
    <row r="589" spans="1:19" x14ac:dyDescent="0.25">
      <c r="A589" s="29">
        <v>44834</v>
      </c>
      <c r="B589" s="31">
        <v>5.4139999999999997</v>
      </c>
      <c r="C589" s="31">
        <v>5.5229999999999997</v>
      </c>
      <c r="D589" s="31">
        <v>5.6319999999999997</v>
      </c>
      <c r="E589" s="31">
        <v>5.4550000000000001</v>
      </c>
      <c r="F589" s="31">
        <v>5.4820000000000002</v>
      </c>
      <c r="G589" s="31">
        <v>5.4950000000000001</v>
      </c>
      <c r="H589" s="31">
        <v>5.5049999999999999</v>
      </c>
      <c r="I589" s="31">
        <v>5.5140000000000002</v>
      </c>
      <c r="K589" s="27"/>
      <c r="L589" s="30"/>
      <c r="M589" s="30"/>
      <c r="N589" s="30"/>
      <c r="O589" s="30"/>
      <c r="P589" s="30"/>
      <c r="Q589" s="30"/>
      <c r="R589" s="30"/>
      <c r="S589" s="30"/>
    </row>
    <row r="590" spans="1:19" x14ac:dyDescent="0.25">
      <c r="A590" s="29">
        <v>44837</v>
      </c>
      <c r="B590" s="31">
        <v>5.4429999999999996</v>
      </c>
      <c r="C590" s="31">
        <v>5.5439999999999996</v>
      </c>
      <c r="D590" s="31">
        <v>5.6449999999999996</v>
      </c>
      <c r="E590" s="31">
        <v>5.4550000000000001</v>
      </c>
      <c r="F590" s="31">
        <v>5.4820000000000002</v>
      </c>
      <c r="G590" s="31">
        <v>5.4950000000000001</v>
      </c>
      <c r="H590" s="31">
        <v>5.5049999999999999</v>
      </c>
      <c r="I590" s="31">
        <v>5.5140000000000002</v>
      </c>
      <c r="K590" s="27"/>
      <c r="L590" s="30"/>
      <c r="M590" s="30"/>
      <c r="N590" s="30"/>
      <c r="O590" s="30"/>
      <c r="P590" s="30"/>
      <c r="Q590" s="30"/>
      <c r="R590" s="30"/>
      <c r="S590" s="30"/>
    </row>
    <row r="591" spans="1:19" x14ac:dyDescent="0.25">
      <c r="A591" s="29">
        <v>44838</v>
      </c>
      <c r="B591" s="31">
        <v>7.0549999999999997</v>
      </c>
      <c r="C591" s="31">
        <v>7.0640000000000001</v>
      </c>
      <c r="D591" s="31">
        <v>7.0730000000000004</v>
      </c>
      <c r="E591" s="31">
        <v>6.3730000000000002</v>
      </c>
      <c r="F591" s="31">
        <v>6.3090000000000002</v>
      </c>
      <c r="G591" s="31">
        <v>6.3090000000000002</v>
      </c>
      <c r="H591" s="31">
        <v>6.3090000000000002</v>
      </c>
      <c r="I591" s="31">
        <v>6.3090000000000002</v>
      </c>
      <c r="K591" s="27"/>
      <c r="L591" s="30"/>
      <c r="M591" s="30"/>
      <c r="N591" s="30"/>
      <c r="O591" s="30"/>
      <c r="P591" s="30"/>
      <c r="Q591" s="30"/>
      <c r="R591" s="30"/>
      <c r="S591" s="30"/>
    </row>
    <row r="592" spans="1:19" x14ac:dyDescent="0.25">
      <c r="A592" s="29">
        <v>44839</v>
      </c>
      <c r="B592" s="31">
        <v>7.35</v>
      </c>
      <c r="C592" s="31">
        <v>7.4950000000000001</v>
      </c>
      <c r="D592" s="31">
        <v>7.641</v>
      </c>
      <c r="E592" s="31">
        <v>6.718</v>
      </c>
      <c r="F592" s="31">
        <v>6.6639999999999997</v>
      </c>
      <c r="G592" s="31">
        <v>6.6639999999999997</v>
      </c>
      <c r="H592" s="31">
        <v>6.6639999999999997</v>
      </c>
      <c r="I592" s="31">
        <v>6.6639999999999997</v>
      </c>
      <c r="K592" s="27"/>
      <c r="L592" s="30"/>
      <c r="M592" s="30"/>
      <c r="N592" s="30"/>
      <c r="O592" s="30"/>
      <c r="P592" s="30"/>
      <c r="Q592" s="30"/>
      <c r="R592" s="30"/>
      <c r="S592" s="30"/>
    </row>
    <row r="593" spans="1:19" x14ac:dyDescent="0.25">
      <c r="A593" s="29">
        <v>44840</v>
      </c>
      <c r="B593" s="31">
        <v>7.141</v>
      </c>
      <c r="C593" s="31">
        <v>7.2729999999999997</v>
      </c>
      <c r="D593" s="31">
        <v>7.4050000000000002</v>
      </c>
      <c r="E593" s="31">
        <v>6.9409999999999998</v>
      </c>
      <c r="F593" s="31">
        <v>6.8860000000000001</v>
      </c>
      <c r="G593" s="31">
        <v>6.8860000000000001</v>
      </c>
      <c r="H593" s="31">
        <v>6.8860000000000001</v>
      </c>
      <c r="I593" s="31">
        <v>6.8860000000000001</v>
      </c>
      <c r="K593" s="27"/>
      <c r="L593" s="30"/>
      <c r="M593" s="30"/>
      <c r="N593" s="30"/>
      <c r="O593" s="30"/>
      <c r="P593" s="30"/>
      <c r="Q593" s="30"/>
      <c r="R593" s="30"/>
      <c r="S593" s="30"/>
    </row>
    <row r="594" spans="1:19" x14ac:dyDescent="0.25">
      <c r="A594" s="29">
        <v>44841</v>
      </c>
      <c r="B594" s="31">
        <v>6.9950000000000001</v>
      </c>
      <c r="C594" s="31">
        <v>7.1070000000000002</v>
      </c>
      <c r="D594" s="31">
        <v>7.218</v>
      </c>
      <c r="E594" s="31">
        <v>6.968</v>
      </c>
      <c r="F594" s="31">
        <v>6.8949999999999996</v>
      </c>
      <c r="G594" s="31">
        <v>6.8949999999999996</v>
      </c>
      <c r="H594" s="31">
        <v>6.8949999999999996</v>
      </c>
      <c r="I594" s="31">
        <v>6.8949999999999996</v>
      </c>
      <c r="K594" s="27"/>
      <c r="L594" s="30"/>
      <c r="M594" s="30"/>
      <c r="N594" s="30"/>
      <c r="O594" s="30"/>
      <c r="P594" s="30"/>
      <c r="Q594" s="30"/>
      <c r="R594" s="30"/>
      <c r="S594" s="30"/>
    </row>
    <row r="595" spans="1:19" x14ac:dyDescent="0.25">
      <c r="A595" s="29">
        <v>44844</v>
      </c>
      <c r="B595" s="31">
        <v>7.36</v>
      </c>
      <c r="C595" s="31">
        <v>7.49</v>
      </c>
      <c r="D595" s="31">
        <v>7.62</v>
      </c>
      <c r="E595" s="31">
        <v>6.91</v>
      </c>
      <c r="F595" s="31">
        <v>6.84</v>
      </c>
      <c r="G595" s="31">
        <v>6.84</v>
      </c>
      <c r="H595" s="31">
        <v>6.84</v>
      </c>
      <c r="I595" s="31">
        <v>6.84</v>
      </c>
      <c r="K595" s="27"/>
      <c r="L595" s="30"/>
      <c r="M595" s="30"/>
      <c r="N595" s="30"/>
      <c r="O595" s="30"/>
      <c r="P595" s="30"/>
      <c r="Q595" s="30"/>
      <c r="R595" s="30"/>
      <c r="S595" s="30"/>
    </row>
    <row r="596" spans="1:19" x14ac:dyDescent="0.25">
      <c r="A596" s="29">
        <v>44845</v>
      </c>
      <c r="B596" s="31">
        <v>7.02</v>
      </c>
      <c r="C596" s="31">
        <v>7.165</v>
      </c>
      <c r="D596" s="31">
        <v>7.31</v>
      </c>
      <c r="E596" s="31">
        <v>6.91</v>
      </c>
      <c r="F596" s="31">
        <v>6.84</v>
      </c>
      <c r="G596" s="31">
        <v>6.84</v>
      </c>
      <c r="H596" s="31">
        <v>6.84</v>
      </c>
      <c r="I596" s="31">
        <v>6.84</v>
      </c>
      <c r="K596" s="27"/>
      <c r="L596" s="30"/>
      <c r="M596" s="30"/>
      <c r="N596" s="30"/>
      <c r="O596" s="30"/>
      <c r="P596" s="30"/>
      <c r="Q596" s="30"/>
      <c r="R596" s="30"/>
      <c r="S596" s="30"/>
    </row>
    <row r="597" spans="1:19" x14ac:dyDescent="0.25">
      <c r="A597" s="29">
        <v>44846</v>
      </c>
      <c r="B597" s="31">
        <v>6.95</v>
      </c>
      <c r="C597" s="31">
        <v>7.1050000000000004</v>
      </c>
      <c r="D597" s="31">
        <v>7.26</v>
      </c>
      <c r="E597" s="31">
        <v>6.91</v>
      </c>
      <c r="F597" s="31">
        <v>6.84</v>
      </c>
      <c r="G597" s="31">
        <v>6.84</v>
      </c>
      <c r="H597" s="31">
        <v>6.84</v>
      </c>
      <c r="I597" s="31">
        <v>6.84</v>
      </c>
      <c r="K597" s="27"/>
      <c r="L597" s="30"/>
      <c r="M597" s="30"/>
      <c r="N597" s="30"/>
      <c r="O597" s="30"/>
      <c r="P597" s="30"/>
      <c r="Q597" s="30"/>
      <c r="R597" s="30"/>
      <c r="S597" s="30"/>
    </row>
    <row r="598" spans="1:19" x14ac:dyDescent="0.25">
      <c r="A598" s="29">
        <v>44847</v>
      </c>
      <c r="B598" s="31">
        <v>6.47</v>
      </c>
      <c r="C598" s="31">
        <v>6.6150000000000002</v>
      </c>
      <c r="D598" s="31">
        <v>6.76</v>
      </c>
      <c r="E598" s="31">
        <v>6.94</v>
      </c>
      <c r="F598" s="31">
        <v>6.89</v>
      </c>
      <c r="G598" s="31">
        <v>6.89</v>
      </c>
      <c r="H598" s="31">
        <v>6.89</v>
      </c>
      <c r="I598" s="31">
        <v>6.89</v>
      </c>
      <c r="K598" s="27"/>
      <c r="L598" s="30"/>
      <c r="M598" s="30"/>
      <c r="N598" s="30"/>
      <c r="O598" s="30"/>
      <c r="P598" s="30"/>
      <c r="Q598" s="30"/>
      <c r="R598" s="30"/>
      <c r="S598" s="30"/>
    </row>
    <row r="599" spans="1:19" x14ac:dyDescent="0.25">
      <c r="A599" s="29">
        <v>44848</v>
      </c>
      <c r="B599" s="31">
        <v>6.08</v>
      </c>
      <c r="C599" s="31">
        <v>6.2549999999999999</v>
      </c>
      <c r="D599" s="31">
        <v>6.43</v>
      </c>
      <c r="E599" s="31">
        <v>6.82</v>
      </c>
      <c r="F599" s="31">
        <v>6.79</v>
      </c>
      <c r="G599" s="31">
        <v>6.79</v>
      </c>
      <c r="H599" s="31">
        <v>6.79</v>
      </c>
      <c r="I599" s="31">
        <v>6.79</v>
      </c>
      <c r="K599" s="27"/>
      <c r="L599" s="30"/>
      <c r="M599" s="30"/>
      <c r="N599" s="30"/>
      <c r="O599" s="30"/>
      <c r="P599" s="30"/>
      <c r="Q599" s="30"/>
      <c r="R599" s="30"/>
      <c r="S599" s="30"/>
    </row>
    <row r="600" spans="1:19" x14ac:dyDescent="0.25">
      <c r="A600" s="29">
        <v>44851</v>
      </c>
      <c r="B600" s="31">
        <v>5.44</v>
      </c>
      <c r="C600" s="31">
        <v>5.798</v>
      </c>
      <c r="D600" s="31">
        <v>6.1550000000000002</v>
      </c>
      <c r="E600" s="31">
        <v>6.58</v>
      </c>
      <c r="F600" s="31">
        <v>6.58</v>
      </c>
      <c r="G600" s="31">
        <v>6.71</v>
      </c>
      <c r="H600" s="31">
        <v>6.71</v>
      </c>
      <c r="I600" s="31">
        <v>6.71</v>
      </c>
      <c r="K600" s="27"/>
      <c r="L600" s="30"/>
      <c r="M600" s="30"/>
      <c r="N600" s="30"/>
      <c r="O600" s="30"/>
      <c r="P600" s="30"/>
      <c r="Q600" s="30"/>
      <c r="R600" s="30"/>
      <c r="S600" s="30"/>
    </row>
    <row r="601" spans="1:19" x14ac:dyDescent="0.25">
      <c r="A601" s="29">
        <v>44852</v>
      </c>
      <c r="B601" s="31">
        <v>5.19</v>
      </c>
      <c r="C601" s="31">
        <v>5.5350000000000001</v>
      </c>
      <c r="D601" s="31">
        <v>5.88</v>
      </c>
      <c r="E601" s="31">
        <v>6.58</v>
      </c>
      <c r="F601" s="31">
        <v>6.58</v>
      </c>
      <c r="G601" s="31">
        <v>6.71</v>
      </c>
      <c r="H601" s="31">
        <v>6.71</v>
      </c>
      <c r="I601" s="31">
        <v>6.71</v>
      </c>
      <c r="K601" s="27"/>
      <c r="L601" s="30"/>
      <c r="M601" s="30"/>
      <c r="N601" s="30"/>
      <c r="O601" s="30"/>
      <c r="P601" s="30"/>
      <c r="Q601" s="30"/>
      <c r="R601" s="30"/>
      <c r="S601" s="30"/>
    </row>
    <row r="602" spans="1:19" x14ac:dyDescent="0.25">
      <c r="A602" s="29">
        <v>44853</v>
      </c>
      <c r="B602" s="31">
        <v>5.18</v>
      </c>
      <c r="C602" s="31">
        <v>5.5149999999999997</v>
      </c>
      <c r="D602" s="31">
        <v>5.85</v>
      </c>
      <c r="E602" s="31">
        <v>6.56</v>
      </c>
      <c r="F602" s="31">
        <v>6.56</v>
      </c>
      <c r="G602" s="31">
        <v>6.71</v>
      </c>
      <c r="H602" s="31">
        <v>6.71</v>
      </c>
      <c r="I602" s="31">
        <v>6.71</v>
      </c>
      <c r="K602" s="27"/>
      <c r="L602" s="30"/>
      <c r="M602" s="30"/>
      <c r="N602" s="30"/>
      <c r="O602" s="30"/>
      <c r="P602" s="30"/>
      <c r="Q602" s="30"/>
      <c r="R602" s="30"/>
      <c r="S602" s="30"/>
    </row>
    <row r="603" spans="1:19" x14ac:dyDescent="0.25">
      <c r="A603" s="29">
        <v>44854</v>
      </c>
      <c r="B603" s="31">
        <v>5.36</v>
      </c>
      <c r="C603" s="31">
        <v>5.6349999999999998</v>
      </c>
      <c r="D603" s="31">
        <v>5.91</v>
      </c>
      <c r="E603" s="31">
        <v>6.58</v>
      </c>
      <c r="F603" s="31">
        <v>6.58</v>
      </c>
      <c r="G603" s="31">
        <v>6.71</v>
      </c>
      <c r="H603" s="31">
        <v>6.71</v>
      </c>
      <c r="I603" s="31">
        <v>6.71</v>
      </c>
      <c r="K603" s="27"/>
      <c r="L603" s="30"/>
      <c r="M603" s="30"/>
      <c r="N603" s="30"/>
      <c r="O603" s="30"/>
      <c r="P603" s="30"/>
      <c r="Q603" s="30"/>
      <c r="R603" s="30"/>
      <c r="S603" s="30"/>
    </row>
    <row r="604" spans="1:19" x14ac:dyDescent="0.25">
      <c r="A604" s="29">
        <v>44855</v>
      </c>
      <c r="B604" s="31">
        <v>5.4</v>
      </c>
      <c r="C604" s="31">
        <v>5.7149999999999999</v>
      </c>
      <c r="D604" s="31">
        <v>6.03</v>
      </c>
      <c r="E604" s="31">
        <v>6.58</v>
      </c>
      <c r="F604" s="31">
        <v>6.58</v>
      </c>
      <c r="G604" s="31">
        <v>6.71</v>
      </c>
      <c r="H604" s="31">
        <v>6.71</v>
      </c>
      <c r="I604" s="31">
        <v>6.71</v>
      </c>
      <c r="K604" s="27"/>
      <c r="L604" s="30"/>
      <c r="M604" s="30"/>
      <c r="N604" s="30"/>
      <c r="O604" s="30"/>
      <c r="P604" s="30"/>
      <c r="Q604" s="30"/>
      <c r="R604" s="30"/>
      <c r="S604" s="30"/>
    </row>
    <row r="605" spans="1:19" x14ac:dyDescent="0.25">
      <c r="A605" s="29">
        <v>44858</v>
      </c>
      <c r="B605" s="31">
        <v>5.46</v>
      </c>
      <c r="C605" s="31">
        <v>5.7649999999999997</v>
      </c>
      <c r="D605" s="31">
        <v>6.07</v>
      </c>
      <c r="E605" s="31">
        <v>6.54</v>
      </c>
      <c r="F605" s="31">
        <v>6.58</v>
      </c>
      <c r="G605" s="31">
        <v>6.71</v>
      </c>
      <c r="H605" s="31">
        <v>6.71</v>
      </c>
      <c r="I605" s="31">
        <v>6.71</v>
      </c>
      <c r="K605" s="27"/>
      <c r="L605" s="30"/>
      <c r="M605" s="30"/>
      <c r="N605" s="30"/>
      <c r="O605" s="30"/>
      <c r="P605" s="30"/>
      <c r="Q605" s="30"/>
      <c r="R605" s="30"/>
      <c r="S605" s="30"/>
    </row>
    <row r="606" spans="1:19" x14ac:dyDescent="0.25">
      <c r="A606" s="29">
        <v>44859</v>
      </c>
      <c r="B606" s="31">
        <v>6.4200000000000008</v>
      </c>
      <c r="C606" s="31">
        <v>6.6350000000000007</v>
      </c>
      <c r="D606" s="31">
        <v>6.8500000000000005</v>
      </c>
      <c r="E606" s="31">
        <v>6.7349999999999994</v>
      </c>
      <c r="F606" s="31">
        <v>6.7449999999999992</v>
      </c>
      <c r="G606" s="31">
        <v>6.7949999999999999</v>
      </c>
      <c r="H606" s="31">
        <v>6.7949999999999999</v>
      </c>
      <c r="I606" s="31">
        <v>6.7949999999999999</v>
      </c>
      <c r="K606" s="27"/>
      <c r="L606" s="30"/>
      <c r="M606" s="30"/>
      <c r="N606" s="30"/>
      <c r="O606" s="30"/>
      <c r="P606" s="30"/>
      <c r="Q606" s="30"/>
      <c r="R606" s="30"/>
      <c r="S606" s="30"/>
    </row>
    <row r="607" spans="1:19" x14ac:dyDescent="0.25">
      <c r="A607" s="29">
        <v>44860</v>
      </c>
      <c r="B607" s="31">
        <v>6.57</v>
      </c>
      <c r="C607" s="31">
        <v>6.7450000000000001</v>
      </c>
      <c r="D607" s="31">
        <v>6.92</v>
      </c>
      <c r="E607" s="31">
        <v>6.8550000000000004</v>
      </c>
      <c r="F607" s="31">
        <v>6.8449999999999998</v>
      </c>
      <c r="G607" s="31">
        <v>6.8449999999999998</v>
      </c>
      <c r="H607" s="31">
        <v>6.8449999999999998</v>
      </c>
      <c r="I607" s="31">
        <v>6.8449999999999998</v>
      </c>
      <c r="K607" s="27"/>
      <c r="L607" s="30"/>
      <c r="M607" s="30"/>
      <c r="N607" s="30"/>
      <c r="O607" s="30"/>
      <c r="P607" s="30"/>
      <c r="Q607" s="30"/>
      <c r="R607" s="30"/>
      <c r="S607" s="30"/>
    </row>
    <row r="608" spans="1:19" x14ac:dyDescent="0.25">
      <c r="A608" s="29">
        <v>44861</v>
      </c>
      <c r="B608" s="31">
        <v>6.47</v>
      </c>
      <c r="C608" s="31">
        <v>6.6849999999999996</v>
      </c>
      <c r="D608" s="31">
        <v>6.9</v>
      </c>
      <c r="E608" s="31">
        <v>6.85</v>
      </c>
      <c r="F608" s="31">
        <v>6.92</v>
      </c>
      <c r="G608" s="31">
        <v>6.97</v>
      </c>
      <c r="H608" s="31">
        <v>6.97</v>
      </c>
      <c r="I608" s="31">
        <v>7</v>
      </c>
      <c r="K608" s="27"/>
      <c r="L608" s="30"/>
      <c r="M608" s="30"/>
      <c r="N608" s="30"/>
      <c r="O608" s="30"/>
      <c r="P608" s="30"/>
      <c r="Q608" s="30"/>
      <c r="R608" s="30"/>
      <c r="S608" s="30"/>
    </row>
    <row r="609" spans="1:19" x14ac:dyDescent="0.25">
      <c r="A609" s="29">
        <v>44862</v>
      </c>
      <c r="B609" s="31">
        <v>6.45</v>
      </c>
      <c r="C609" s="31">
        <v>6.665</v>
      </c>
      <c r="D609" s="31">
        <v>6.88</v>
      </c>
      <c r="E609" s="31">
        <v>6.88</v>
      </c>
      <c r="F609" s="31">
        <v>6.95</v>
      </c>
      <c r="G609" s="31">
        <v>6.97</v>
      </c>
      <c r="H609" s="31">
        <v>6.97</v>
      </c>
      <c r="I609" s="31">
        <v>7</v>
      </c>
      <c r="K609" s="27"/>
      <c r="L609" s="30"/>
      <c r="M609" s="30"/>
      <c r="N609" s="30"/>
      <c r="O609" s="30"/>
      <c r="P609" s="30"/>
      <c r="Q609" s="30"/>
      <c r="R609" s="30"/>
      <c r="S609" s="30"/>
    </row>
    <row r="610" spans="1:19" x14ac:dyDescent="0.25">
      <c r="A610" s="29">
        <v>44865</v>
      </c>
      <c r="B610" s="31">
        <v>6.47</v>
      </c>
      <c r="C610" s="31">
        <v>6.6749999999999998</v>
      </c>
      <c r="D610" s="31">
        <v>6.88</v>
      </c>
      <c r="E610" s="31">
        <v>6.88</v>
      </c>
      <c r="F610" s="31">
        <v>6.95</v>
      </c>
      <c r="G610" s="31">
        <v>6.97</v>
      </c>
      <c r="H610" s="31">
        <v>6.97</v>
      </c>
      <c r="I610" s="31">
        <v>7</v>
      </c>
      <c r="K610" s="27"/>
      <c r="L610" s="30"/>
      <c r="M610" s="30"/>
      <c r="N610" s="30"/>
      <c r="O610" s="30"/>
      <c r="P610" s="30"/>
      <c r="Q610" s="30"/>
      <c r="R610" s="30"/>
      <c r="S610" s="30"/>
    </row>
    <row r="611" spans="1:19" x14ac:dyDescent="0.25">
      <c r="A611" s="29">
        <v>44866</v>
      </c>
      <c r="B611" s="31">
        <v>6.52</v>
      </c>
      <c r="C611" s="31">
        <v>6.72</v>
      </c>
      <c r="D611" s="31">
        <v>6.92</v>
      </c>
      <c r="E611" s="31">
        <v>6.88</v>
      </c>
      <c r="F611" s="31">
        <v>6.95</v>
      </c>
      <c r="G611" s="31">
        <v>6.97</v>
      </c>
      <c r="H611" s="31">
        <v>6.97</v>
      </c>
      <c r="I611" s="31">
        <v>7</v>
      </c>
      <c r="K611" s="27"/>
      <c r="L611" s="30"/>
      <c r="M611" s="30"/>
      <c r="N611" s="30"/>
      <c r="O611" s="30"/>
      <c r="P611" s="30"/>
      <c r="Q611" s="30"/>
      <c r="R611" s="30"/>
      <c r="S611" s="30"/>
    </row>
    <row r="612" spans="1:19" x14ac:dyDescent="0.25">
      <c r="A612" s="29">
        <v>44867</v>
      </c>
      <c r="B612" s="31">
        <v>6.53</v>
      </c>
      <c r="C612" s="31">
        <v>6.73</v>
      </c>
      <c r="D612" s="31">
        <v>6.93</v>
      </c>
      <c r="E612" s="31">
        <v>7.0149999999999997</v>
      </c>
      <c r="F612" s="31">
        <v>7.0549999999999997</v>
      </c>
      <c r="G612" s="31">
        <v>7.0750000000000002</v>
      </c>
      <c r="H612" s="31">
        <v>7.0750000000000002</v>
      </c>
      <c r="I612" s="31">
        <v>7.1050000000000004</v>
      </c>
      <c r="K612" s="27"/>
      <c r="L612" s="30"/>
      <c r="M612" s="30"/>
      <c r="N612" s="30"/>
      <c r="O612" s="30"/>
      <c r="P612" s="30"/>
      <c r="Q612" s="30"/>
      <c r="R612" s="30"/>
      <c r="S612" s="30"/>
    </row>
    <row r="613" spans="1:19" x14ac:dyDescent="0.25">
      <c r="A613" s="29">
        <v>44868</v>
      </c>
      <c r="B613" s="31">
        <v>6.54</v>
      </c>
      <c r="C613" s="31">
        <v>6.74</v>
      </c>
      <c r="D613" s="31">
        <v>6.94</v>
      </c>
      <c r="E613" s="31">
        <v>7.0149999999999997</v>
      </c>
      <c r="F613" s="31">
        <v>7.0549999999999997</v>
      </c>
      <c r="G613" s="31">
        <v>7.0750000000000002</v>
      </c>
      <c r="H613" s="31">
        <v>7.0750000000000002</v>
      </c>
      <c r="I613" s="31">
        <v>7.1050000000000004</v>
      </c>
      <c r="K613" s="27"/>
      <c r="L613" s="30"/>
      <c r="M613" s="30"/>
      <c r="N613" s="30"/>
      <c r="O613" s="30"/>
      <c r="P613" s="30"/>
      <c r="Q613" s="30"/>
      <c r="R613" s="30"/>
      <c r="S613" s="30"/>
    </row>
    <row r="614" spans="1:19" x14ac:dyDescent="0.25">
      <c r="A614" s="29">
        <v>44869</v>
      </c>
      <c r="B614" s="31">
        <v>6.54</v>
      </c>
      <c r="C614" s="31">
        <v>6.74</v>
      </c>
      <c r="D614" s="31">
        <v>6.94</v>
      </c>
      <c r="E614" s="31">
        <v>7.0149999999999997</v>
      </c>
      <c r="F614" s="31">
        <v>7.0549999999999997</v>
      </c>
      <c r="G614" s="31">
        <v>7.0750000000000002</v>
      </c>
      <c r="H614" s="31">
        <v>7.0750000000000002</v>
      </c>
      <c r="I614" s="31">
        <v>7.1050000000000004</v>
      </c>
      <c r="K614" s="27"/>
      <c r="L614" s="30"/>
      <c r="M614" s="30"/>
      <c r="N614" s="30"/>
      <c r="O614" s="30"/>
      <c r="P614" s="30"/>
      <c r="Q614" s="30"/>
      <c r="R614" s="30"/>
      <c r="S614" s="30"/>
    </row>
    <row r="615" spans="1:19" x14ac:dyDescent="0.25">
      <c r="A615" s="29">
        <v>44872</v>
      </c>
      <c r="B615" s="31">
        <v>6.5549999999999997</v>
      </c>
      <c r="C615" s="31">
        <v>6.7549999999999999</v>
      </c>
      <c r="D615" s="31">
        <v>6.9550000000000001</v>
      </c>
      <c r="E615" s="31">
        <v>7.0449999999999999</v>
      </c>
      <c r="F615" s="31">
        <v>7.085</v>
      </c>
      <c r="G615" s="31">
        <v>7.085</v>
      </c>
      <c r="H615" s="31">
        <v>7.085</v>
      </c>
      <c r="I615" s="31">
        <v>7.1050000000000004</v>
      </c>
      <c r="K615" s="27"/>
      <c r="L615" s="30"/>
      <c r="M615" s="30"/>
      <c r="N615" s="30"/>
      <c r="O615" s="30"/>
      <c r="P615" s="30"/>
      <c r="Q615" s="30"/>
      <c r="R615" s="30"/>
      <c r="S615" s="30"/>
    </row>
    <row r="616" spans="1:19" x14ac:dyDescent="0.25">
      <c r="A616" s="29">
        <v>44873</v>
      </c>
      <c r="B616" s="31">
        <v>6.38</v>
      </c>
      <c r="C616" s="31">
        <v>6.66</v>
      </c>
      <c r="D616" s="31">
        <v>6.94</v>
      </c>
      <c r="E616" s="31">
        <v>7.0449999999999999</v>
      </c>
      <c r="F616" s="31">
        <v>7.085</v>
      </c>
      <c r="G616" s="31">
        <v>7.085</v>
      </c>
      <c r="H616" s="31">
        <v>7.085</v>
      </c>
      <c r="I616" s="31">
        <v>7.1050000000000004</v>
      </c>
      <c r="K616" s="27"/>
      <c r="L616" s="30"/>
      <c r="M616" s="30"/>
      <c r="N616" s="30"/>
      <c r="O616" s="30"/>
      <c r="P616" s="30"/>
      <c r="Q616" s="30"/>
      <c r="R616" s="30"/>
      <c r="S616" s="30"/>
    </row>
    <row r="617" spans="1:19" x14ac:dyDescent="0.25">
      <c r="A617" s="29">
        <v>44874</v>
      </c>
      <c r="B617" s="31">
        <v>6.36</v>
      </c>
      <c r="C617" s="31">
        <v>6.64</v>
      </c>
      <c r="D617" s="31">
        <v>6.92</v>
      </c>
      <c r="E617" s="31">
        <v>7.0449999999999999</v>
      </c>
      <c r="F617" s="31">
        <v>7.085</v>
      </c>
      <c r="G617" s="31">
        <v>7.085</v>
      </c>
      <c r="H617" s="31">
        <v>7.085</v>
      </c>
      <c r="I617" s="31">
        <v>7.1050000000000004</v>
      </c>
      <c r="K617" s="27"/>
      <c r="L617" s="30"/>
      <c r="M617" s="30"/>
      <c r="N617" s="30"/>
      <c r="O617" s="30"/>
      <c r="P617" s="30"/>
      <c r="Q617" s="30"/>
      <c r="R617" s="30"/>
      <c r="S617" s="30"/>
    </row>
    <row r="618" spans="1:19" x14ac:dyDescent="0.25">
      <c r="A618" s="29">
        <v>44875</v>
      </c>
      <c r="B618" s="31">
        <v>6.33</v>
      </c>
      <c r="C618" s="31">
        <v>6.62</v>
      </c>
      <c r="D618" s="31">
        <v>6.91</v>
      </c>
      <c r="E618" s="31">
        <v>7.0449999999999999</v>
      </c>
      <c r="F618" s="31">
        <v>7.085</v>
      </c>
      <c r="G618" s="31">
        <v>7.085</v>
      </c>
      <c r="H618" s="31">
        <v>7.085</v>
      </c>
      <c r="I618" s="31">
        <v>7.1050000000000004</v>
      </c>
      <c r="K618" s="27"/>
      <c r="L618" s="30"/>
      <c r="M618" s="30"/>
      <c r="N618" s="30"/>
      <c r="O618" s="30"/>
      <c r="P618" s="30"/>
      <c r="Q618" s="30"/>
      <c r="R618" s="30"/>
      <c r="S618" s="30"/>
    </row>
    <row r="619" spans="1:19" x14ac:dyDescent="0.25">
      <c r="A619" s="29">
        <v>44876</v>
      </c>
      <c r="B619" s="31">
        <v>6.0350000000000001</v>
      </c>
      <c r="C619" s="31">
        <v>6.4180000000000001</v>
      </c>
      <c r="D619" s="31">
        <v>6.8</v>
      </c>
      <c r="E619" s="31">
        <v>7.0449999999999999</v>
      </c>
      <c r="F619" s="31">
        <v>7.085</v>
      </c>
      <c r="G619" s="31">
        <v>7.085</v>
      </c>
      <c r="H619" s="31">
        <v>7.085</v>
      </c>
      <c r="I619" s="31">
        <v>7.1050000000000004</v>
      </c>
      <c r="K619" s="27"/>
      <c r="L619" s="30"/>
      <c r="M619" s="30"/>
      <c r="N619" s="30"/>
      <c r="O619" s="30"/>
      <c r="P619" s="30"/>
      <c r="Q619" s="30"/>
      <c r="R619" s="30"/>
      <c r="S619" s="30"/>
    </row>
    <row r="620" spans="1:19" x14ac:dyDescent="0.25">
      <c r="A620" s="29">
        <v>44879</v>
      </c>
      <c r="B620" s="31">
        <v>5.9649999999999999</v>
      </c>
      <c r="C620" s="31">
        <v>6.34</v>
      </c>
      <c r="D620" s="31">
        <v>6.7149999999999999</v>
      </c>
      <c r="E620" s="31">
        <v>7.0149999999999997</v>
      </c>
      <c r="F620" s="31">
        <v>7.0449999999999999</v>
      </c>
      <c r="G620" s="31">
        <v>7.0449999999999999</v>
      </c>
      <c r="H620" s="31">
        <v>7.0449999999999999</v>
      </c>
      <c r="I620" s="31">
        <v>7.0650000000000004</v>
      </c>
      <c r="K620" s="27"/>
      <c r="L620" s="30"/>
      <c r="M620" s="30"/>
      <c r="N620" s="30"/>
      <c r="O620" s="30"/>
      <c r="P620" s="30"/>
      <c r="Q620" s="30"/>
      <c r="R620" s="30"/>
      <c r="S620" s="30"/>
    </row>
    <row r="621" spans="1:19" x14ac:dyDescent="0.25">
      <c r="A621" s="29">
        <v>44880</v>
      </c>
      <c r="B621" s="31">
        <v>5.83</v>
      </c>
      <c r="C621" s="31">
        <v>6.2350000000000003</v>
      </c>
      <c r="D621" s="31">
        <v>6.64</v>
      </c>
      <c r="E621" s="31">
        <v>7.0149999999999997</v>
      </c>
      <c r="F621" s="31">
        <v>7.0449999999999999</v>
      </c>
      <c r="G621" s="31">
        <v>7.0449999999999999</v>
      </c>
      <c r="H621" s="31">
        <v>7.0449999999999999</v>
      </c>
      <c r="I621" s="31">
        <v>7.0650000000000004</v>
      </c>
      <c r="K621" s="27"/>
      <c r="L621" s="30"/>
      <c r="M621" s="30"/>
      <c r="N621" s="30"/>
      <c r="O621" s="30"/>
      <c r="P621" s="30"/>
      <c r="Q621" s="30"/>
      <c r="R621" s="30"/>
      <c r="S621" s="30"/>
    </row>
    <row r="622" spans="1:19" x14ac:dyDescent="0.25">
      <c r="A622" s="29">
        <v>44881</v>
      </c>
      <c r="B622" s="31">
        <v>5.86</v>
      </c>
      <c r="C622" s="31">
        <v>6.1449999999999996</v>
      </c>
      <c r="D622" s="31">
        <v>6.43</v>
      </c>
      <c r="E622" s="31">
        <v>7.0149999999999997</v>
      </c>
      <c r="F622" s="31">
        <v>7.0449999999999999</v>
      </c>
      <c r="G622" s="31">
        <v>7.0449999999999999</v>
      </c>
      <c r="H622" s="31">
        <v>7.0449999999999999</v>
      </c>
      <c r="I622" s="31">
        <v>7.0650000000000004</v>
      </c>
      <c r="K622" s="27"/>
      <c r="L622" s="30"/>
      <c r="M622" s="30"/>
      <c r="N622" s="30"/>
      <c r="O622" s="30"/>
      <c r="P622" s="30"/>
      <c r="Q622" s="30"/>
      <c r="R622" s="30"/>
      <c r="S622" s="30"/>
    </row>
    <row r="623" spans="1:19" x14ac:dyDescent="0.25">
      <c r="A623" s="29">
        <v>44882</v>
      </c>
      <c r="B623" s="31">
        <v>5.87</v>
      </c>
      <c r="C623" s="31">
        <v>6.15</v>
      </c>
      <c r="D623" s="31">
        <v>6.43</v>
      </c>
      <c r="E623" s="31">
        <v>6.9950000000000001</v>
      </c>
      <c r="F623" s="31">
        <v>7.0449999999999999</v>
      </c>
      <c r="G623" s="31">
        <v>7.0449999999999999</v>
      </c>
      <c r="H623" s="31">
        <v>7.0449999999999999</v>
      </c>
      <c r="I623" s="31">
        <v>7.0650000000000004</v>
      </c>
      <c r="K623" s="27"/>
      <c r="L623" s="30"/>
      <c r="M623" s="30"/>
      <c r="N623" s="30"/>
      <c r="O623" s="30"/>
      <c r="P623" s="30"/>
      <c r="Q623" s="30"/>
      <c r="R623" s="30"/>
      <c r="S623" s="30"/>
    </row>
    <row r="624" spans="1:19" x14ac:dyDescent="0.25">
      <c r="A624" s="29">
        <v>44883</v>
      </c>
      <c r="B624" s="31">
        <v>5.89</v>
      </c>
      <c r="C624" s="31">
        <v>6.165</v>
      </c>
      <c r="D624" s="31">
        <v>6.44</v>
      </c>
      <c r="E624" s="31">
        <v>6.9950000000000001</v>
      </c>
      <c r="F624" s="31">
        <v>7.0949999999999998</v>
      </c>
      <c r="G624" s="31">
        <v>7.0949999999999998</v>
      </c>
      <c r="H624" s="31">
        <v>7.0949999999999998</v>
      </c>
      <c r="I624" s="31">
        <v>7.1150000000000002</v>
      </c>
      <c r="K624" s="27"/>
      <c r="L624" s="30"/>
      <c r="M624" s="30"/>
      <c r="N624" s="30"/>
      <c r="O624" s="30"/>
      <c r="P624" s="30"/>
      <c r="Q624" s="30"/>
      <c r="R624" s="30"/>
      <c r="S624" s="30"/>
    </row>
    <row r="625" spans="1:19" x14ac:dyDescent="0.25">
      <c r="A625" s="29">
        <v>44886</v>
      </c>
      <c r="B625" s="31">
        <v>5.9</v>
      </c>
      <c r="C625" s="31">
        <v>6.15</v>
      </c>
      <c r="D625" s="31">
        <v>6.4</v>
      </c>
      <c r="E625" s="31">
        <v>6.9950000000000001</v>
      </c>
      <c r="F625" s="31">
        <v>7.0949999999999998</v>
      </c>
      <c r="G625" s="31">
        <v>7.0949999999999998</v>
      </c>
      <c r="H625" s="31">
        <v>7.0949999999999998</v>
      </c>
      <c r="I625" s="31">
        <v>7.1150000000000002</v>
      </c>
      <c r="K625" s="27"/>
      <c r="L625" s="30"/>
      <c r="M625" s="30"/>
      <c r="N625" s="30"/>
      <c r="O625" s="30"/>
      <c r="P625" s="30"/>
      <c r="Q625" s="30"/>
      <c r="R625" s="30"/>
      <c r="S625" s="30"/>
    </row>
    <row r="626" spans="1:19" x14ac:dyDescent="0.25">
      <c r="A626" s="29">
        <v>44887</v>
      </c>
      <c r="B626" s="31">
        <v>5.91</v>
      </c>
      <c r="C626" s="31">
        <v>6.1479999999999997</v>
      </c>
      <c r="D626" s="31">
        <v>6.3849999999999998</v>
      </c>
      <c r="E626" s="31">
        <v>6.9950000000000001</v>
      </c>
      <c r="F626" s="31">
        <v>7.0949999999999998</v>
      </c>
      <c r="G626" s="31">
        <v>7.0949999999999998</v>
      </c>
      <c r="H626" s="31">
        <v>7.0949999999999998</v>
      </c>
      <c r="I626" s="31">
        <v>7.1150000000000002</v>
      </c>
      <c r="K626" s="27"/>
      <c r="L626" s="30"/>
      <c r="M626" s="30"/>
      <c r="N626" s="30"/>
      <c r="O626" s="30"/>
      <c r="P626" s="30"/>
      <c r="Q626" s="30"/>
      <c r="R626" s="30"/>
      <c r="S626" s="30"/>
    </row>
    <row r="627" spans="1:19" x14ac:dyDescent="0.25">
      <c r="A627" s="29">
        <v>44888</v>
      </c>
      <c r="B627" s="31">
        <v>5.93</v>
      </c>
      <c r="C627" s="31">
        <v>6.1630000000000003</v>
      </c>
      <c r="D627" s="31">
        <v>6.3949999999999996</v>
      </c>
      <c r="E627" s="31">
        <v>6.9950000000000001</v>
      </c>
      <c r="F627" s="31">
        <v>7.0949999999999998</v>
      </c>
      <c r="G627" s="31">
        <v>7.0949999999999998</v>
      </c>
      <c r="H627" s="31">
        <v>7.0949999999999998</v>
      </c>
      <c r="I627" s="31">
        <v>7.1150000000000002</v>
      </c>
      <c r="K627" s="27"/>
      <c r="L627" s="30"/>
      <c r="M627" s="30"/>
      <c r="N627" s="30"/>
      <c r="O627" s="30"/>
      <c r="P627" s="30"/>
      <c r="Q627" s="30"/>
      <c r="R627" s="30"/>
      <c r="S627" s="30"/>
    </row>
    <row r="628" spans="1:19" x14ac:dyDescent="0.25">
      <c r="A628" s="29">
        <v>44889</v>
      </c>
      <c r="B628" s="31">
        <v>5.95</v>
      </c>
      <c r="C628" s="31">
        <v>6.18</v>
      </c>
      <c r="D628" s="31">
        <v>6.41</v>
      </c>
      <c r="E628" s="31">
        <v>6.9950000000000001</v>
      </c>
      <c r="F628" s="31">
        <v>7.0949999999999998</v>
      </c>
      <c r="G628" s="31">
        <v>7.0949999999999998</v>
      </c>
      <c r="H628" s="31">
        <v>7.0949999999999998</v>
      </c>
      <c r="I628" s="31">
        <v>7.1150000000000002</v>
      </c>
      <c r="K628" s="27"/>
      <c r="L628" s="30"/>
      <c r="M628" s="30"/>
      <c r="N628" s="30"/>
      <c r="O628" s="30"/>
      <c r="P628" s="30"/>
      <c r="Q628" s="30"/>
      <c r="R628" s="30"/>
      <c r="S628" s="30"/>
    </row>
    <row r="629" spans="1:19" x14ac:dyDescent="0.25">
      <c r="A629" s="29">
        <v>44890</v>
      </c>
      <c r="B629" s="31">
        <v>5.95</v>
      </c>
      <c r="C629" s="31">
        <v>6.18</v>
      </c>
      <c r="D629" s="31">
        <v>6.41</v>
      </c>
      <c r="E629" s="31">
        <v>6.9950000000000001</v>
      </c>
      <c r="F629" s="31">
        <v>7.0949999999999998</v>
      </c>
      <c r="G629" s="31">
        <v>7.1150000000000002</v>
      </c>
      <c r="H629" s="31">
        <v>7.1150000000000002</v>
      </c>
      <c r="I629" s="31">
        <v>7.1349999999999998</v>
      </c>
      <c r="K629" s="27"/>
      <c r="L629" s="30"/>
      <c r="M629" s="30"/>
      <c r="N629" s="30"/>
      <c r="O629" s="30"/>
      <c r="P629" s="30"/>
      <c r="Q629" s="30"/>
      <c r="R629" s="30"/>
      <c r="S629" s="30"/>
    </row>
    <row r="630" spans="1:19" x14ac:dyDescent="0.25">
      <c r="A630" s="29">
        <v>44893</v>
      </c>
      <c r="B630" s="31">
        <v>5.95</v>
      </c>
      <c r="C630" s="31">
        <v>6.1829999999999998</v>
      </c>
      <c r="D630" s="31">
        <v>6.415</v>
      </c>
      <c r="E630" s="31">
        <v>7.0149999999999997</v>
      </c>
      <c r="F630" s="31">
        <v>7.0949999999999998</v>
      </c>
      <c r="G630" s="31">
        <v>7.1150000000000002</v>
      </c>
      <c r="H630" s="31">
        <v>7.1150000000000002</v>
      </c>
      <c r="I630" s="31">
        <v>7.1349999999999998</v>
      </c>
      <c r="K630" s="27"/>
      <c r="L630" s="30"/>
      <c r="M630" s="30"/>
      <c r="N630" s="30"/>
      <c r="O630" s="30"/>
      <c r="P630" s="30"/>
      <c r="Q630" s="30"/>
      <c r="R630" s="30"/>
      <c r="S630" s="30"/>
    </row>
    <row r="631" spans="1:19" x14ac:dyDescent="0.25">
      <c r="A631" s="29">
        <v>44894</v>
      </c>
      <c r="B631" s="31">
        <v>5.95</v>
      </c>
      <c r="C631" s="31">
        <v>6.1779999999999999</v>
      </c>
      <c r="D631" s="31">
        <v>6.4050000000000002</v>
      </c>
      <c r="E631" s="31">
        <v>7.0149999999999997</v>
      </c>
      <c r="F631" s="31">
        <v>7.0949999999999998</v>
      </c>
      <c r="G631" s="31">
        <v>7.1150000000000002</v>
      </c>
      <c r="H631" s="31">
        <v>7.1150000000000002</v>
      </c>
      <c r="I631" s="31">
        <v>7.1349999999999998</v>
      </c>
      <c r="K631" s="27"/>
      <c r="L631" s="30"/>
      <c r="M631" s="30"/>
      <c r="N631" s="30"/>
      <c r="O631" s="30"/>
      <c r="P631" s="30"/>
      <c r="Q631" s="30"/>
      <c r="R631" s="30"/>
      <c r="S631" s="30"/>
    </row>
    <row r="632" spans="1:19" x14ac:dyDescent="0.25">
      <c r="A632" s="29">
        <v>44895</v>
      </c>
      <c r="B632" s="31">
        <v>5.96</v>
      </c>
      <c r="C632" s="31">
        <v>6.1849999999999996</v>
      </c>
      <c r="D632" s="31">
        <v>6.41</v>
      </c>
      <c r="E632" s="31">
        <v>7.0149999999999997</v>
      </c>
      <c r="F632" s="31">
        <v>7.0949999999999998</v>
      </c>
      <c r="G632" s="31">
        <v>7.1150000000000002</v>
      </c>
      <c r="H632" s="31">
        <v>7.1150000000000002</v>
      </c>
      <c r="I632" s="31">
        <v>7.1349999999999998</v>
      </c>
      <c r="K632" s="27"/>
      <c r="L632" s="30"/>
      <c r="M632" s="30"/>
      <c r="N632" s="30"/>
      <c r="O632" s="30"/>
      <c r="P632" s="30"/>
      <c r="Q632" s="30"/>
      <c r="R632" s="30"/>
      <c r="S632" s="30"/>
    </row>
    <row r="633" spans="1:19" x14ac:dyDescent="0.25">
      <c r="A633" s="29">
        <v>44896</v>
      </c>
      <c r="B633" s="31">
        <v>5.97</v>
      </c>
      <c r="C633" s="31">
        <v>6.1929999999999996</v>
      </c>
      <c r="D633" s="31">
        <v>6.415</v>
      </c>
      <c r="E633" s="31">
        <v>7.0149999999999997</v>
      </c>
      <c r="F633" s="31">
        <v>7.0949999999999998</v>
      </c>
      <c r="G633" s="31">
        <v>7.1150000000000002</v>
      </c>
      <c r="H633" s="31">
        <v>7.1150000000000002</v>
      </c>
      <c r="I633" s="31">
        <v>7.1349999999999998</v>
      </c>
      <c r="K633" s="27"/>
      <c r="L633" s="30"/>
      <c r="M633" s="30"/>
      <c r="N633" s="30"/>
      <c r="O633" s="30"/>
      <c r="P633" s="30"/>
      <c r="Q633" s="30"/>
      <c r="R633" s="30"/>
      <c r="S633" s="30"/>
    </row>
    <row r="634" spans="1:19" x14ac:dyDescent="0.25">
      <c r="A634" s="29">
        <v>44897</v>
      </c>
      <c r="B634" s="31">
        <v>5.96</v>
      </c>
      <c r="C634" s="31">
        <v>6.1529999999999996</v>
      </c>
      <c r="D634" s="31">
        <v>6.3449999999999998</v>
      </c>
      <c r="E634" s="31">
        <v>7.0149999999999997</v>
      </c>
      <c r="F634" s="31">
        <v>7.0949999999999998</v>
      </c>
      <c r="G634" s="31">
        <v>7.1150000000000002</v>
      </c>
      <c r="H634" s="31">
        <v>7.1150000000000002</v>
      </c>
      <c r="I634" s="31">
        <v>7.1349999999999998</v>
      </c>
      <c r="K634" s="27"/>
      <c r="L634" s="30"/>
      <c r="M634" s="30"/>
      <c r="N634" s="30"/>
      <c r="O634" s="30"/>
      <c r="P634" s="30"/>
      <c r="Q634" s="30"/>
      <c r="R634" s="30"/>
      <c r="S634" s="30"/>
    </row>
    <row r="635" spans="1:19" x14ac:dyDescent="0.25">
      <c r="A635" s="29">
        <v>44900</v>
      </c>
      <c r="B635" s="31">
        <v>5.98</v>
      </c>
      <c r="C635" s="31">
        <v>6.17</v>
      </c>
      <c r="D635" s="31">
        <v>6.36</v>
      </c>
      <c r="E635" s="31">
        <v>7.0149999999999997</v>
      </c>
      <c r="F635" s="31">
        <v>7.0949999999999998</v>
      </c>
      <c r="G635" s="31">
        <v>7.1150000000000002</v>
      </c>
      <c r="H635" s="31">
        <v>7.1150000000000002</v>
      </c>
      <c r="I635" s="31">
        <v>7.1349999999999998</v>
      </c>
      <c r="K635" s="27"/>
      <c r="L635" s="30"/>
      <c r="M635" s="30"/>
      <c r="N635" s="30"/>
      <c r="O635" s="30"/>
      <c r="P635" s="30"/>
      <c r="Q635" s="30"/>
      <c r="R635" s="30"/>
      <c r="S635" s="30"/>
    </row>
    <row r="636" spans="1:19" x14ac:dyDescent="0.25">
      <c r="A636" s="29">
        <v>44901</v>
      </c>
      <c r="B636" s="31">
        <v>5.97</v>
      </c>
      <c r="C636" s="31">
        <v>6.1680000000000001</v>
      </c>
      <c r="D636" s="31">
        <v>6.3650000000000002</v>
      </c>
      <c r="E636" s="31">
        <v>7.0149999999999997</v>
      </c>
      <c r="F636" s="31">
        <v>7.0949999999999998</v>
      </c>
      <c r="G636" s="31">
        <v>7.1150000000000002</v>
      </c>
      <c r="H636" s="31">
        <v>7.1150000000000002</v>
      </c>
      <c r="I636" s="31">
        <v>7.1349999999999998</v>
      </c>
      <c r="K636" s="27"/>
      <c r="L636" s="30"/>
      <c r="M636" s="30"/>
      <c r="N636" s="30"/>
      <c r="O636" s="30"/>
      <c r="P636" s="30"/>
      <c r="Q636" s="30"/>
      <c r="R636" s="30"/>
      <c r="S636" s="30"/>
    </row>
    <row r="637" spans="1:19" x14ac:dyDescent="0.25">
      <c r="A637" s="29">
        <v>44902</v>
      </c>
      <c r="B637" s="31">
        <v>5.97</v>
      </c>
      <c r="C637" s="31">
        <v>6.1680000000000001</v>
      </c>
      <c r="D637" s="31">
        <v>6.3650000000000002</v>
      </c>
      <c r="E637" s="31">
        <v>7.0149999999999997</v>
      </c>
      <c r="F637" s="31">
        <v>7.0949999999999998</v>
      </c>
      <c r="G637" s="31">
        <v>7.1150000000000002</v>
      </c>
      <c r="H637" s="31">
        <v>7.1150000000000002</v>
      </c>
      <c r="I637" s="31">
        <v>7.1349999999999998</v>
      </c>
      <c r="K637" s="27"/>
      <c r="L637" s="30"/>
      <c r="M637" s="30"/>
      <c r="N637" s="30"/>
      <c r="O637" s="30"/>
      <c r="P637" s="30"/>
      <c r="Q637" s="30"/>
      <c r="R637" s="30"/>
      <c r="S637" s="30"/>
    </row>
    <row r="638" spans="1:19" x14ac:dyDescent="0.25">
      <c r="A638" s="29">
        <v>44903</v>
      </c>
      <c r="B638" s="31">
        <v>5.97</v>
      </c>
      <c r="C638" s="31">
        <v>6.1639999999999997</v>
      </c>
      <c r="D638" s="31">
        <v>6.3579999999999997</v>
      </c>
      <c r="E638" s="31">
        <v>6.9450000000000003</v>
      </c>
      <c r="F638" s="31">
        <v>7.0250000000000004</v>
      </c>
      <c r="G638" s="31">
        <v>7.1150000000000002</v>
      </c>
      <c r="H638" s="31">
        <v>7.1150000000000002</v>
      </c>
      <c r="I638" s="31">
        <v>7.1349999999999998</v>
      </c>
      <c r="K638" s="27"/>
      <c r="L638" s="30"/>
      <c r="M638" s="30"/>
      <c r="N638" s="30"/>
      <c r="O638" s="30"/>
      <c r="P638" s="30"/>
      <c r="Q638" s="30"/>
      <c r="R638" s="30"/>
      <c r="S638" s="30"/>
    </row>
    <row r="639" spans="1:19" x14ac:dyDescent="0.25">
      <c r="A639" s="29">
        <v>44904</v>
      </c>
      <c r="B639" s="31">
        <v>5.97</v>
      </c>
      <c r="C639" s="31">
        <v>6.1639999999999997</v>
      </c>
      <c r="D639" s="31">
        <v>6.3579999999999997</v>
      </c>
      <c r="E639" s="31">
        <v>6.9649999999999999</v>
      </c>
      <c r="F639" s="31">
        <v>7.0449999999999999</v>
      </c>
      <c r="G639" s="31">
        <v>7.0750000000000002</v>
      </c>
      <c r="H639" s="31">
        <v>7.1150000000000002</v>
      </c>
      <c r="I639" s="31">
        <v>7.1349999999999998</v>
      </c>
      <c r="K639" s="27"/>
      <c r="L639" s="30"/>
      <c r="M639" s="30"/>
      <c r="N639" s="30"/>
      <c r="O639" s="30"/>
      <c r="P639" s="30"/>
      <c r="Q639" s="30"/>
      <c r="R639" s="30"/>
      <c r="S639" s="30"/>
    </row>
    <row r="640" spans="1:19" x14ac:dyDescent="0.25">
      <c r="A640" s="29">
        <v>44907</v>
      </c>
      <c r="B640" s="31">
        <v>5.9749999999999996</v>
      </c>
      <c r="C640" s="31">
        <v>6.1680000000000001</v>
      </c>
      <c r="D640" s="31">
        <v>6.36</v>
      </c>
      <c r="E640" s="31">
        <v>6.9649999999999999</v>
      </c>
      <c r="F640" s="31">
        <v>7.0449999999999999</v>
      </c>
      <c r="G640" s="31">
        <v>7.0750000000000002</v>
      </c>
      <c r="H640" s="31">
        <v>7.1150000000000002</v>
      </c>
      <c r="I640" s="31">
        <v>7.1349999999999998</v>
      </c>
      <c r="K640" s="27"/>
      <c r="L640" s="30"/>
      <c r="M640" s="30"/>
      <c r="N640" s="30"/>
      <c r="O640" s="30"/>
      <c r="P640" s="30"/>
      <c r="Q640" s="30"/>
      <c r="R640" s="30"/>
      <c r="S640" s="30"/>
    </row>
    <row r="641" spans="1:19" x14ac:dyDescent="0.25">
      <c r="A641" s="29">
        <v>44908</v>
      </c>
      <c r="B641" s="31">
        <v>5.9749999999999996</v>
      </c>
      <c r="C641" s="31">
        <v>6.11</v>
      </c>
      <c r="D641" s="31">
        <v>6.2450000000000001</v>
      </c>
      <c r="E641" s="31">
        <v>6.9649999999999999</v>
      </c>
      <c r="F641" s="31">
        <v>7.0449999999999999</v>
      </c>
      <c r="G641" s="31">
        <v>7.0750000000000002</v>
      </c>
      <c r="H641" s="31">
        <v>7.1150000000000002</v>
      </c>
      <c r="I641" s="31">
        <v>7.1349999999999998</v>
      </c>
      <c r="K641" s="27"/>
      <c r="L641" s="30"/>
      <c r="M641" s="30"/>
      <c r="N641" s="30"/>
      <c r="O641" s="30"/>
      <c r="P641" s="30"/>
      <c r="Q641" s="30"/>
      <c r="R641" s="30"/>
      <c r="S641" s="30"/>
    </row>
    <row r="642" spans="1:19" x14ac:dyDescent="0.25">
      <c r="A642" s="29">
        <v>44909</v>
      </c>
      <c r="B642" s="31">
        <v>5.9550000000000001</v>
      </c>
      <c r="C642" s="31">
        <v>6.0750000000000002</v>
      </c>
      <c r="D642" s="31">
        <v>6.1950000000000003</v>
      </c>
      <c r="E642" s="31">
        <v>6.9450000000000003</v>
      </c>
      <c r="F642" s="31">
        <v>7.0449999999999999</v>
      </c>
      <c r="G642" s="31">
        <v>7.0750000000000002</v>
      </c>
      <c r="H642" s="31">
        <v>7.1150000000000002</v>
      </c>
      <c r="I642" s="31">
        <v>7.1349999999999998</v>
      </c>
      <c r="K642" s="27"/>
      <c r="L642" s="30"/>
      <c r="M642" s="30"/>
      <c r="N642" s="30"/>
      <c r="O642" s="30"/>
      <c r="P642" s="30"/>
      <c r="Q642" s="30"/>
      <c r="R642" s="30"/>
      <c r="S642" s="30"/>
    </row>
    <row r="643" spans="1:19" x14ac:dyDescent="0.25">
      <c r="A643" s="29">
        <v>44910</v>
      </c>
      <c r="B643" s="31">
        <v>5.8849999999999998</v>
      </c>
      <c r="C643" s="31">
        <v>6.0030000000000001</v>
      </c>
      <c r="D643" s="31">
        <v>6.12</v>
      </c>
      <c r="E643" s="31">
        <v>6.9450000000000003</v>
      </c>
      <c r="F643" s="31">
        <v>7.0149999999999997</v>
      </c>
      <c r="G643" s="31">
        <v>7.0449999999999999</v>
      </c>
      <c r="H643" s="31">
        <v>7.085</v>
      </c>
      <c r="I643" s="31">
        <v>7.1050000000000004</v>
      </c>
      <c r="K643" s="27"/>
      <c r="L643" s="30"/>
      <c r="M643" s="30"/>
      <c r="N643" s="30"/>
      <c r="O643" s="30"/>
      <c r="P643" s="30"/>
      <c r="Q643" s="30"/>
      <c r="R643" s="30"/>
      <c r="S643" s="30"/>
    </row>
    <row r="644" spans="1:19" x14ac:dyDescent="0.25">
      <c r="A644" s="29">
        <v>44911</v>
      </c>
      <c r="B644" s="31">
        <v>5.7449999999999983</v>
      </c>
      <c r="C644" s="31">
        <v>5.9049999999999994</v>
      </c>
      <c r="D644" s="31">
        <v>6.0650000000000004</v>
      </c>
      <c r="E644" s="31">
        <v>6.9450000000000012</v>
      </c>
      <c r="F644" s="31">
        <v>7.0150000000000006</v>
      </c>
      <c r="G644" s="31">
        <v>7.0450000000000017</v>
      </c>
      <c r="H644" s="31">
        <v>7.0850000000000009</v>
      </c>
      <c r="I644" s="31">
        <v>7.1050000000000013</v>
      </c>
      <c r="K644" s="27"/>
      <c r="L644" s="30"/>
      <c r="M644" s="30"/>
      <c r="N644" s="30"/>
      <c r="O644" s="30"/>
      <c r="P644" s="30"/>
      <c r="Q644" s="30"/>
      <c r="R644" s="30"/>
      <c r="S644" s="30"/>
    </row>
    <row r="645" spans="1:19" x14ac:dyDescent="0.25">
      <c r="A645" s="29">
        <v>44914</v>
      </c>
      <c r="B645" s="31">
        <v>5.72</v>
      </c>
      <c r="C645" s="31">
        <v>5.8874999999999993</v>
      </c>
      <c r="D645" s="31">
        <v>6.0549999999999997</v>
      </c>
      <c r="E645" s="31">
        <v>6.9250000000000007</v>
      </c>
      <c r="F645" s="31">
        <v>7.0150000000000006</v>
      </c>
      <c r="G645" s="31">
        <v>7.0349999999999993</v>
      </c>
      <c r="H645" s="31">
        <v>7.0850000000000009</v>
      </c>
      <c r="I645" s="31">
        <v>7.1050000000000013</v>
      </c>
      <c r="K645" s="27"/>
      <c r="L645" s="30"/>
      <c r="M645" s="30"/>
      <c r="N645" s="30"/>
      <c r="O645" s="30"/>
      <c r="P645" s="30"/>
      <c r="Q645" s="30"/>
      <c r="R645" s="30"/>
      <c r="S645" s="30"/>
    </row>
    <row r="646" spans="1:19" x14ac:dyDescent="0.25">
      <c r="A646" s="29">
        <v>44915</v>
      </c>
      <c r="B646" s="31">
        <v>5.68</v>
      </c>
      <c r="C646" s="31">
        <v>5.8680000000000003</v>
      </c>
      <c r="D646" s="31">
        <v>6.0549999999999997</v>
      </c>
      <c r="E646" s="31">
        <v>6.9249999999999998</v>
      </c>
      <c r="F646" s="31">
        <v>7.0149999999999997</v>
      </c>
      <c r="G646" s="31">
        <v>7.0350000000000001</v>
      </c>
      <c r="H646" s="31">
        <v>7.085</v>
      </c>
      <c r="I646" s="31">
        <v>7.1050000000000004</v>
      </c>
      <c r="K646" s="27"/>
      <c r="L646" s="30"/>
      <c r="M646" s="30"/>
      <c r="N646" s="30"/>
      <c r="O646" s="30"/>
      <c r="P646" s="30"/>
      <c r="Q646" s="30"/>
      <c r="R646" s="30"/>
      <c r="S646" s="30"/>
    </row>
    <row r="647" spans="1:19" x14ac:dyDescent="0.25">
      <c r="A647" s="29">
        <v>44916</v>
      </c>
      <c r="B647" s="31">
        <v>5.6749999999999998</v>
      </c>
      <c r="C647" s="31">
        <v>5.8650000000000002</v>
      </c>
      <c r="D647" s="31">
        <v>6.0549999999999997</v>
      </c>
      <c r="E647" s="31">
        <v>6.915</v>
      </c>
      <c r="F647" s="31">
        <v>6.9950000000000001</v>
      </c>
      <c r="G647" s="31">
        <v>7.0350000000000001</v>
      </c>
      <c r="H647" s="31">
        <v>7.085</v>
      </c>
      <c r="I647" s="31">
        <v>7.1050000000000004</v>
      </c>
      <c r="K647" s="27"/>
      <c r="L647" s="30"/>
      <c r="M647" s="30"/>
      <c r="N647" s="30"/>
      <c r="O647" s="30"/>
      <c r="P647" s="30"/>
      <c r="Q647" s="30"/>
      <c r="R647" s="30"/>
      <c r="S647" s="30"/>
    </row>
    <row r="648" spans="1:19" x14ac:dyDescent="0.25">
      <c r="A648" s="29">
        <v>44917</v>
      </c>
      <c r="B648" s="31">
        <v>5.6550000000000002</v>
      </c>
      <c r="C648" s="31">
        <v>5.8449999999999998</v>
      </c>
      <c r="D648" s="31">
        <v>6.0350000000000001</v>
      </c>
      <c r="E648" s="31">
        <v>6.915</v>
      </c>
      <c r="F648" s="31">
        <v>6.9950000000000001</v>
      </c>
      <c r="G648" s="31">
        <v>7.0350000000000001</v>
      </c>
      <c r="H648" s="31">
        <v>7.085</v>
      </c>
      <c r="I648" s="31">
        <v>7.1050000000000004</v>
      </c>
      <c r="K648" s="27"/>
      <c r="L648" s="30"/>
      <c r="M648" s="30"/>
      <c r="N648" s="30"/>
      <c r="O648" s="30"/>
      <c r="P648" s="30"/>
      <c r="Q648" s="30"/>
      <c r="R648" s="30"/>
      <c r="S648" s="30"/>
    </row>
    <row r="649" spans="1:19" x14ac:dyDescent="0.25">
      <c r="A649" s="29">
        <v>44918</v>
      </c>
      <c r="B649" s="31">
        <v>5.6550000000000002</v>
      </c>
      <c r="C649" s="31">
        <v>5.835</v>
      </c>
      <c r="D649" s="31">
        <v>6.0149999999999997</v>
      </c>
      <c r="E649" s="31">
        <v>6.8949999999999996</v>
      </c>
      <c r="F649" s="31">
        <v>6.9950000000000001</v>
      </c>
      <c r="G649" s="31">
        <v>7.0350000000000001</v>
      </c>
      <c r="H649" s="31">
        <v>7.085</v>
      </c>
      <c r="I649" s="31">
        <v>7.1050000000000004</v>
      </c>
      <c r="K649" s="27"/>
      <c r="L649" s="30"/>
      <c r="M649" s="30"/>
      <c r="N649" s="30"/>
      <c r="O649" s="30"/>
      <c r="P649" s="30"/>
      <c r="Q649" s="30"/>
      <c r="R649" s="30"/>
      <c r="S649" s="30"/>
    </row>
    <row r="650" spans="1:19" x14ac:dyDescent="0.25">
      <c r="A650" s="29">
        <v>44921</v>
      </c>
      <c r="B650" s="31">
        <v>5.6449999999999996</v>
      </c>
      <c r="C650" s="31">
        <v>5.83</v>
      </c>
      <c r="D650" s="31">
        <v>6.0149999999999997</v>
      </c>
      <c r="E650" s="31">
        <v>6.8949999999999996</v>
      </c>
      <c r="F650" s="31">
        <v>6.9950000000000001</v>
      </c>
      <c r="G650" s="31">
        <v>7.0350000000000001</v>
      </c>
      <c r="H650" s="31">
        <v>7.085</v>
      </c>
      <c r="I650" s="31">
        <v>7.1050000000000004</v>
      </c>
      <c r="K650" s="27"/>
      <c r="L650" s="30"/>
      <c r="M650" s="30"/>
      <c r="N650" s="30"/>
      <c r="O650" s="30"/>
      <c r="P650" s="30"/>
      <c r="Q650" s="30"/>
      <c r="R650" s="30"/>
      <c r="S650" s="30"/>
    </row>
    <row r="651" spans="1:19" x14ac:dyDescent="0.25">
      <c r="A651" s="29">
        <v>44922</v>
      </c>
      <c r="B651" s="31">
        <v>5.6749999999999998</v>
      </c>
      <c r="C651" s="31">
        <v>5.8449999999999998</v>
      </c>
      <c r="D651" s="31">
        <v>6.0149999999999997</v>
      </c>
      <c r="E651" s="31">
        <v>6.8949999999999996</v>
      </c>
      <c r="F651" s="31">
        <v>6.9950000000000001</v>
      </c>
      <c r="G651" s="31">
        <v>7.0350000000000001</v>
      </c>
      <c r="H651" s="31">
        <v>7.085</v>
      </c>
      <c r="I651" s="31">
        <v>7.1050000000000004</v>
      </c>
      <c r="K651" s="27"/>
      <c r="L651" s="30"/>
      <c r="M651" s="30"/>
      <c r="N651" s="30"/>
      <c r="O651" s="30"/>
      <c r="P651" s="30"/>
      <c r="Q651" s="30"/>
      <c r="R651" s="30"/>
      <c r="S651" s="30"/>
    </row>
    <row r="652" spans="1:19" x14ac:dyDescent="0.25">
      <c r="A652" s="29">
        <v>44923</v>
      </c>
      <c r="B652" s="31">
        <v>5.665</v>
      </c>
      <c r="C652" s="31">
        <v>5.84</v>
      </c>
      <c r="D652" s="31">
        <v>6.0149999999999997</v>
      </c>
      <c r="E652" s="31">
        <v>6.8949999999999996</v>
      </c>
      <c r="F652" s="31">
        <v>6.9950000000000001</v>
      </c>
      <c r="G652" s="31">
        <v>7.0350000000000001</v>
      </c>
      <c r="H652" s="31">
        <v>7.085</v>
      </c>
      <c r="I652" s="31">
        <v>7.1050000000000004</v>
      </c>
      <c r="K652" s="27"/>
      <c r="L652" s="30"/>
      <c r="M652" s="30"/>
      <c r="N652" s="30"/>
      <c r="O652" s="30"/>
      <c r="P652" s="30"/>
      <c r="Q652" s="30"/>
      <c r="R652" s="30"/>
      <c r="S652" s="30"/>
    </row>
    <row r="653" spans="1:19" x14ac:dyDescent="0.25">
      <c r="A653" s="29">
        <v>44924</v>
      </c>
      <c r="B653" s="31">
        <v>5.665</v>
      </c>
      <c r="C653" s="31">
        <v>5.84</v>
      </c>
      <c r="D653" s="31">
        <v>6.0149999999999997</v>
      </c>
      <c r="E653" s="31">
        <v>6.8949999999999996</v>
      </c>
      <c r="F653" s="31">
        <v>6.9950000000000001</v>
      </c>
      <c r="G653" s="31">
        <v>7.0350000000000001</v>
      </c>
      <c r="H653" s="31">
        <v>7.085</v>
      </c>
      <c r="I653" s="31">
        <v>7.1050000000000004</v>
      </c>
      <c r="K653" s="27"/>
      <c r="L653" s="30"/>
      <c r="M653" s="30"/>
      <c r="N653" s="30"/>
      <c r="O653" s="30"/>
      <c r="P653" s="30"/>
      <c r="Q653" s="30"/>
      <c r="R653" s="30"/>
      <c r="S653" s="30"/>
    </row>
    <row r="654" spans="1:19" x14ac:dyDescent="0.25">
      <c r="A654" s="29">
        <v>44925</v>
      </c>
      <c r="B654" s="31">
        <v>5.6749999999999998</v>
      </c>
      <c r="C654" s="31">
        <v>5.8449999999999998</v>
      </c>
      <c r="D654" s="31">
        <v>6.0149999999999997</v>
      </c>
      <c r="E654" s="31">
        <v>6.8949999999999996</v>
      </c>
      <c r="F654" s="31">
        <v>6.9950000000000001</v>
      </c>
      <c r="G654" s="31">
        <v>7.0350000000000001</v>
      </c>
      <c r="H654" s="31">
        <v>7.085</v>
      </c>
      <c r="I654" s="31">
        <v>7.1050000000000004</v>
      </c>
      <c r="K654" s="27"/>
      <c r="L654" s="30"/>
      <c r="M654" s="30"/>
      <c r="N654" s="30"/>
      <c r="O654" s="30"/>
      <c r="P654" s="30"/>
      <c r="Q654" s="30"/>
      <c r="R654" s="30"/>
      <c r="S654" s="30"/>
    </row>
    <row r="655" spans="1:19" x14ac:dyDescent="0.25">
      <c r="A655" s="29">
        <v>44929</v>
      </c>
      <c r="B655" s="31">
        <v>5.6849999999999996</v>
      </c>
      <c r="C655" s="31">
        <v>5.8650000000000002</v>
      </c>
      <c r="D655" s="31">
        <v>6.0449999999999999</v>
      </c>
      <c r="E655" s="31">
        <v>6.8949999999999996</v>
      </c>
      <c r="F655" s="31">
        <v>6.9950000000000001</v>
      </c>
      <c r="G655" s="31">
        <v>7.0350000000000001</v>
      </c>
      <c r="H655" s="31">
        <v>7.085</v>
      </c>
      <c r="I655" s="31">
        <v>7.1050000000000004</v>
      </c>
      <c r="K655" s="27"/>
      <c r="L655" s="30"/>
      <c r="M655" s="30"/>
      <c r="N655" s="30"/>
      <c r="O655" s="30"/>
      <c r="P655" s="30"/>
      <c r="Q655" s="30"/>
      <c r="R655" s="30"/>
      <c r="S655" s="30"/>
    </row>
    <row r="656" spans="1:19" x14ac:dyDescent="0.25">
      <c r="A656" s="29">
        <v>44930</v>
      </c>
      <c r="B656" s="31">
        <v>5.6749999999999998</v>
      </c>
      <c r="C656" s="31">
        <v>5.8550000000000004</v>
      </c>
      <c r="D656" s="31">
        <v>6.0350000000000001</v>
      </c>
      <c r="E656" s="31">
        <v>6.8949999999999996</v>
      </c>
      <c r="F656" s="31">
        <v>6.9950000000000001</v>
      </c>
      <c r="G656" s="31">
        <v>7.0350000000000001</v>
      </c>
      <c r="H656" s="31">
        <v>7.085</v>
      </c>
      <c r="I656" s="31">
        <v>7.1050000000000004</v>
      </c>
      <c r="K656" s="27"/>
      <c r="L656" s="30"/>
      <c r="M656" s="30"/>
      <c r="N656" s="30"/>
      <c r="O656" s="30"/>
      <c r="P656" s="30"/>
      <c r="Q656" s="30"/>
      <c r="R656" s="30"/>
      <c r="S656" s="30"/>
    </row>
    <row r="657" spans="1:19" x14ac:dyDescent="0.25">
      <c r="A657" s="29">
        <v>44931</v>
      </c>
      <c r="B657" s="31">
        <v>5.6749999999999998</v>
      </c>
      <c r="C657" s="31">
        <v>5.8579999999999997</v>
      </c>
      <c r="D657" s="31">
        <v>6.04</v>
      </c>
      <c r="E657" s="31">
        <v>6.8949999999999996</v>
      </c>
      <c r="F657" s="31">
        <v>6.9950000000000001</v>
      </c>
      <c r="G657" s="31">
        <v>7.0350000000000001</v>
      </c>
      <c r="H657" s="31">
        <v>7.085</v>
      </c>
      <c r="I657" s="31">
        <v>7.1050000000000004</v>
      </c>
      <c r="K657" s="27"/>
      <c r="L657" s="30"/>
      <c r="M657" s="30"/>
      <c r="N657" s="30"/>
      <c r="O657" s="30"/>
      <c r="P657" s="30"/>
      <c r="Q657" s="30"/>
      <c r="R657" s="30"/>
      <c r="S657" s="30"/>
    </row>
    <row r="658" spans="1:19" x14ac:dyDescent="0.25">
      <c r="A658" s="29">
        <v>44932</v>
      </c>
      <c r="B658" s="31">
        <v>5.6749999999999998</v>
      </c>
      <c r="C658" s="31">
        <v>5.8579999999999997</v>
      </c>
      <c r="D658" s="31">
        <v>6.04</v>
      </c>
      <c r="E658" s="31">
        <v>6.8949999999999996</v>
      </c>
      <c r="F658" s="31">
        <v>6.9749999999999996</v>
      </c>
      <c r="G658" s="31">
        <v>7.0149999999999997</v>
      </c>
      <c r="H658" s="31">
        <v>7.085</v>
      </c>
      <c r="I658" s="31">
        <v>7.1050000000000004</v>
      </c>
      <c r="K658" s="27"/>
      <c r="L658" s="30"/>
      <c r="M658" s="30"/>
      <c r="N658" s="30"/>
      <c r="O658" s="30"/>
      <c r="P658" s="30"/>
      <c r="Q658" s="30"/>
      <c r="R658" s="30"/>
      <c r="S658" s="30"/>
    </row>
    <row r="659" spans="1:19" x14ac:dyDescent="0.25">
      <c r="A659" s="29">
        <v>44935</v>
      </c>
      <c r="B659" s="31">
        <v>5.718</v>
      </c>
      <c r="C659" s="31">
        <v>5.8840000000000003</v>
      </c>
      <c r="D659" s="31">
        <v>6.05</v>
      </c>
      <c r="E659" s="31">
        <v>6.8730000000000002</v>
      </c>
      <c r="F659" s="31">
        <v>6.9450000000000003</v>
      </c>
      <c r="G659" s="31">
        <v>6.9909999999999997</v>
      </c>
      <c r="H659" s="31">
        <v>7.0910000000000002</v>
      </c>
      <c r="I659" s="31">
        <v>7.109</v>
      </c>
      <c r="K659" s="27"/>
      <c r="L659" s="30"/>
      <c r="M659" s="30"/>
      <c r="N659" s="30"/>
      <c r="O659" s="30"/>
      <c r="P659" s="30"/>
      <c r="Q659" s="30"/>
      <c r="R659" s="30"/>
      <c r="S659" s="30"/>
    </row>
    <row r="660" spans="1:19" x14ac:dyDescent="0.25">
      <c r="A660" s="29">
        <v>44936</v>
      </c>
      <c r="B660" s="31">
        <v>5.8</v>
      </c>
      <c r="C660" s="31">
        <v>5.92</v>
      </c>
      <c r="D660" s="31">
        <v>6.0410000000000004</v>
      </c>
      <c r="E660" s="31">
        <v>6.9</v>
      </c>
      <c r="F660" s="31">
        <v>6.9640000000000004</v>
      </c>
      <c r="G660" s="31">
        <v>7</v>
      </c>
      <c r="H660" s="31">
        <v>7.0910000000000002</v>
      </c>
      <c r="I660" s="31">
        <v>7.109</v>
      </c>
      <c r="K660" s="27"/>
      <c r="L660" s="30"/>
      <c r="M660" s="30"/>
      <c r="N660" s="30"/>
      <c r="O660" s="30"/>
      <c r="P660" s="30"/>
      <c r="Q660" s="30"/>
      <c r="R660" s="30"/>
      <c r="S660" s="30"/>
    </row>
    <row r="661" spans="1:19" x14ac:dyDescent="0.25">
      <c r="A661" s="29">
        <v>44937</v>
      </c>
      <c r="B661" s="31">
        <v>5.7949999999999999</v>
      </c>
      <c r="C661" s="31">
        <v>5.9139999999999997</v>
      </c>
      <c r="D661" s="31">
        <v>6.032</v>
      </c>
      <c r="E661" s="31">
        <v>6.8819999999999997</v>
      </c>
      <c r="F661" s="31">
        <v>6.9450000000000003</v>
      </c>
      <c r="G661" s="31">
        <v>6.9909999999999997</v>
      </c>
      <c r="H661" s="31">
        <v>7.0910000000000002</v>
      </c>
      <c r="I661" s="31">
        <v>7.109</v>
      </c>
      <c r="K661" s="27"/>
      <c r="L661" s="30"/>
      <c r="M661" s="30"/>
      <c r="N661" s="30"/>
      <c r="O661" s="30"/>
      <c r="P661" s="30"/>
      <c r="Q661" s="30"/>
      <c r="R661" s="30"/>
      <c r="S661" s="30"/>
    </row>
    <row r="662" spans="1:19" x14ac:dyDescent="0.25">
      <c r="A662" s="29">
        <v>44938</v>
      </c>
      <c r="B662" s="31">
        <v>5.8230000000000004</v>
      </c>
      <c r="C662" s="31">
        <v>5.9269999999999996</v>
      </c>
      <c r="D662" s="31">
        <v>6.032</v>
      </c>
      <c r="E662" s="31">
        <v>6.8819999999999997</v>
      </c>
      <c r="F662" s="31">
        <v>6.9450000000000003</v>
      </c>
      <c r="G662" s="31">
        <v>6.9909999999999997</v>
      </c>
      <c r="H662" s="31">
        <v>7.0910000000000002</v>
      </c>
      <c r="I662" s="31">
        <v>7.109</v>
      </c>
      <c r="K662" s="27"/>
      <c r="L662" s="30"/>
      <c r="M662" s="30"/>
      <c r="N662" s="30"/>
      <c r="O662" s="30"/>
      <c r="P662" s="30"/>
      <c r="Q662" s="30"/>
      <c r="R662" s="30"/>
      <c r="S662" s="30"/>
    </row>
    <row r="663" spans="1:19" x14ac:dyDescent="0.25">
      <c r="A663" s="29">
        <v>44939</v>
      </c>
      <c r="B663" s="31">
        <v>5.8550000000000004</v>
      </c>
      <c r="C663" s="31">
        <v>5.9429999999999996</v>
      </c>
      <c r="D663" s="31">
        <v>6.032</v>
      </c>
      <c r="E663" s="31">
        <v>6.8819999999999997</v>
      </c>
      <c r="F663" s="31">
        <v>6.9450000000000003</v>
      </c>
      <c r="G663" s="31">
        <v>6.9909999999999997</v>
      </c>
      <c r="H663" s="31">
        <v>7.0910000000000002</v>
      </c>
      <c r="I663" s="31">
        <v>7.109</v>
      </c>
      <c r="K663" s="27"/>
      <c r="L663" s="30"/>
      <c r="M663" s="30"/>
      <c r="N663" s="30"/>
      <c r="O663" s="30"/>
      <c r="P663" s="30"/>
      <c r="Q663" s="30"/>
      <c r="R663" s="30"/>
      <c r="S663" s="30"/>
    </row>
    <row r="664" spans="1:19" x14ac:dyDescent="0.25">
      <c r="A664" s="29">
        <v>44942</v>
      </c>
      <c r="B664" s="31">
        <v>5.8639999999999999</v>
      </c>
      <c r="C664" s="31">
        <v>5.9480000000000004</v>
      </c>
      <c r="D664" s="31">
        <v>6.032</v>
      </c>
      <c r="E664" s="31">
        <v>6.8090000000000002</v>
      </c>
      <c r="F664" s="31">
        <v>6.9640000000000004</v>
      </c>
      <c r="G664" s="31">
        <v>7.0090000000000003</v>
      </c>
      <c r="H664" s="31">
        <v>7.0910000000000002</v>
      </c>
      <c r="I664" s="31">
        <v>7.109</v>
      </c>
      <c r="K664" s="27"/>
      <c r="L664" s="30"/>
      <c r="M664" s="30"/>
      <c r="N664" s="30"/>
      <c r="O664" s="30"/>
      <c r="P664" s="30"/>
      <c r="Q664" s="30"/>
      <c r="R664" s="30"/>
      <c r="S664" s="30"/>
    </row>
    <row r="665" spans="1:19" x14ac:dyDescent="0.25">
      <c r="A665" s="29">
        <v>44943</v>
      </c>
      <c r="B665" s="31">
        <v>5.8860000000000001</v>
      </c>
      <c r="C665" s="31">
        <v>5.9640000000000004</v>
      </c>
      <c r="D665" s="31">
        <v>6.0410000000000004</v>
      </c>
      <c r="E665" s="31">
        <v>6.8090000000000002</v>
      </c>
      <c r="F665" s="31">
        <v>6.9450000000000003</v>
      </c>
      <c r="G665" s="31">
        <v>6.9909999999999997</v>
      </c>
      <c r="H665" s="31">
        <v>7.0910000000000002</v>
      </c>
      <c r="I665" s="31">
        <v>7.109</v>
      </c>
      <c r="K665" s="27"/>
      <c r="L665" s="30"/>
      <c r="M665" s="30"/>
      <c r="N665" s="30"/>
      <c r="O665" s="30"/>
      <c r="P665" s="30"/>
      <c r="Q665" s="30"/>
      <c r="R665" s="30"/>
      <c r="S665" s="30"/>
    </row>
    <row r="666" spans="1:19" x14ac:dyDescent="0.25">
      <c r="A666" s="29">
        <v>44944</v>
      </c>
      <c r="B666" s="31">
        <v>5.95</v>
      </c>
      <c r="C666" s="31">
        <v>6.0140000000000002</v>
      </c>
      <c r="D666" s="31">
        <v>6.077</v>
      </c>
      <c r="E666" s="31">
        <v>6.8090000000000002</v>
      </c>
      <c r="F666" s="31">
        <v>6.9450000000000003</v>
      </c>
      <c r="G666" s="31">
        <v>6.9909999999999997</v>
      </c>
      <c r="H666" s="31">
        <v>7.0910000000000002</v>
      </c>
      <c r="I666" s="31">
        <v>7.109</v>
      </c>
      <c r="K666" s="27"/>
      <c r="L666" s="30"/>
      <c r="M666" s="30"/>
      <c r="N666" s="30"/>
      <c r="O666" s="30"/>
      <c r="P666" s="30"/>
      <c r="Q666" s="30"/>
      <c r="R666" s="30"/>
      <c r="S666" s="30"/>
    </row>
    <row r="667" spans="1:19" x14ac:dyDescent="0.25">
      <c r="A667" s="29">
        <v>44945</v>
      </c>
      <c r="B667" s="31">
        <v>5.9550000000000001</v>
      </c>
      <c r="C667" s="31">
        <v>6.016</v>
      </c>
      <c r="D667" s="31">
        <v>6.077</v>
      </c>
      <c r="E667" s="31">
        <v>6.9</v>
      </c>
      <c r="F667" s="31">
        <v>6.9640000000000004</v>
      </c>
      <c r="G667" s="31">
        <v>7.0270000000000001</v>
      </c>
      <c r="H667" s="31">
        <v>7.0910000000000002</v>
      </c>
      <c r="I667" s="31">
        <v>7.109</v>
      </c>
      <c r="K667" s="27"/>
      <c r="L667" s="30"/>
      <c r="M667" s="30"/>
      <c r="N667" s="30"/>
      <c r="O667" s="30"/>
      <c r="P667" s="30"/>
      <c r="Q667" s="30"/>
      <c r="R667" s="30"/>
      <c r="S667" s="30"/>
    </row>
    <row r="668" spans="1:19" x14ac:dyDescent="0.25">
      <c r="A668" s="29">
        <v>44953</v>
      </c>
      <c r="B668" s="31">
        <v>5.9640000000000004</v>
      </c>
      <c r="C668" s="31">
        <v>6.0179999999999998</v>
      </c>
      <c r="D668" s="31">
        <v>6.0730000000000004</v>
      </c>
      <c r="E668" s="31">
        <v>6.891</v>
      </c>
      <c r="F668" s="31">
        <v>6.9729999999999999</v>
      </c>
      <c r="G668" s="31">
        <v>7.0449999999999999</v>
      </c>
      <c r="H668" s="31">
        <v>7.109</v>
      </c>
      <c r="I668" s="31">
        <v>7.1269999999999998</v>
      </c>
      <c r="K668" s="27"/>
      <c r="L668" s="30"/>
      <c r="M668" s="30"/>
      <c r="N668" s="30"/>
      <c r="O668" s="30"/>
      <c r="P668" s="30"/>
      <c r="Q668" s="30"/>
      <c r="R668" s="30"/>
      <c r="S668" s="30"/>
    </row>
    <row r="669" spans="1:19" x14ac:dyDescent="0.25">
      <c r="A669" s="29">
        <v>44956</v>
      </c>
      <c r="B669" s="31">
        <v>5.9640000000000004</v>
      </c>
      <c r="C669" s="31">
        <v>6.0179999999999998</v>
      </c>
      <c r="D669" s="31">
        <v>6.0730000000000004</v>
      </c>
      <c r="E669" s="31">
        <v>6.9</v>
      </c>
      <c r="F669" s="31">
        <v>6.9820000000000002</v>
      </c>
      <c r="G669" s="31">
        <v>7.0549999999999997</v>
      </c>
      <c r="H669" s="31">
        <v>7.109</v>
      </c>
      <c r="I669" s="31">
        <v>7.1269999999999998</v>
      </c>
      <c r="K669" s="27"/>
      <c r="L669" s="30"/>
      <c r="M669" s="30"/>
      <c r="N669" s="30"/>
      <c r="O669" s="30"/>
      <c r="P669" s="30"/>
      <c r="Q669" s="30"/>
      <c r="R669" s="30"/>
      <c r="S669" s="30"/>
    </row>
    <row r="670" spans="1:19" x14ac:dyDescent="0.25">
      <c r="A670" s="29">
        <v>44957</v>
      </c>
      <c r="B670" s="31">
        <v>5.9729999999999999</v>
      </c>
      <c r="C670" s="31">
        <v>6.0229999999999997</v>
      </c>
      <c r="D670" s="31">
        <v>6.0730000000000004</v>
      </c>
      <c r="E670" s="31">
        <v>6.9</v>
      </c>
      <c r="F670" s="31">
        <v>6.9820000000000002</v>
      </c>
      <c r="G670" s="31">
        <v>7.0549999999999997</v>
      </c>
      <c r="H670" s="31">
        <v>7.109</v>
      </c>
      <c r="I670" s="31">
        <v>7.1269999999999998</v>
      </c>
      <c r="K670" s="27"/>
      <c r="L670" s="30"/>
      <c r="M670" s="30"/>
      <c r="N670" s="30"/>
      <c r="O670" s="30"/>
      <c r="P670" s="30"/>
      <c r="Q670" s="30"/>
      <c r="R670" s="30"/>
      <c r="S670" s="30"/>
    </row>
    <row r="671" spans="1:19" x14ac:dyDescent="0.25">
      <c r="A671" s="29">
        <v>44958</v>
      </c>
      <c r="B671" s="31">
        <v>5.98</v>
      </c>
      <c r="C671" s="31">
        <v>6.0270000000000001</v>
      </c>
      <c r="D671" s="31">
        <v>6.0750000000000002</v>
      </c>
      <c r="E671" s="31">
        <v>6.9</v>
      </c>
      <c r="F671" s="31">
        <v>6.9820000000000002</v>
      </c>
      <c r="G671" s="31">
        <v>7.0549999999999997</v>
      </c>
      <c r="H671" s="31">
        <v>7.109</v>
      </c>
      <c r="I671" s="31">
        <v>7.1269999999999998</v>
      </c>
      <c r="K671" s="27"/>
      <c r="L671" s="30"/>
      <c r="M671" s="30"/>
      <c r="N671" s="30"/>
      <c r="O671" s="30"/>
      <c r="P671" s="30"/>
      <c r="Q671" s="30"/>
      <c r="R671" s="30"/>
      <c r="S671" s="30"/>
    </row>
    <row r="672" spans="1:19" x14ac:dyDescent="0.25">
      <c r="A672" s="29">
        <v>44959</v>
      </c>
      <c r="B672" s="31">
        <v>5.9749999999999996</v>
      </c>
      <c r="C672" s="31">
        <v>6.0250000000000004</v>
      </c>
      <c r="D672" s="31">
        <v>6.0750000000000002</v>
      </c>
      <c r="E672" s="31">
        <v>6.9</v>
      </c>
      <c r="F672" s="31">
        <v>6.9820000000000002</v>
      </c>
      <c r="G672" s="31">
        <v>7.0549999999999997</v>
      </c>
      <c r="H672" s="31">
        <v>7.109</v>
      </c>
      <c r="I672" s="31">
        <v>7.1269999999999998</v>
      </c>
      <c r="K672" s="27"/>
      <c r="L672" s="30"/>
      <c r="M672" s="30"/>
      <c r="N672" s="30"/>
      <c r="O672" s="30"/>
      <c r="P672" s="30"/>
      <c r="Q672" s="30"/>
      <c r="R672" s="30"/>
      <c r="S672" s="30"/>
    </row>
    <row r="673" spans="1:19" x14ac:dyDescent="0.25">
      <c r="A673" s="29">
        <v>44960</v>
      </c>
      <c r="B673" s="31">
        <v>5.9660000000000002</v>
      </c>
      <c r="C673" s="31">
        <v>6.016</v>
      </c>
      <c r="D673" s="31">
        <v>6.0659999999999998</v>
      </c>
      <c r="E673" s="31">
        <v>6.891</v>
      </c>
      <c r="F673" s="31">
        <v>6.9729999999999999</v>
      </c>
      <c r="G673" s="31">
        <v>7.0449999999999999</v>
      </c>
      <c r="H673" s="31">
        <v>7.1</v>
      </c>
      <c r="I673" s="31">
        <v>7.1180000000000003</v>
      </c>
      <c r="K673" s="27"/>
      <c r="L673" s="30"/>
      <c r="M673" s="30"/>
      <c r="N673" s="30"/>
      <c r="O673" s="30"/>
      <c r="P673" s="30"/>
      <c r="Q673" s="30"/>
      <c r="R673" s="30"/>
      <c r="S673" s="30"/>
    </row>
    <row r="674" spans="1:19" x14ac:dyDescent="0.25">
      <c r="A674" s="29">
        <v>44963</v>
      </c>
      <c r="B674" s="31">
        <v>5.9390000000000001</v>
      </c>
      <c r="C674" s="31">
        <v>5.9889999999999999</v>
      </c>
      <c r="D674" s="31">
        <v>6.0389999999999997</v>
      </c>
      <c r="E674" s="31">
        <v>6.8730000000000002</v>
      </c>
      <c r="F674" s="31">
        <v>6.9729999999999999</v>
      </c>
      <c r="G674" s="31">
        <v>7.0449999999999999</v>
      </c>
      <c r="H674" s="31">
        <v>7.1</v>
      </c>
      <c r="I674" s="31">
        <v>7.1180000000000003</v>
      </c>
      <c r="K674" s="27"/>
      <c r="L674" s="30"/>
      <c r="M674" s="30"/>
      <c r="N674" s="30"/>
      <c r="O674" s="30"/>
      <c r="P674" s="30"/>
      <c r="Q674" s="30"/>
      <c r="R674" s="30"/>
      <c r="S674" s="30"/>
    </row>
    <row r="675" spans="1:19" x14ac:dyDescent="0.25">
      <c r="A675" s="29">
        <v>44964</v>
      </c>
      <c r="B675" s="31">
        <v>5.9180000000000001</v>
      </c>
      <c r="C675" s="31">
        <v>5.9690000000000003</v>
      </c>
      <c r="D675" s="31">
        <v>6.02</v>
      </c>
      <c r="E675" s="31">
        <v>6.8730000000000002</v>
      </c>
      <c r="F675" s="31">
        <v>6.9729999999999999</v>
      </c>
      <c r="G675" s="31">
        <v>7.0449999999999999</v>
      </c>
      <c r="H675" s="31">
        <v>7.1</v>
      </c>
      <c r="I675" s="31">
        <v>7.1180000000000003</v>
      </c>
      <c r="K675" s="27"/>
      <c r="L675" s="30"/>
      <c r="M675" s="30"/>
      <c r="N675" s="30"/>
      <c r="O675" s="30"/>
      <c r="P675" s="30"/>
      <c r="Q675" s="30"/>
      <c r="R675" s="30"/>
      <c r="S675" s="30"/>
    </row>
    <row r="676" spans="1:19" x14ac:dyDescent="0.25">
      <c r="A676" s="29">
        <v>44965</v>
      </c>
      <c r="B676" s="31">
        <v>5.9109999999999996</v>
      </c>
      <c r="C676" s="31">
        <v>5.9589999999999996</v>
      </c>
      <c r="D676" s="31">
        <v>6.0069999999999997</v>
      </c>
      <c r="E676" s="31">
        <v>6.8730000000000002</v>
      </c>
      <c r="F676" s="31">
        <v>6.9729999999999999</v>
      </c>
      <c r="G676" s="31">
        <v>7.0449999999999999</v>
      </c>
      <c r="H676" s="31">
        <v>7.1</v>
      </c>
      <c r="I676" s="31">
        <v>7.1180000000000003</v>
      </c>
      <c r="K676" s="27"/>
      <c r="L676" s="30"/>
      <c r="M676" s="30"/>
      <c r="N676" s="30"/>
      <c r="O676" s="30"/>
      <c r="P676" s="30"/>
      <c r="Q676" s="30"/>
      <c r="R676" s="30"/>
      <c r="S676" s="30"/>
    </row>
    <row r="677" spans="1:19" x14ac:dyDescent="0.25">
      <c r="A677" s="29">
        <v>44966</v>
      </c>
      <c r="B677" s="31">
        <v>5.6909999999999998</v>
      </c>
      <c r="C677" s="31">
        <v>5.7750000000000004</v>
      </c>
      <c r="D677" s="31">
        <v>5.859</v>
      </c>
      <c r="E677" s="31">
        <v>6.8730000000000002</v>
      </c>
      <c r="F677" s="31">
        <v>6.9729999999999999</v>
      </c>
      <c r="G677" s="31">
        <v>7.0449999999999999</v>
      </c>
      <c r="H677" s="31">
        <v>7.1</v>
      </c>
      <c r="I677" s="31">
        <v>7.1180000000000003</v>
      </c>
      <c r="K677" s="27"/>
      <c r="L677" s="30"/>
      <c r="M677" s="30"/>
      <c r="N677" s="30"/>
      <c r="O677" s="30"/>
      <c r="P677" s="30"/>
      <c r="Q677" s="30"/>
      <c r="R677" s="30"/>
      <c r="S677" s="30"/>
    </row>
    <row r="678" spans="1:19" x14ac:dyDescent="0.25">
      <c r="A678" s="29">
        <v>44967</v>
      </c>
      <c r="B678" s="31">
        <v>5.6680000000000001</v>
      </c>
      <c r="C678" s="31">
        <v>5.7549999999999999</v>
      </c>
      <c r="D678" s="31">
        <v>5.8410000000000002</v>
      </c>
      <c r="E678" s="31">
        <v>6.7729999999999997</v>
      </c>
      <c r="F678" s="31">
        <v>6.8639999999999999</v>
      </c>
      <c r="G678" s="31">
        <v>6.9909999999999997</v>
      </c>
      <c r="H678" s="31">
        <v>7.0449999999999999</v>
      </c>
      <c r="I678" s="31">
        <v>7.0640000000000001</v>
      </c>
      <c r="K678" s="27"/>
      <c r="L678" s="30"/>
      <c r="M678" s="30"/>
      <c r="N678" s="30"/>
      <c r="O678" s="30"/>
      <c r="P678" s="30"/>
      <c r="Q678" s="30"/>
      <c r="R678" s="30"/>
      <c r="S678" s="30"/>
    </row>
    <row r="679" spans="1:19" x14ac:dyDescent="0.25">
      <c r="A679" s="29">
        <v>44970</v>
      </c>
      <c r="B679" s="31">
        <v>5.6020000000000003</v>
      </c>
      <c r="C679" s="31">
        <v>5.7130000000000001</v>
      </c>
      <c r="D679" s="31">
        <v>5.8230000000000004</v>
      </c>
      <c r="E679" s="31">
        <v>6.7729999999999997</v>
      </c>
      <c r="F679" s="31">
        <v>6.8639999999999999</v>
      </c>
      <c r="G679" s="31">
        <v>6.9909999999999997</v>
      </c>
      <c r="H679" s="31">
        <v>7.0449999999999999</v>
      </c>
      <c r="I679" s="31">
        <v>7.0640000000000001</v>
      </c>
      <c r="K679" s="27"/>
      <c r="L679" s="30"/>
      <c r="M679" s="30"/>
      <c r="N679" s="30"/>
      <c r="O679" s="30"/>
      <c r="P679" s="30"/>
      <c r="Q679" s="30"/>
      <c r="R679" s="30"/>
      <c r="S679" s="30"/>
    </row>
    <row r="680" spans="1:19" x14ac:dyDescent="0.25">
      <c r="A680" s="29">
        <v>44971</v>
      </c>
      <c r="B680" s="31">
        <v>5.3769999999999998</v>
      </c>
      <c r="C680" s="31">
        <v>5.4820000000000002</v>
      </c>
      <c r="D680" s="31">
        <v>5.5860000000000003</v>
      </c>
      <c r="E680" s="31">
        <v>6.7359999999999998</v>
      </c>
      <c r="F680" s="31">
        <v>6.827</v>
      </c>
      <c r="G680" s="31">
        <v>6.9820000000000002</v>
      </c>
      <c r="H680" s="31">
        <v>7.0449999999999999</v>
      </c>
      <c r="I680" s="31">
        <v>7.0640000000000001</v>
      </c>
      <c r="K680" s="27"/>
      <c r="L680" s="30"/>
      <c r="M680" s="30"/>
      <c r="N680" s="30"/>
      <c r="O680" s="30"/>
      <c r="P680" s="30"/>
      <c r="Q680" s="30"/>
      <c r="R680" s="30"/>
      <c r="S680" s="30"/>
    </row>
    <row r="681" spans="1:19" x14ac:dyDescent="0.25">
      <c r="A681" s="29">
        <v>44972</v>
      </c>
      <c r="B681" s="31">
        <v>5.0270000000000001</v>
      </c>
      <c r="C681" s="31">
        <v>5.2389999999999999</v>
      </c>
      <c r="D681" s="31">
        <v>5.45</v>
      </c>
      <c r="E681" s="31">
        <v>6.7</v>
      </c>
      <c r="F681" s="31">
        <v>6.8360000000000003</v>
      </c>
      <c r="G681" s="31">
        <v>6.9729999999999999</v>
      </c>
      <c r="H681" s="31">
        <v>7.0449999999999999</v>
      </c>
      <c r="I681" s="31">
        <v>7.0640000000000001</v>
      </c>
      <c r="K681" s="27"/>
      <c r="L681" s="30"/>
      <c r="M681" s="30"/>
      <c r="N681" s="30"/>
      <c r="O681" s="30"/>
      <c r="P681" s="30"/>
      <c r="Q681" s="30"/>
      <c r="R681" s="30"/>
      <c r="S681" s="30"/>
    </row>
    <row r="682" spans="1:19" x14ac:dyDescent="0.25">
      <c r="A682" s="29">
        <v>44973</v>
      </c>
      <c r="B682" s="31">
        <v>5.3550000000000004</v>
      </c>
      <c r="C682" s="31">
        <v>5.5069999999999997</v>
      </c>
      <c r="D682" s="31">
        <v>5.6589999999999998</v>
      </c>
      <c r="E682" s="31">
        <v>6.7</v>
      </c>
      <c r="F682" s="31">
        <v>6.8360000000000003</v>
      </c>
      <c r="G682" s="31">
        <v>6.9729999999999999</v>
      </c>
      <c r="H682" s="31">
        <v>7.0449999999999999</v>
      </c>
      <c r="I682" s="31">
        <v>7.0640000000000001</v>
      </c>
      <c r="K682" s="27"/>
      <c r="L682" s="30"/>
      <c r="M682" s="30"/>
      <c r="N682" s="30"/>
      <c r="O682" s="30"/>
      <c r="P682" s="30"/>
      <c r="Q682" s="30"/>
      <c r="R682" s="30"/>
      <c r="S682" s="30"/>
    </row>
    <row r="683" spans="1:19" x14ac:dyDescent="0.25">
      <c r="A683" s="29">
        <v>44974</v>
      </c>
      <c r="B683" s="31">
        <v>5.1769999999999996</v>
      </c>
      <c r="C683" s="31">
        <v>5.3339999999999996</v>
      </c>
      <c r="D683" s="31">
        <v>5.4909999999999997</v>
      </c>
      <c r="E683" s="31">
        <v>6.673</v>
      </c>
      <c r="F683" s="31">
        <v>6.8360000000000003</v>
      </c>
      <c r="G683" s="31">
        <v>6.9550000000000001</v>
      </c>
      <c r="H683" s="31">
        <v>7.0270000000000001</v>
      </c>
      <c r="I683" s="31">
        <v>7.0449999999999999</v>
      </c>
      <c r="K683" s="27"/>
      <c r="L683" s="30"/>
      <c r="M683" s="30"/>
      <c r="N683" s="30"/>
      <c r="O683" s="30"/>
      <c r="P683" s="30"/>
      <c r="Q683" s="30"/>
      <c r="R683" s="30"/>
      <c r="S683" s="30"/>
    </row>
    <row r="684" spans="1:19" x14ac:dyDescent="0.25">
      <c r="A684" s="29">
        <v>44977</v>
      </c>
      <c r="B684" s="31">
        <v>5.15</v>
      </c>
      <c r="C684" s="31">
        <v>5.3</v>
      </c>
      <c r="D684" s="31">
        <v>5.45</v>
      </c>
      <c r="E684" s="31">
        <v>6.6550000000000002</v>
      </c>
      <c r="F684" s="31">
        <v>6.8179999999999996</v>
      </c>
      <c r="G684" s="31">
        <v>6.9359999999999999</v>
      </c>
      <c r="H684" s="31">
        <v>7.0090000000000003</v>
      </c>
      <c r="I684" s="31">
        <v>7.0270000000000001</v>
      </c>
      <c r="K684" s="27"/>
      <c r="L684" s="30"/>
      <c r="M684" s="30"/>
      <c r="N684" s="30"/>
      <c r="O684" s="30"/>
      <c r="P684" s="30"/>
      <c r="Q684" s="30"/>
      <c r="R684" s="30"/>
      <c r="S684" s="30"/>
    </row>
    <row r="685" spans="1:19" x14ac:dyDescent="0.25">
      <c r="A685" s="29">
        <v>44978</v>
      </c>
      <c r="B685" s="31">
        <v>5.173</v>
      </c>
      <c r="C685" s="31">
        <v>5.3250000000000002</v>
      </c>
      <c r="D685" s="31">
        <v>5.4770000000000003</v>
      </c>
      <c r="E685" s="31">
        <v>6.6550000000000002</v>
      </c>
      <c r="F685" s="31">
        <v>6.8179999999999996</v>
      </c>
      <c r="G685" s="31">
        <v>6.9359999999999999</v>
      </c>
      <c r="H685" s="31">
        <v>7.0090000000000003</v>
      </c>
      <c r="I685" s="31">
        <v>7.0270000000000001</v>
      </c>
      <c r="K685" s="27"/>
      <c r="L685" s="30"/>
      <c r="M685" s="30"/>
      <c r="N685" s="30"/>
      <c r="O685" s="30"/>
      <c r="P685" s="30"/>
      <c r="Q685" s="30"/>
      <c r="R685" s="30"/>
      <c r="S685" s="30"/>
    </row>
    <row r="686" spans="1:19" x14ac:dyDescent="0.25">
      <c r="A686" s="29">
        <v>44979</v>
      </c>
      <c r="B686" s="31">
        <v>5.7229999999999999</v>
      </c>
      <c r="C686" s="31">
        <v>5.8609999999999998</v>
      </c>
      <c r="D686" s="31">
        <v>6</v>
      </c>
      <c r="E686" s="31">
        <v>6.7089999999999996</v>
      </c>
      <c r="F686" s="31">
        <v>6.891</v>
      </c>
      <c r="G686" s="31">
        <v>6.9909999999999997</v>
      </c>
      <c r="H686" s="31">
        <v>7.0549999999999997</v>
      </c>
      <c r="I686" s="31">
        <v>7.0730000000000004</v>
      </c>
      <c r="K686" s="27"/>
      <c r="L686" s="30"/>
      <c r="M686" s="30"/>
      <c r="N686" s="30"/>
      <c r="O686" s="30"/>
      <c r="P686" s="30"/>
      <c r="Q686" s="30"/>
      <c r="R686" s="30"/>
      <c r="S686" s="30"/>
    </row>
    <row r="687" spans="1:19" x14ac:dyDescent="0.25">
      <c r="A687" s="29">
        <v>44980</v>
      </c>
      <c r="B687" s="31">
        <v>5.9409999999999998</v>
      </c>
      <c r="C687" s="31">
        <v>6.077</v>
      </c>
      <c r="D687" s="31">
        <v>6.2140000000000004</v>
      </c>
      <c r="E687" s="31">
        <v>6.7089999999999996</v>
      </c>
      <c r="F687" s="31">
        <v>6.8639999999999999</v>
      </c>
      <c r="G687" s="31">
        <v>6.9820000000000002</v>
      </c>
      <c r="H687" s="31">
        <v>7.0549999999999997</v>
      </c>
      <c r="I687" s="31">
        <v>7.0730000000000004</v>
      </c>
      <c r="K687" s="27"/>
      <c r="L687" s="30"/>
      <c r="M687" s="30"/>
      <c r="N687" s="30"/>
      <c r="O687" s="30"/>
      <c r="P687" s="30"/>
      <c r="Q687" s="30"/>
      <c r="R687" s="30"/>
      <c r="S687" s="30"/>
    </row>
    <row r="688" spans="1:19" x14ac:dyDescent="0.25">
      <c r="A688" s="29">
        <v>44981</v>
      </c>
      <c r="B688" s="31">
        <v>5.968</v>
      </c>
      <c r="C688" s="31">
        <v>6.1070000000000002</v>
      </c>
      <c r="D688" s="31">
        <v>6.2450000000000001</v>
      </c>
      <c r="E688" s="31">
        <v>6.718</v>
      </c>
      <c r="F688" s="31">
        <v>6.8639999999999999</v>
      </c>
      <c r="G688" s="31">
        <v>6.9820000000000002</v>
      </c>
      <c r="H688" s="31">
        <v>7.0549999999999997</v>
      </c>
      <c r="I688" s="31">
        <v>7.0730000000000004</v>
      </c>
      <c r="K688" s="27"/>
      <c r="L688" s="30"/>
      <c r="M688" s="30"/>
      <c r="N688" s="30"/>
      <c r="O688" s="30"/>
      <c r="P688" s="30"/>
      <c r="Q688" s="30"/>
      <c r="R688" s="30"/>
      <c r="S688" s="30"/>
    </row>
    <row r="689" spans="1:19" x14ac:dyDescent="0.25">
      <c r="A689" s="29">
        <v>44984</v>
      </c>
      <c r="B689" s="31">
        <v>5.95</v>
      </c>
      <c r="C689" s="31">
        <v>6.0810000000000004</v>
      </c>
      <c r="D689" s="31">
        <v>6.2110000000000003</v>
      </c>
      <c r="E689" s="31">
        <v>6.718</v>
      </c>
      <c r="F689" s="31">
        <v>6.8639999999999999</v>
      </c>
      <c r="G689" s="31">
        <v>6.9820000000000002</v>
      </c>
      <c r="H689" s="31">
        <v>7.0549999999999997</v>
      </c>
      <c r="I689" s="31">
        <v>7.0730000000000004</v>
      </c>
      <c r="K689" s="27"/>
      <c r="L689" s="30"/>
      <c r="M689" s="30"/>
      <c r="N689" s="30"/>
      <c r="O689" s="30"/>
      <c r="P689" s="30"/>
      <c r="Q689" s="30"/>
      <c r="R689" s="30"/>
      <c r="S689" s="30"/>
    </row>
    <row r="690" spans="1:19" x14ac:dyDescent="0.25">
      <c r="A690" s="29">
        <v>44985</v>
      </c>
      <c r="B690" s="31">
        <v>5.9429999999999996</v>
      </c>
      <c r="C690" s="31">
        <v>6.0730000000000004</v>
      </c>
      <c r="D690" s="31">
        <v>6.202</v>
      </c>
      <c r="E690" s="31">
        <v>6.718</v>
      </c>
      <c r="F690" s="31">
        <v>6.8639999999999999</v>
      </c>
      <c r="G690" s="31">
        <v>6.9820000000000002</v>
      </c>
      <c r="H690" s="31">
        <v>7.0549999999999997</v>
      </c>
      <c r="I690" s="31">
        <v>7.0730000000000004</v>
      </c>
      <c r="K690" s="27"/>
      <c r="L690" s="30"/>
      <c r="M690" s="30"/>
      <c r="N690" s="30"/>
      <c r="O690" s="30"/>
      <c r="P690" s="30"/>
      <c r="Q690" s="30"/>
      <c r="R690" s="30"/>
      <c r="S690" s="30"/>
    </row>
    <row r="691" spans="1:19" x14ac:dyDescent="0.25">
      <c r="A691" s="29">
        <v>44986</v>
      </c>
      <c r="B691" s="31">
        <v>5.9450000000000003</v>
      </c>
      <c r="C691" s="31">
        <v>6.0650000000000004</v>
      </c>
      <c r="D691" s="31">
        <v>6.1840000000000002</v>
      </c>
      <c r="E691" s="31">
        <v>6.718</v>
      </c>
      <c r="F691" s="31">
        <v>6.8639999999999999</v>
      </c>
      <c r="G691" s="31">
        <v>6.9820000000000002</v>
      </c>
      <c r="H691" s="31">
        <v>7.0549999999999997</v>
      </c>
      <c r="I691" s="31">
        <v>7.0730000000000004</v>
      </c>
      <c r="K691" s="27"/>
      <c r="L691" s="30"/>
      <c r="M691" s="30"/>
      <c r="N691" s="30"/>
      <c r="O691" s="30"/>
      <c r="P691" s="30"/>
      <c r="Q691" s="30"/>
      <c r="R691" s="30"/>
      <c r="S691" s="30"/>
    </row>
    <row r="692" spans="1:19" x14ac:dyDescent="0.25">
      <c r="A692" s="29">
        <v>44987</v>
      </c>
      <c r="B692" s="31">
        <v>6</v>
      </c>
      <c r="C692" s="31">
        <v>6.1</v>
      </c>
      <c r="D692" s="31">
        <v>6.2</v>
      </c>
      <c r="E692" s="31">
        <v>6.7450000000000001</v>
      </c>
      <c r="F692" s="31">
        <v>6.8819999999999997</v>
      </c>
      <c r="G692" s="31">
        <v>7.0179999999999998</v>
      </c>
      <c r="H692" s="31">
        <v>7.0730000000000004</v>
      </c>
      <c r="I692" s="31">
        <v>7.0910000000000002</v>
      </c>
      <c r="K692" s="27"/>
      <c r="L692" s="30"/>
      <c r="M692" s="30"/>
      <c r="N692" s="30"/>
      <c r="O692" s="30"/>
      <c r="P692" s="30"/>
      <c r="Q692" s="30"/>
      <c r="R692" s="30"/>
      <c r="S692" s="30"/>
    </row>
    <row r="693" spans="1:19" x14ac:dyDescent="0.25">
      <c r="A693" s="29">
        <v>44988</v>
      </c>
      <c r="B693" s="31">
        <v>6.032</v>
      </c>
      <c r="C693" s="31">
        <v>6.1230000000000002</v>
      </c>
      <c r="D693" s="31">
        <v>6.2140000000000004</v>
      </c>
      <c r="E693" s="31">
        <v>6.7450000000000001</v>
      </c>
      <c r="F693" s="31">
        <v>6.8819999999999997</v>
      </c>
      <c r="G693" s="31">
        <v>7.0179999999999998</v>
      </c>
      <c r="H693" s="31">
        <v>7.0730000000000004</v>
      </c>
      <c r="I693" s="31">
        <v>7.0910000000000002</v>
      </c>
      <c r="K693" s="27"/>
      <c r="L693" s="30"/>
      <c r="M693" s="30"/>
      <c r="N693" s="30"/>
      <c r="O693" s="30"/>
      <c r="P693" s="30"/>
      <c r="Q693" s="30"/>
      <c r="R693" s="30"/>
      <c r="S693" s="30"/>
    </row>
    <row r="694" spans="1:19" x14ac:dyDescent="0.25">
      <c r="A694" s="29">
        <v>44991</v>
      </c>
      <c r="B694" s="31">
        <v>6.0549999999999997</v>
      </c>
      <c r="C694" s="31">
        <v>6.13</v>
      </c>
      <c r="D694" s="31">
        <v>6.2050000000000001</v>
      </c>
      <c r="E694" s="31">
        <v>6.75</v>
      </c>
      <c r="F694" s="31">
        <v>6.891</v>
      </c>
      <c r="G694" s="31">
        <v>7.0229999999999997</v>
      </c>
      <c r="H694" s="31">
        <v>7.077</v>
      </c>
      <c r="I694" s="31">
        <v>7.0949999999999998</v>
      </c>
      <c r="K694" s="27"/>
      <c r="L694" s="30"/>
      <c r="M694" s="30"/>
      <c r="N694" s="30"/>
      <c r="O694" s="30"/>
      <c r="P694" s="30"/>
      <c r="Q694" s="30"/>
      <c r="R694" s="30"/>
      <c r="S694" s="30"/>
    </row>
    <row r="695" spans="1:19" x14ac:dyDescent="0.25">
      <c r="A695" s="29">
        <v>44992</v>
      </c>
      <c r="B695" s="31">
        <v>5.968</v>
      </c>
      <c r="C695" s="31">
        <v>6.0759999999999996</v>
      </c>
      <c r="D695" s="31">
        <v>6.1840000000000002</v>
      </c>
      <c r="E695" s="31">
        <v>6.75</v>
      </c>
      <c r="F695" s="31">
        <v>6.891</v>
      </c>
      <c r="G695" s="31">
        <v>7.0229999999999997</v>
      </c>
      <c r="H695" s="31">
        <v>7.077</v>
      </c>
      <c r="I695" s="31">
        <v>7.0949999999999998</v>
      </c>
      <c r="K695" s="27"/>
      <c r="L695" s="30"/>
      <c r="M695" s="30"/>
      <c r="N695" s="30"/>
      <c r="O695" s="30"/>
      <c r="P695" s="30"/>
      <c r="Q695" s="30"/>
      <c r="R695" s="30"/>
      <c r="S695" s="30"/>
    </row>
    <row r="696" spans="1:19" x14ac:dyDescent="0.25">
      <c r="A696" s="29">
        <v>44993</v>
      </c>
      <c r="B696" s="31">
        <v>5.968</v>
      </c>
      <c r="C696" s="31">
        <v>6.0570000000000004</v>
      </c>
      <c r="D696" s="31">
        <v>6.1449999999999996</v>
      </c>
      <c r="E696" s="31">
        <v>6.75</v>
      </c>
      <c r="F696" s="31">
        <v>6.8860000000000001</v>
      </c>
      <c r="G696" s="31">
        <v>7.0229999999999997</v>
      </c>
      <c r="H696" s="31">
        <v>7.077</v>
      </c>
      <c r="I696" s="31">
        <v>7.0949999999999998</v>
      </c>
      <c r="K696" s="27"/>
      <c r="L696" s="30"/>
      <c r="M696" s="30"/>
      <c r="N696" s="30"/>
      <c r="O696" s="30"/>
      <c r="P696" s="30"/>
      <c r="Q696" s="30"/>
      <c r="R696" s="30"/>
      <c r="S696" s="30"/>
    </row>
    <row r="697" spans="1:19" x14ac:dyDescent="0.25">
      <c r="A697" s="29">
        <v>44994</v>
      </c>
      <c r="B697" s="31">
        <v>6.0860000000000003</v>
      </c>
      <c r="C697" s="31">
        <v>6.1379999999999999</v>
      </c>
      <c r="D697" s="31">
        <v>6.1890000000000001</v>
      </c>
      <c r="E697" s="31">
        <v>6.75</v>
      </c>
      <c r="F697" s="31">
        <v>6.8860000000000001</v>
      </c>
      <c r="G697" s="31">
        <v>7.0229999999999997</v>
      </c>
      <c r="H697" s="31">
        <v>7.077</v>
      </c>
      <c r="I697" s="31">
        <v>7.0949999999999998</v>
      </c>
      <c r="K697" s="27"/>
      <c r="L697" s="30"/>
      <c r="M697" s="30"/>
      <c r="N697" s="30"/>
      <c r="O697" s="30"/>
      <c r="P697" s="30"/>
      <c r="Q697" s="30"/>
      <c r="R697" s="30"/>
      <c r="S697" s="30"/>
    </row>
    <row r="698" spans="1:19" x14ac:dyDescent="0.25">
      <c r="A698" s="29">
        <v>44995</v>
      </c>
      <c r="B698" s="31">
        <v>6.0730000000000004</v>
      </c>
      <c r="C698" s="31">
        <v>6.1269999999999998</v>
      </c>
      <c r="D698" s="31">
        <v>6.1820000000000004</v>
      </c>
      <c r="E698" s="31">
        <v>6.75</v>
      </c>
      <c r="F698" s="31">
        <v>6.8860000000000001</v>
      </c>
      <c r="G698" s="31">
        <v>7.0229999999999997</v>
      </c>
      <c r="H698" s="31">
        <v>7.077</v>
      </c>
      <c r="I698" s="31">
        <v>7.0949999999999998</v>
      </c>
      <c r="K698" s="27"/>
      <c r="L698" s="30"/>
      <c r="M698" s="30"/>
      <c r="N698" s="30"/>
      <c r="O698" s="30"/>
      <c r="P698" s="30"/>
      <c r="Q698" s="30"/>
      <c r="R698" s="30"/>
      <c r="S698" s="30"/>
    </row>
    <row r="699" spans="1:19" x14ac:dyDescent="0.25">
      <c r="A699" s="29">
        <v>44998</v>
      </c>
      <c r="B699" s="31">
        <v>6.0359999999999996</v>
      </c>
      <c r="C699" s="31">
        <v>6.1180000000000003</v>
      </c>
      <c r="D699" s="31">
        <v>6.2</v>
      </c>
      <c r="E699" s="31">
        <v>6.75</v>
      </c>
      <c r="F699" s="31">
        <v>6.8860000000000001</v>
      </c>
      <c r="G699" s="31">
        <v>7.0229999999999997</v>
      </c>
      <c r="H699" s="31">
        <v>7.077</v>
      </c>
      <c r="I699" s="31">
        <v>7.0949999999999998</v>
      </c>
      <c r="K699" s="27"/>
      <c r="L699" s="30"/>
      <c r="M699" s="30"/>
      <c r="N699" s="30"/>
      <c r="O699" s="30"/>
      <c r="P699" s="30"/>
      <c r="Q699" s="30"/>
      <c r="R699" s="30"/>
      <c r="S699" s="30"/>
    </row>
    <row r="700" spans="1:19" x14ac:dyDescent="0.25">
      <c r="A700" s="29">
        <v>44999</v>
      </c>
      <c r="B700" s="31">
        <v>5.9180000000000001</v>
      </c>
      <c r="C700" s="31">
        <v>5.9980000000000002</v>
      </c>
      <c r="D700" s="31">
        <v>6.077</v>
      </c>
      <c r="E700" s="31">
        <v>6.75</v>
      </c>
      <c r="F700" s="31">
        <v>6.8860000000000001</v>
      </c>
      <c r="G700" s="31">
        <v>7.0229999999999997</v>
      </c>
      <c r="H700" s="31">
        <v>7.077</v>
      </c>
      <c r="I700" s="31">
        <v>7.0949999999999998</v>
      </c>
      <c r="K700" s="27"/>
      <c r="L700" s="30"/>
      <c r="M700" s="30"/>
      <c r="N700" s="30"/>
      <c r="O700" s="30"/>
      <c r="P700" s="30"/>
      <c r="Q700" s="30"/>
      <c r="R700" s="30"/>
      <c r="S700" s="30"/>
    </row>
    <row r="701" spans="1:19" x14ac:dyDescent="0.25">
      <c r="A701" s="29">
        <v>45000</v>
      </c>
      <c r="B701" s="31">
        <v>5.532</v>
      </c>
      <c r="C701" s="31">
        <v>5.6449999999999996</v>
      </c>
      <c r="D701" s="31">
        <v>5.7590000000000003</v>
      </c>
      <c r="E701" s="31">
        <v>6.7409999999999997</v>
      </c>
      <c r="F701" s="31">
        <v>6.8860000000000001</v>
      </c>
      <c r="G701" s="31">
        <v>7.0229999999999997</v>
      </c>
      <c r="H701" s="31">
        <v>7.077</v>
      </c>
      <c r="I701" s="31">
        <v>7.0949999999999998</v>
      </c>
      <c r="K701" s="27"/>
      <c r="L701" s="30"/>
      <c r="M701" s="30"/>
      <c r="N701" s="30"/>
      <c r="O701" s="30"/>
      <c r="P701" s="30"/>
      <c r="Q701" s="30"/>
      <c r="R701" s="30"/>
      <c r="S701" s="30"/>
    </row>
    <row r="702" spans="1:19" x14ac:dyDescent="0.25">
      <c r="A702" s="29">
        <v>45001</v>
      </c>
      <c r="B702" s="31">
        <v>4.7859999999999996</v>
      </c>
      <c r="C702" s="31">
        <v>5.0179999999999998</v>
      </c>
      <c r="D702" s="31">
        <v>5.25</v>
      </c>
      <c r="E702" s="31">
        <v>6.6139999999999999</v>
      </c>
      <c r="F702" s="31">
        <v>6.7949999999999999</v>
      </c>
      <c r="G702" s="31">
        <v>6.9770000000000003</v>
      </c>
      <c r="H702" s="31">
        <v>7.05</v>
      </c>
      <c r="I702" s="31">
        <v>7.0679999999999996</v>
      </c>
      <c r="K702" s="27"/>
      <c r="L702" s="30"/>
      <c r="M702" s="30"/>
      <c r="N702" s="30"/>
      <c r="O702" s="30"/>
      <c r="P702" s="30"/>
      <c r="Q702" s="30"/>
      <c r="R702" s="30"/>
      <c r="S702" s="30"/>
    </row>
    <row r="703" spans="1:19" x14ac:dyDescent="0.25">
      <c r="A703" s="29">
        <v>45002</v>
      </c>
      <c r="B703" s="31">
        <v>4.2</v>
      </c>
      <c r="C703" s="31">
        <v>4.3819999999999997</v>
      </c>
      <c r="D703" s="31">
        <v>4.5640000000000001</v>
      </c>
      <c r="E703" s="31">
        <v>6.5229999999999997</v>
      </c>
      <c r="F703" s="31">
        <v>6.75</v>
      </c>
      <c r="G703" s="31">
        <v>6.9770000000000003</v>
      </c>
      <c r="H703" s="31">
        <v>7.05</v>
      </c>
      <c r="I703" s="31">
        <v>7.0679999999999996</v>
      </c>
      <c r="K703" s="27"/>
      <c r="L703" s="30"/>
      <c r="M703" s="30"/>
      <c r="N703" s="30"/>
      <c r="O703" s="30"/>
      <c r="P703" s="30"/>
      <c r="Q703" s="30"/>
      <c r="R703" s="30"/>
      <c r="S703" s="30"/>
    </row>
    <row r="704" spans="1:19" x14ac:dyDescent="0.25">
      <c r="A704" s="29">
        <v>45005</v>
      </c>
      <c r="B704" s="31">
        <v>3.7229999999999999</v>
      </c>
      <c r="C704" s="31">
        <v>3.855</v>
      </c>
      <c r="D704" s="31">
        <v>3.9860000000000002</v>
      </c>
      <c r="E704" s="31">
        <v>6.1769999999999996</v>
      </c>
      <c r="F704" s="31">
        <v>6.5590000000000002</v>
      </c>
      <c r="G704" s="31">
        <v>6.8949999999999996</v>
      </c>
      <c r="H704" s="31">
        <v>7.0049999999999999</v>
      </c>
      <c r="I704" s="31">
        <v>7.05</v>
      </c>
      <c r="K704" s="27"/>
      <c r="L704" s="30"/>
      <c r="M704" s="30"/>
      <c r="N704" s="30"/>
      <c r="O704" s="30"/>
      <c r="P704" s="30"/>
      <c r="Q704" s="30"/>
      <c r="R704" s="30"/>
      <c r="S704" s="30"/>
    </row>
    <row r="705" spans="1:19" x14ac:dyDescent="0.25">
      <c r="A705" s="29">
        <v>45006</v>
      </c>
      <c r="B705" s="31">
        <v>3.1320000000000001</v>
      </c>
      <c r="C705" s="31">
        <v>3.4430000000000001</v>
      </c>
      <c r="D705" s="31">
        <v>3.7549999999999999</v>
      </c>
      <c r="E705" s="31">
        <v>5.7409999999999997</v>
      </c>
      <c r="F705" s="31">
        <v>6.2229999999999999</v>
      </c>
      <c r="G705" s="31">
        <v>6.8319999999999999</v>
      </c>
      <c r="H705" s="31">
        <v>6.9320000000000004</v>
      </c>
      <c r="I705" s="31">
        <v>7.0229999999999997</v>
      </c>
      <c r="K705" s="27"/>
      <c r="L705" s="30"/>
      <c r="M705" s="30"/>
      <c r="N705" s="30"/>
      <c r="O705" s="30"/>
      <c r="P705" s="30"/>
      <c r="Q705" s="30"/>
      <c r="R705" s="30"/>
      <c r="S705" s="30"/>
    </row>
    <row r="706" spans="1:19" x14ac:dyDescent="0.25">
      <c r="A706" s="29">
        <v>45007</v>
      </c>
      <c r="B706" s="31">
        <v>2.9319999999999999</v>
      </c>
      <c r="C706" s="31">
        <v>3.3090000000000002</v>
      </c>
      <c r="D706" s="31">
        <v>3.6859999999999999</v>
      </c>
      <c r="E706" s="31">
        <v>5.7590000000000003</v>
      </c>
      <c r="F706" s="31">
        <v>6.1909999999999998</v>
      </c>
      <c r="G706" s="31">
        <v>6.8140000000000001</v>
      </c>
      <c r="H706" s="31">
        <v>6.9139999999999997</v>
      </c>
      <c r="I706" s="31">
        <v>7.0049999999999999</v>
      </c>
      <c r="K706" s="27"/>
      <c r="L706" s="30"/>
      <c r="M706" s="30"/>
      <c r="N706" s="30"/>
      <c r="O706" s="30"/>
      <c r="P706" s="30"/>
      <c r="Q706" s="30"/>
      <c r="R706" s="30"/>
      <c r="S706" s="30"/>
    </row>
    <row r="707" spans="1:19" x14ac:dyDescent="0.25">
      <c r="A707" s="29">
        <v>45008</v>
      </c>
      <c r="B707" s="31">
        <v>2.8929999999999998</v>
      </c>
      <c r="C707" s="31">
        <v>3.28</v>
      </c>
      <c r="D707" s="31">
        <v>3.6659999999999999</v>
      </c>
      <c r="E707" s="31">
        <v>5.7140000000000004</v>
      </c>
      <c r="F707" s="31">
        <v>6.1909999999999998</v>
      </c>
      <c r="G707" s="31">
        <v>6.8140000000000001</v>
      </c>
      <c r="H707" s="31">
        <v>6.9139999999999997</v>
      </c>
      <c r="I707" s="31">
        <v>7.0049999999999999</v>
      </c>
      <c r="K707" s="27"/>
      <c r="L707" s="30"/>
      <c r="M707" s="30"/>
      <c r="N707" s="30"/>
      <c r="O707" s="30"/>
      <c r="P707" s="30"/>
      <c r="Q707" s="30"/>
      <c r="R707" s="30"/>
      <c r="S707" s="30"/>
    </row>
    <row r="708" spans="1:19" x14ac:dyDescent="0.25">
      <c r="A708" s="29">
        <v>45009</v>
      </c>
      <c r="B708" s="31">
        <v>2.8359999999999999</v>
      </c>
      <c r="C708" s="31">
        <v>3.238</v>
      </c>
      <c r="D708" s="31">
        <v>3.6389999999999998</v>
      </c>
      <c r="E708" s="31">
        <v>5.673</v>
      </c>
      <c r="F708" s="31">
        <v>6.1449999999999996</v>
      </c>
      <c r="G708" s="31">
        <v>6.8140000000000001</v>
      </c>
      <c r="H708" s="31">
        <v>6.9139999999999997</v>
      </c>
      <c r="I708" s="31">
        <v>7.0049999999999999</v>
      </c>
      <c r="K708" s="27"/>
      <c r="L708" s="30"/>
      <c r="M708" s="30"/>
      <c r="N708" s="30"/>
      <c r="O708" s="30"/>
      <c r="P708" s="30"/>
      <c r="Q708" s="30"/>
      <c r="R708" s="30"/>
      <c r="S708" s="30"/>
    </row>
    <row r="709" spans="1:19" x14ac:dyDescent="0.25">
      <c r="A709" s="29">
        <v>45012</v>
      </c>
      <c r="B709" s="31">
        <v>2.65</v>
      </c>
      <c r="C709" s="31">
        <v>3.0609999999999999</v>
      </c>
      <c r="D709" s="31">
        <v>3.4729999999999999</v>
      </c>
      <c r="E709" s="31">
        <v>5.673</v>
      </c>
      <c r="F709" s="31">
        <v>6.1449999999999996</v>
      </c>
      <c r="G709" s="31">
        <v>6.8140000000000001</v>
      </c>
      <c r="H709" s="31">
        <v>6.9139999999999997</v>
      </c>
      <c r="I709" s="31">
        <v>7.0049999999999999</v>
      </c>
      <c r="K709" s="27"/>
      <c r="L709" s="30"/>
      <c r="M709" s="30"/>
      <c r="N709" s="30"/>
      <c r="O709" s="30"/>
      <c r="P709" s="30"/>
      <c r="Q709" s="30"/>
      <c r="R709" s="30"/>
      <c r="S709" s="30"/>
    </row>
    <row r="710" spans="1:19" x14ac:dyDescent="0.25">
      <c r="A710" s="29">
        <v>45013</v>
      </c>
      <c r="B710" s="31">
        <v>2.5680000000000001</v>
      </c>
      <c r="C710" s="31">
        <v>3.0179999999999998</v>
      </c>
      <c r="D710" s="31">
        <v>3.468</v>
      </c>
      <c r="E710" s="31">
        <v>5.6269999999999998</v>
      </c>
      <c r="F710" s="31">
        <v>6.141</v>
      </c>
      <c r="G710" s="31">
        <v>6.7910000000000004</v>
      </c>
      <c r="H710" s="31">
        <v>6.9139999999999997</v>
      </c>
      <c r="I710" s="31">
        <v>7.0049999999999999</v>
      </c>
      <c r="K710" s="27"/>
      <c r="L710" s="30"/>
      <c r="M710" s="30"/>
      <c r="N710" s="30"/>
      <c r="O710" s="30"/>
      <c r="P710" s="30"/>
      <c r="Q710" s="30"/>
      <c r="R710" s="30"/>
      <c r="S710" s="30"/>
    </row>
    <row r="711" spans="1:19" x14ac:dyDescent="0.25">
      <c r="A711" s="29">
        <v>45014</v>
      </c>
      <c r="B711" s="31">
        <v>2.5230000000000001</v>
      </c>
      <c r="C711" s="31">
        <v>2.992</v>
      </c>
      <c r="D711" s="31">
        <v>3.4609999999999999</v>
      </c>
      <c r="E711" s="31">
        <v>5.6139999999999999</v>
      </c>
      <c r="F711" s="31">
        <v>6.1180000000000003</v>
      </c>
      <c r="G711" s="31">
        <v>6.7859999999999996</v>
      </c>
      <c r="H711" s="31">
        <v>6.9139999999999997</v>
      </c>
      <c r="I711" s="31">
        <v>7.0049999999999999</v>
      </c>
      <c r="K711" s="27"/>
      <c r="L711" s="30"/>
      <c r="M711" s="30"/>
      <c r="N711" s="30"/>
      <c r="O711" s="30"/>
      <c r="P711" s="30"/>
      <c r="Q711" s="30"/>
      <c r="R711" s="30"/>
      <c r="S711" s="30"/>
    </row>
    <row r="712" spans="1:19" x14ac:dyDescent="0.25">
      <c r="A712" s="29">
        <v>45015</v>
      </c>
      <c r="B712" s="31">
        <v>2.5249999999999999</v>
      </c>
      <c r="C712" s="31">
        <v>2.992</v>
      </c>
      <c r="D712" s="31">
        <v>3.4590000000000001</v>
      </c>
      <c r="E712" s="31">
        <v>5.5679999999999996</v>
      </c>
      <c r="F712" s="31">
        <v>6.0270000000000001</v>
      </c>
      <c r="G712" s="31">
        <v>6.7859999999999996</v>
      </c>
      <c r="H712" s="31">
        <v>6.9139999999999997</v>
      </c>
      <c r="I712" s="31">
        <v>7.0049999999999999</v>
      </c>
      <c r="K712" s="27"/>
      <c r="L712" s="30"/>
      <c r="M712" s="30"/>
      <c r="N712" s="30"/>
      <c r="O712" s="30"/>
      <c r="P712" s="30"/>
      <c r="Q712" s="30"/>
      <c r="R712" s="30"/>
      <c r="S712" s="30"/>
    </row>
    <row r="713" spans="1:19" x14ac:dyDescent="0.25">
      <c r="A713" s="29">
        <v>45016</v>
      </c>
      <c r="B713" s="31">
        <v>2.5680000000000001</v>
      </c>
      <c r="C713" s="31">
        <v>3.0259999999999998</v>
      </c>
      <c r="D713" s="31">
        <v>3.484</v>
      </c>
      <c r="E713" s="31">
        <v>5.5679999999999996</v>
      </c>
      <c r="F713" s="31">
        <v>6.0270000000000001</v>
      </c>
      <c r="G713" s="31">
        <v>6.7859999999999996</v>
      </c>
      <c r="H713" s="31">
        <v>6.9139999999999997</v>
      </c>
      <c r="I713" s="31">
        <v>7.0049999999999999</v>
      </c>
      <c r="K713" s="27"/>
      <c r="L713" s="30"/>
      <c r="M713" s="30"/>
      <c r="N713" s="30"/>
      <c r="O713" s="30"/>
      <c r="P713" s="30"/>
      <c r="Q713" s="30"/>
      <c r="R713" s="30"/>
      <c r="S713" s="30"/>
    </row>
    <row r="714" spans="1:19" x14ac:dyDescent="0.25">
      <c r="A714" s="29">
        <v>45019</v>
      </c>
      <c r="B714" s="31">
        <v>2.8479999999999999</v>
      </c>
      <c r="C714" s="31">
        <v>3.2559999999999998</v>
      </c>
      <c r="D714" s="31">
        <v>3.6640000000000001</v>
      </c>
      <c r="E714" s="31">
        <v>5.5679999999999996</v>
      </c>
      <c r="F714" s="31">
        <v>5.9820000000000002</v>
      </c>
      <c r="G714" s="31">
        <v>6.7409999999999997</v>
      </c>
      <c r="H714" s="31">
        <v>6.8680000000000003</v>
      </c>
      <c r="I714" s="31">
        <v>6.9589999999999996</v>
      </c>
      <c r="K714" s="27"/>
      <c r="L714" s="30"/>
      <c r="M714" s="30"/>
      <c r="N714" s="30"/>
      <c r="O714" s="30"/>
      <c r="P714" s="30"/>
      <c r="Q714" s="30"/>
      <c r="R714" s="30"/>
      <c r="S714" s="30"/>
    </row>
    <row r="715" spans="1:19" x14ac:dyDescent="0.25">
      <c r="A715" s="29">
        <v>45020</v>
      </c>
      <c r="B715" s="31">
        <v>2.8639999999999999</v>
      </c>
      <c r="C715" s="31">
        <v>3.2549999999999999</v>
      </c>
      <c r="D715" s="31">
        <v>3.645</v>
      </c>
      <c r="E715" s="31">
        <v>5.4950000000000001</v>
      </c>
      <c r="F715" s="31">
        <v>5.9180000000000001</v>
      </c>
      <c r="G715" s="31">
        <v>6.6769999999999996</v>
      </c>
      <c r="H715" s="31">
        <v>6.7949999999999999</v>
      </c>
      <c r="I715" s="31">
        <v>6.9139999999999997</v>
      </c>
      <c r="K715" s="27"/>
      <c r="L715" s="30"/>
      <c r="M715" s="30"/>
      <c r="N715" s="30"/>
      <c r="O715" s="30"/>
      <c r="P715" s="30"/>
      <c r="Q715" s="30"/>
      <c r="R715" s="30"/>
      <c r="S715" s="30"/>
    </row>
    <row r="716" spans="1:19" x14ac:dyDescent="0.25">
      <c r="A716" s="29">
        <v>45021</v>
      </c>
      <c r="B716" s="31">
        <v>3.3319999999999999</v>
      </c>
      <c r="C716" s="31">
        <v>3.6339999999999999</v>
      </c>
      <c r="D716" s="31">
        <v>3.9359999999999999</v>
      </c>
      <c r="E716" s="31">
        <v>5.3</v>
      </c>
      <c r="F716" s="31">
        <v>5.827</v>
      </c>
      <c r="G716" s="31">
        <v>6.5860000000000003</v>
      </c>
      <c r="H716" s="31">
        <v>6.7050000000000001</v>
      </c>
      <c r="I716" s="31">
        <v>6.8230000000000004</v>
      </c>
      <c r="K716" s="27"/>
      <c r="L716" s="30"/>
      <c r="M716" s="30"/>
      <c r="N716" s="30"/>
      <c r="O716" s="30"/>
      <c r="P716" s="30"/>
      <c r="Q716" s="30"/>
      <c r="R716" s="30"/>
      <c r="S716" s="30"/>
    </row>
    <row r="717" spans="1:19" x14ac:dyDescent="0.25">
      <c r="A717" s="29">
        <v>45022</v>
      </c>
      <c r="B717" s="31">
        <v>4.6269999999999998</v>
      </c>
      <c r="C717" s="31">
        <v>4.702</v>
      </c>
      <c r="D717" s="31">
        <v>4.7770000000000001</v>
      </c>
      <c r="E717" s="31">
        <v>5.3550000000000004</v>
      </c>
      <c r="F717" s="31">
        <v>5.8730000000000002</v>
      </c>
      <c r="G717" s="31">
        <v>6.6139999999999999</v>
      </c>
      <c r="H717" s="31">
        <v>6.7770000000000001</v>
      </c>
      <c r="I717" s="31">
        <v>6.9139999999999997</v>
      </c>
      <c r="K717" s="27"/>
      <c r="L717" s="30"/>
      <c r="M717" s="30"/>
      <c r="N717" s="30"/>
      <c r="O717" s="30"/>
      <c r="P717" s="30"/>
      <c r="Q717" s="30"/>
      <c r="R717" s="30"/>
      <c r="S717" s="30"/>
    </row>
    <row r="718" spans="1:19" x14ac:dyDescent="0.25">
      <c r="A718" s="29">
        <v>45023</v>
      </c>
      <c r="B718" s="31">
        <v>4.8410000000000002</v>
      </c>
      <c r="C718" s="31">
        <v>4.8730000000000002</v>
      </c>
      <c r="D718" s="31">
        <v>4.9050000000000002</v>
      </c>
      <c r="E718" s="31">
        <v>5.4359999999999999</v>
      </c>
      <c r="F718" s="31">
        <v>5.8730000000000002</v>
      </c>
      <c r="G718" s="31">
        <v>6.6139999999999999</v>
      </c>
      <c r="H718" s="31">
        <v>6.7770000000000001</v>
      </c>
      <c r="I718" s="31">
        <v>6.9139999999999997</v>
      </c>
      <c r="K718" s="27"/>
      <c r="L718" s="30"/>
      <c r="M718" s="30"/>
      <c r="N718" s="30"/>
      <c r="O718" s="30"/>
      <c r="P718" s="30"/>
      <c r="Q718" s="30"/>
      <c r="R718" s="30"/>
      <c r="S718" s="30"/>
    </row>
    <row r="719" spans="1:19" x14ac:dyDescent="0.25">
      <c r="A719" s="29">
        <v>45026</v>
      </c>
      <c r="B719" s="31">
        <v>4.907</v>
      </c>
      <c r="C719" s="31">
        <v>4.9139999999999997</v>
      </c>
      <c r="D719" s="31">
        <v>4.92</v>
      </c>
      <c r="E719" s="31">
        <v>5.3730000000000002</v>
      </c>
      <c r="F719" s="31">
        <v>5.8</v>
      </c>
      <c r="G719" s="31">
        <v>6.5679999999999996</v>
      </c>
      <c r="H719" s="31">
        <v>6.75</v>
      </c>
      <c r="I719" s="31">
        <v>6.968</v>
      </c>
      <c r="K719" s="27"/>
      <c r="L719" s="30"/>
      <c r="M719" s="30"/>
      <c r="N719" s="30"/>
      <c r="O719" s="30"/>
      <c r="P719" s="30"/>
      <c r="Q719" s="30"/>
      <c r="R719" s="30"/>
      <c r="S719" s="30"/>
    </row>
    <row r="720" spans="1:19" x14ac:dyDescent="0.25">
      <c r="A720" s="29">
        <v>45027</v>
      </c>
      <c r="B720" s="31">
        <v>4.8570000000000002</v>
      </c>
      <c r="C720" s="31">
        <v>4.8920000000000003</v>
      </c>
      <c r="D720" s="31">
        <v>4.9269999999999996</v>
      </c>
      <c r="E720" s="31">
        <v>5.391</v>
      </c>
      <c r="F720" s="31">
        <v>5.8</v>
      </c>
      <c r="G720" s="31">
        <v>6.5679999999999996</v>
      </c>
      <c r="H720" s="31">
        <v>6.75</v>
      </c>
      <c r="I720" s="31">
        <v>6.8949999999999996</v>
      </c>
      <c r="K720" s="27"/>
      <c r="L720" s="30"/>
      <c r="M720" s="30"/>
      <c r="N720" s="30"/>
      <c r="O720" s="30"/>
      <c r="P720" s="30"/>
      <c r="Q720" s="30"/>
      <c r="R720" s="30"/>
      <c r="S720" s="30"/>
    </row>
    <row r="721" spans="1:19" x14ac:dyDescent="0.25">
      <c r="A721" s="29">
        <v>45028</v>
      </c>
      <c r="B721" s="31">
        <v>4.97</v>
      </c>
      <c r="C721" s="31">
        <v>4.9859999999999998</v>
      </c>
      <c r="D721" s="31">
        <v>5.0019999999999998</v>
      </c>
      <c r="E721" s="31">
        <v>5.391</v>
      </c>
      <c r="F721" s="31">
        <v>5.8</v>
      </c>
      <c r="G721" s="31">
        <v>6.5679999999999996</v>
      </c>
      <c r="H721" s="31">
        <v>6.75</v>
      </c>
      <c r="I721" s="31">
        <v>6.8949999999999996</v>
      </c>
      <c r="K721" s="27"/>
      <c r="L721" s="30"/>
      <c r="M721" s="30"/>
      <c r="N721" s="30"/>
      <c r="O721" s="30"/>
      <c r="P721" s="30"/>
      <c r="Q721" s="30"/>
      <c r="R721" s="30"/>
      <c r="S721" s="30"/>
    </row>
    <row r="722" spans="1:19" x14ac:dyDescent="0.25">
      <c r="A722" s="29">
        <v>45029</v>
      </c>
      <c r="B722" s="31">
        <v>5.0410000000000004</v>
      </c>
      <c r="C722" s="31">
        <v>5.0430000000000001</v>
      </c>
      <c r="D722" s="31">
        <v>5.0449999999999999</v>
      </c>
      <c r="E722" s="31">
        <v>5.4089999999999998</v>
      </c>
      <c r="F722" s="31">
        <v>5.827</v>
      </c>
      <c r="G722" s="31">
        <v>6.5949999999999998</v>
      </c>
      <c r="H722" s="31">
        <v>6.7679999999999998</v>
      </c>
      <c r="I722" s="31">
        <v>6.9050000000000002</v>
      </c>
      <c r="K722" s="27"/>
      <c r="L722" s="30"/>
      <c r="M722" s="30"/>
      <c r="N722" s="30"/>
      <c r="O722" s="30"/>
      <c r="P722" s="30"/>
      <c r="Q722" s="30"/>
      <c r="R722" s="30"/>
      <c r="S722" s="30"/>
    </row>
    <row r="723" spans="1:19" x14ac:dyDescent="0.25">
      <c r="A723" s="29">
        <v>45030</v>
      </c>
      <c r="B723" s="31">
        <v>5.109</v>
      </c>
      <c r="C723" s="31">
        <v>5.1070000000000002</v>
      </c>
      <c r="D723" s="31">
        <v>5.1050000000000004</v>
      </c>
      <c r="E723" s="31">
        <v>5.4359999999999999</v>
      </c>
      <c r="F723" s="31">
        <v>5.827</v>
      </c>
      <c r="G723" s="31">
        <v>6.5949999999999998</v>
      </c>
      <c r="H723" s="31">
        <v>6.7679999999999998</v>
      </c>
      <c r="I723" s="31">
        <v>6.9050000000000002</v>
      </c>
      <c r="K723" s="27"/>
      <c r="L723" s="30"/>
      <c r="M723" s="30"/>
      <c r="N723" s="30"/>
      <c r="O723" s="30"/>
      <c r="P723" s="30"/>
      <c r="Q723" s="30"/>
      <c r="R723" s="30"/>
      <c r="S723" s="30"/>
    </row>
    <row r="724" spans="1:19" x14ac:dyDescent="0.25">
      <c r="A724" s="29">
        <v>45033</v>
      </c>
      <c r="B724" s="31">
        <v>5.0590000000000002</v>
      </c>
      <c r="C724" s="31">
        <v>5.0730000000000004</v>
      </c>
      <c r="D724" s="31">
        <v>5.0860000000000003</v>
      </c>
      <c r="E724" s="31">
        <v>5.4359999999999999</v>
      </c>
      <c r="F724" s="31">
        <v>5.6950000000000003</v>
      </c>
      <c r="G724" s="31">
        <v>6.4550000000000001</v>
      </c>
      <c r="H724" s="31">
        <v>6.7679999999999998</v>
      </c>
      <c r="I724" s="31">
        <v>6.9050000000000002</v>
      </c>
      <c r="K724" s="27"/>
      <c r="L724" s="30"/>
      <c r="M724" s="30"/>
      <c r="N724" s="30"/>
      <c r="O724" s="30"/>
      <c r="P724" s="30"/>
      <c r="Q724" s="30"/>
      <c r="R724" s="30"/>
      <c r="S724" s="30"/>
    </row>
    <row r="725" spans="1:19" x14ac:dyDescent="0.25">
      <c r="A725" s="29">
        <v>45034</v>
      </c>
      <c r="B725" s="31">
        <v>5</v>
      </c>
      <c r="C725" s="31">
        <v>5.0339999999999998</v>
      </c>
      <c r="D725" s="31">
        <v>5.0679999999999996</v>
      </c>
      <c r="E725" s="31">
        <v>5.4359999999999999</v>
      </c>
      <c r="F725" s="31">
        <v>5.6950000000000003</v>
      </c>
      <c r="G725" s="31">
        <v>6.4550000000000001</v>
      </c>
      <c r="H725" s="31">
        <v>6.7679999999999998</v>
      </c>
      <c r="I725" s="31">
        <v>6.9050000000000002</v>
      </c>
      <c r="K725" s="27"/>
      <c r="L725" s="30"/>
      <c r="M725" s="30"/>
      <c r="N725" s="30"/>
      <c r="O725" s="30"/>
      <c r="P725" s="30"/>
      <c r="Q725" s="30"/>
      <c r="R725" s="30"/>
      <c r="S725" s="30"/>
    </row>
    <row r="726" spans="1:19" x14ac:dyDescent="0.25">
      <c r="A726" s="29">
        <v>45035</v>
      </c>
      <c r="B726" s="31">
        <v>4.548</v>
      </c>
      <c r="C726" s="31">
        <v>4.6070000000000002</v>
      </c>
      <c r="D726" s="31">
        <v>4.6660000000000004</v>
      </c>
      <c r="E726" s="31">
        <v>5.4359999999999999</v>
      </c>
      <c r="F726" s="31">
        <v>5.6950000000000003</v>
      </c>
      <c r="G726" s="31">
        <v>6.4089999999999998</v>
      </c>
      <c r="H726" s="31">
        <v>6.7450000000000001</v>
      </c>
      <c r="I726" s="31">
        <v>6.8819999999999997</v>
      </c>
      <c r="K726" s="27"/>
      <c r="L726" s="30"/>
      <c r="M726" s="30"/>
      <c r="N726" s="30"/>
      <c r="O726" s="30"/>
      <c r="P726" s="30"/>
      <c r="Q726" s="30"/>
      <c r="R726" s="30"/>
      <c r="S726" s="30"/>
    </row>
    <row r="727" spans="1:19" x14ac:dyDescent="0.25">
      <c r="A727" s="29">
        <v>45036</v>
      </c>
      <c r="B727" s="31">
        <v>4.0999999999999996</v>
      </c>
      <c r="C727" s="31">
        <v>4.2679999999999998</v>
      </c>
      <c r="D727" s="31">
        <v>4.4359999999999999</v>
      </c>
      <c r="E727" s="31">
        <v>5.4180000000000001</v>
      </c>
      <c r="F727" s="31">
        <v>5.6950000000000003</v>
      </c>
      <c r="G727" s="31">
        <v>6.4089999999999998</v>
      </c>
      <c r="H727" s="31">
        <v>6.7450000000000001</v>
      </c>
      <c r="I727" s="31">
        <v>6.8819999999999997</v>
      </c>
      <c r="K727" s="27"/>
      <c r="L727" s="30"/>
      <c r="M727" s="30"/>
      <c r="N727" s="30"/>
      <c r="O727" s="30"/>
      <c r="P727" s="30"/>
      <c r="Q727" s="30"/>
      <c r="R727" s="30"/>
      <c r="S727" s="30"/>
    </row>
    <row r="728" spans="1:19" x14ac:dyDescent="0.25">
      <c r="A728" s="29">
        <v>45037</v>
      </c>
      <c r="B728" s="31">
        <v>3.9319999999999999</v>
      </c>
      <c r="C728" s="31">
        <v>4.0750000000000002</v>
      </c>
      <c r="D728" s="31">
        <v>4.218</v>
      </c>
      <c r="E728" s="31">
        <v>5.4180000000000001</v>
      </c>
      <c r="F728" s="31">
        <v>5.6950000000000003</v>
      </c>
      <c r="G728" s="31">
        <v>6.4089999999999998</v>
      </c>
      <c r="H728" s="31">
        <v>6.7450000000000001</v>
      </c>
      <c r="I728" s="31">
        <v>6.8819999999999997</v>
      </c>
      <c r="K728" s="27"/>
      <c r="L728" s="30"/>
      <c r="M728" s="30"/>
      <c r="N728" s="30"/>
      <c r="O728" s="30"/>
      <c r="P728" s="30"/>
      <c r="Q728" s="30"/>
      <c r="R728" s="30"/>
      <c r="S728" s="30"/>
    </row>
    <row r="729" spans="1:19" x14ac:dyDescent="0.25">
      <c r="A729" s="29">
        <v>45040</v>
      </c>
      <c r="B729" s="31">
        <v>4.3159999999999998</v>
      </c>
      <c r="C729" s="31">
        <v>4.4340000000000002</v>
      </c>
      <c r="D729" s="31">
        <v>4.5519999999999996</v>
      </c>
      <c r="E729" s="31">
        <v>5.4</v>
      </c>
      <c r="F729" s="31">
        <v>5.65</v>
      </c>
      <c r="G729" s="31">
        <v>6.327</v>
      </c>
      <c r="H729" s="31">
        <v>6.6550000000000002</v>
      </c>
      <c r="I729" s="31">
        <v>6.8179999999999996</v>
      </c>
      <c r="K729" s="27"/>
      <c r="L729" s="30"/>
      <c r="M729" s="30"/>
      <c r="N729" s="30"/>
      <c r="O729" s="30"/>
      <c r="P729" s="30"/>
      <c r="Q729" s="30"/>
      <c r="R729" s="30"/>
      <c r="S729" s="30"/>
    </row>
    <row r="730" spans="1:19" x14ac:dyDescent="0.25">
      <c r="A730" s="29">
        <v>45041</v>
      </c>
      <c r="B730" s="31">
        <v>5.0679999999999996</v>
      </c>
      <c r="C730" s="31">
        <v>5.0730000000000004</v>
      </c>
      <c r="D730" s="31">
        <v>5.077</v>
      </c>
      <c r="E730" s="31">
        <v>5.4909999999999997</v>
      </c>
      <c r="F730" s="31">
        <v>5.7359999999999998</v>
      </c>
      <c r="G730" s="31">
        <v>6.3639999999999999</v>
      </c>
      <c r="H730" s="31">
        <v>6.6550000000000002</v>
      </c>
      <c r="I730" s="31">
        <v>6.8179999999999996</v>
      </c>
      <c r="K730" s="27"/>
      <c r="L730" s="30"/>
      <c r="M730" s="30"/>
      <c r="N730" s="30"/>
      <c r="O730" s="30"/>
      <c r="P730" s="30"/>
      <c r="Q730" s="30"/>
      <c r="R730" s="30"/>
      <c r="S730" s="30"/>
    </row>
    <row r="731" spans="1:19" x14ac:dyDescent="0.25">
      <c r="A731" s="29">
        <v>45042</v>
      </c>
      <c r="B731" s="31">
        <v>4.8</v>
      </c>
      <c r="C731" s="31">
        <v>4.827</v>
      </c>
      <c r="D731" s="31">
        <v>4.8550000000000004</v>
      </c>
      <c r="E731" s="31">
        <v>5.4909999999999997</v>
      </c>
      <c r="F731" s="31">
        <v>5.7359999999999998</v>
      </c>
      <c r="G731" s="31">
        <v>6.3639999999999999</v>
      </c>
      <c r="H731" s="31">
        <v>6.6550000000000002</v>
      </c>
      <c r="I731" s="31">
        <v>6.8179999999999996</v>
      </c>
      <c r="K731" s="27"/>
      <c r="L731" s="30"/>
      <c r="M731" s="30"/>
      <c r="N731" s="30"/>
      <c r="O731" s="30"/>
      <c r="P731" s="30"/>
      <c r="Q731" s="30"/>
      <c r="R731" s="30"/>
      <c r="S731" s="30"/>
    </row>
    <row r="732" spans="1:19" x14ac:dyDescent="0.25">
      <c r="A732" s="29">
        <v>45043</v>
      </c>
      <c r="B732" s="31">
        <v>4.4550000000000001</v>
      </c>
      <c r="C732" s="31">
        <v>4.5270000000000001</v>
      </c>
      <c r="D732" s="31">
        <v>4.5999999999999996</v>
      </c>
      <c r="E732" s="31">
        <v>5.4909999999999997</v>
      </c>
      <c r="F732" s="31">
        <v>5.7359999999999998</v>
      </c>
      <c r="G732" s="31">
        <v>6.3639999999999999</v>
      </c>
      <c r="H732" s="31">
        <v>6.6550000000000002</v>
      </c>
      <c r="I732" s="31">
        <v>6.8179999999999996</v>
      </c>
      <c r="K732" s="27"/>
      <c r="L732" s="30"/>
      <c r="M732" s="30"/>
      <c r="N732" s="30"/>
      <c r="O732" s="30"/>
      <c r="P732" s="30"/>
      <c r="Q732" s="30"/>
      <c r="R732" s="30"/>
      <c r="S732" s="30"/>
    </row>
    <row r="733" spans="1:19" x14ac:dyDescent="0.25">
      <c r="A733" s="29">
        <v>45044</v>
      </c>
      <c r="B733" s="31">
        <v>4.45</v>
      </c>
      <c r="C733" s="31">
        <v>4.5</v>
      </c>
      <c r="D733" s="31">
        <v>4.55</v>
      </c>
      <c r="E733" s="31">
        <v>5.5359999999999996</v>
      </c>
      <c r="F733" s="31">
        <v>5.8090000000000002</v>
      </c>
      <c r="G733" s="31">
        <v>6.4359999999999999</v>
      </c>
      <c r="H733" s="31">
        <v>6.7640000000000002</v>
      </c>
      <c r="I733" s="31">
        <v>6.891</v>
      </c>
      <c r="K733" s="27"/>
      <c r="L733" s="30"/>
      <c r="M733" s="30"/>
      <c r="N733" s="30"/>
      <c r="O733" s="30"/>
      <c r="P733" s="30"/>
      <c r="Q733" s="30"/>
      <c r="R733" s="30"/>
      <c r="S733" s="30"/>
    </row>
    <row r="734" spans="1:19" x14ac:dyDescent="0.25">
      <c r="A734" s="29">
        <v>45050</v>
      </c>
      <c r="B734" s="31">
        <v>4.6500000000000004</v>
      </c>
      <c r="C734" s="31">
        <v>4.6820000000000004</v>
      </c>
      <c r="D734" s="31">
        <v>4.7140000000000004</v>
      </c>
      <c r="E734" s="31">
        <v>5.5359999999999996</v>
      </c>
      <c r="F734" s="31">
        <v>5.8090000000000002</v>
      </c>
      <c r="G734" s="31">
        <v>6.4359999999999999</v>
      </c>
      <c r="H734" s="31">
        <v>6.75</v>
      </c>
      <c r="I734" s="31">
        <v>6.8769999999999998</v>
      </c>
      <c r="K734" s="27"/>
      <c r="L734" s="30"/>
      <c r="M734" s="30"/>
      <c r="N734" s="30"/>
      <c r="O734" s="30"/>
      <c r="P734" s="30"/>
      <c r="Q734" s="30"/>
      <c r="R734" s="30"/>
      <c r="S734" s="30"/>
    </row>
    <row r="735" spans="1:19" x14ac:dyDescent="0.25">
      <c r="A735" s="29">
        <v>45051</v>
      </c>
      <c r="B735" s="31">
        <v>4.7910000000000004</v>
      </c>
      <c r="C735" s="31">
        <v>4.8049999999999997</v>
      </c>
      <c r="D735" s="31">
        <v>4.8179999999999996</v>
      </c>
      <c r="E735" s="31">
        <v>5.5449999999999999</v>
      </c>
      <c r="F735" s="31">
        <v>5.8090000000000002</v>
      </c>
      <c r="G735" s="31">
        <v>6.5179999999999998</v>
      </c>
      <c r="H735" s="31">
        <v>6.75</v>
      </c>
      <c r="I735" s="31">
        <v>6.8769999999999998</v>
      </c>
      <c r="K735" s="27"/>
      <c r="L735" s="30"/>
      <c r="M735" s="30"/>
      <c r="N735" s="30"/>
      <c r="O735" s="30"/>
      <c r="P735" s="30"/>
      <c r="Q735" s="30"/>
      <c r="R735" s="30"/>
      <c r="S735" s="30"/>
    </row>
    <row r="736" spans="1:19" x14ac:dyDescent="0.25">
      <c r="A736" s="29">
        <v>45054</v>
      </c>
      <c r="B736" s="31">
        <v>4.8730000000000002</v>
      </c>
      <c r="C736" s="31">
        <v>4.8680000000000003</v>
      </c>
      <c r="D736" s="31">
        <v>4.8639999999999999</v>
      </c>
      <c r="E736" s="31">
        <v>5.5730000000000004</v>
      </c>
      <c r="F736" s="31">
        <v>5.8090000000000002</v>
      </c>
      <c r="G736" s="31">
        <v>6.4359999999999999</v>
      </c>
      <c r="H736" s="31">
        <v>6.7229999999999999</v>
      </c>
      <c r="I736" s="31">
        <v>6.85</v>
      </c>
      <c r="K736" s="27"/>
      <c r="L736" s="30"/>
      <c r="M736" s="30"/>
      <c r="N736" s="30"/>
      <c r="O736" s="30"/>
      <c r="P736" s="30"/>
      <c r="Q736" s="30"/>
      <c r="R736" s="30"/>
      <c r="S736" s="30"/>
    </row>
    <row r="737" spans="1:19" x14ac:dyDescent="0.25">
      <c r="A737" s="29">
        <v>45055</v>
      </c>
      <c r="B737" s="31">
        <v>4.7549999999999999</v>
      </c>
      <c r="C737" s="31">
        <v>4.7699999999999996</v>
      </c>
      <c r="D737" s="31">
        <v>4.7859999999999996</v>
      </c>
      <c r="E737" s="31">
        <v>5.5730000000000004</v>
      </c>
      <c r="F737" s="31">
        <v>5.8090000000000002</v>
      </c>
      <c r="G737" s="31">
        <v>6.4359999999999999</v>
      </c>
      <c r="H737" s="31">
        <v>6.7229999999999999</v>
      </c>
      <c r="I737" s="31">
        <v>6.85</v>
      </c>
      <c r="K737" s="27"/>
      <c r="L737" s="30"/>
      <c r="M737" s="30"/>
      <c r="N737" s="30"/>
      <c r="O737" s="30"/>
      <c r="P737" s="30"/>
      <c r="Q737" s="30"/>
      <c r="R737" s="30"/>
      <c r="S737" s="30"/>
    </row>
    <row r="738" spans="1:19" x14ac:dyDescent="0.25">
      <c r="A738" s="29">
        <v>45056</v>
      </c>
      <c r="B738" s="31">
        <v>4.5730000000000004</v>
      </c>
      <c r="C738" s="31">
        <v>4.6269999999999998</v>
      </c>
      <c r="D738" s="31">
        <v>4.6820000000000004</v>
      </c>
      <c r="E738" s="31">
        <v>5.5730000000000004</v>
      </c>
      <c r="F738" s="31">
        <v>5.8090000000000002</v>
      </c>
      <c r="G738" s="31">
        <v>6.4359999999999999</v>
      </c>
      <c r="H738" s="31">
        <v>6.7229999999999999</v>
      </c>
      <c r="I738" s="31">
        <v>6.85</v>
      </c>
      <c r="K738" s="27"/>
      <c r="L738" s="30"/>
      <c r="M738" s="30"/>
      <c r="N738" s="30"/>
      <c r="O738" s="30"/>
      <c r="P738" s="30"/>
      <c r="Q738" s="30"/>
      <c r="R738" s="30"/>
      <c r="S738" s="30"/>
    </row>
    <row r="739" spans="1:19" x14ac:dyDescent="0.25">
      <c r="A739" s="29">
        <v>45057</v>
      </c>
      <c r="B739" s="31">
        <v>4.5410000000000004</v>
      </c>
      <c r="C739" s="31">
        <v>4.5860000000000003</v>
      </c>
      <c r="D739" s="31">
        <v>4.6319999999999997</v>
      </c>
      <c r="E739" s="31">
        <v>5.5090000000000003</v>
      </c>
      <c r="F739" s="31">
        <v>5.7450000000000001</v>
      </c>
      <c r="G739" s="31">
        <v>6.4089999999999998</v>
      </c>
      <c r="H739" s="31">
        <v>6.6820000000000004</v>
      </c>
      <c r="I739" s="31">
        <v>6.8230000000000004</v>
      </c>
      <c r="K739" s="27"/>
      <c r="L739" s="30"/>
      <c r="M739" s="30"/>
      <c r="N739" s="30"/>
      <c r="O739" s="30"/>
      <c r="P739" s="30"/>
      <c r="Q739" s="30"/>
      <c r="R739" s="30"/>
      <c r="S739" s="30"/>
    </row>
    <row r="740" spans="1:19" x14ac:dyDescent="0.25">
      <c r="A740" s="29">
        <v>45058</v>
      </c>
      <c r="B740" s="31">
        <v>4.5549999999999997</v>
      </c>
      <c r="C740" s="31">
        <v>4.6029999999999998</v>
      </c>
      <c r="D740" s="31">
        <v>4.6520000000000001</v>
      </c>
      <c r="E740" s="31">
        <v>5.468</v>
      </c>
      <c r="F740" s="31">
        <v>5.7</v>
      </c>
      <c r="G740" s="31">
        <v>6.3639999999999999</v>
      </c>
      <c r="H740" s="31">
        <v>6.6139999999999999</v>
      </c>
      <c r="I740" s="31">
        <v>6.7549999999999999</v>
      </c>
      <c r="K740" s="27"/>
      <c r="L740" s="30"/>
      <c r="M740" s="30"/>
      <c r="N740" s="30"/>
      <c r="O740" s="30"/>
      <c r="P740" s="30"/>
      <c r="Q740" s="30"/>
      <c r="R740" s="30"/>
      <c r="S740" s="30"/>
    </row>
    <row r="741" spans="1:19" x14ac:dyDescent="0.25">
      <c r="A741" s="29">
        <v>45061</v>
      </c>
      <c r="B741" s="31">
        <v>4.6180000000000003</v>
      </c>
      <c r="C741" s="31">
        <v>4.657</v>
      </c>
      <c r="D741" s="31">
        <v>4.6950000000000003</v>
      </c>
      <c r="E741" s="31">
        <v>5.468</v>
      </c>
      <c r="F741" s="31">
        <v>5.7</v>
      </c>
      <c r="G741" s="31">
        <v>6.3639999999999999</v>
      </c>
      <c r="H741" s="31">
        <v>6.6139999999999999</v>
      </c>
      <c r="I741" s="31">
        <v>6.7549999999999999</v>
      </c>
      <c r="K741" s="27"/>
      <c r="L741" s="30"/>
      <c r="M741" s="30"/>
      <c r="N741" s="30"/>
      <c r="O741" s="30"/>
      <c r="P741" s="30"/>
      <c r="Q741" s="30"/>
      <c r="R741" s="30"/>
      <c r="S741" s="30"/>
    </row>
    <row r="742" spans="1:19" x14ac:dyDescent="0.25">
      <c r="A742" s="29">
        <v>45062</v>
      </c>
      <c r="B742" s="31">
        <v>4.5910000000000002</v>
      </c>
      <c r="C742" s="31">
        <v>4.6319999999999997</v>
      </c>
      <c r="D742" s="31">
        <v>4.673</v>
      </c>
      <c r="E742" s="31">
        <v>5.468</v>
      </c>
      <c r="F742" s="31">
        <v>5.718</v>
      </c>
      <c r="G742" s="31">
        <v>6.3819999999999997</v>
      </c>
      <c r="H742" s="31">
        <v>6.6139999999999999</v>
      </c>
      <c r="I742" s="31">
        <v>6.7549999999999999</v>
      </c>
      <c r="K742" s="27"/>
      <c r="L742" s="30"/>
      <c r="M742" s="30"/>
      <c r="N742" s="30"/>
      <c r="O742" s="30"/>
      <c r="P742" s="30"/>
      <c r="Q742" s="30"/>
      <c r="R742" s="30"/>
      <c r="S742" s="30"/>
    </row>
    <row r="743" spans="1:19" x14ac:dyDescent="0.25">
      <c r="A743" s="29">
        <v>45063</v>
      </c>
      <c r="B743" s="31">
        <v>4.5549999999999997</v>
      </c>
      <c r="C743" s="31">
        <v>4.6070000000000002</v>
      </c>
      <c r="D743" s="31">
        <v>4.6589999999999998</v>
      </c>
      <c r="E743" s="31">
        <v>5.468</v>
      </c>
      <c r="F743" s="31">
        <v>5.718</v>
      </c>
      <c r="G743" s="31">
        <v>6.3819999999999997</v>
      </c>
      <c r="H743" s="31">
        <v>6.6139999999999999</v>
      </c>
      <c r="I743" s="31">
        <v>6.7549999999999999</v>
      </c>
      <c r="K743" s="27"/>
      <c r="L743" s="30"/>
      <c r="M743" s="30"/>
      <c r="N743" s="30"/>
      <c r="O743" s="30"/>
      <c r="P743" s="30"/>
      <c r="Q743" s="30"/>
      <c r="R743" s="30"/>
      <c r="S743" s="30"/>
    </row>
    <row r="744" spans="1:19" x14ac:dyDescent="0.25">
      <c r="A744" s="29">
        <v>45064</v>
      </c>
      <c r="B744" s="31">
        <v>4.4409999999999998</v>
      </c>
      <c r="C744" s="31">
        <v>4.4649999999999999</v>
      </c>
      <c r="D744" s="31">
        <v>4.4889999999999999</v>
      </c>
      <c r="E744" s="31">
        <v>5.45</v>
      </c>
      <c r="F744" s="31">
        <v>5.6909999999999998</v>
      </c>
      <c r="G744" s="31">
        <v>6.3550000000000004</v>
      </c>
      <c r="H744" s="31">
        <v>6.6139999999999999</v>
      </c>
      <c r="I744" s="31">
        <v>6.7549999999999999</v>
      </c>
      <c r="K744" s="27"/>
      <c r="L744" s="30"/>
      <c r="M744" s="30"/>
      <c r="N744" s="30"/>
      <c r="O744" s="30"/>
      <c r="P744" s="30"/>
      <c r="Q744" s="30"/>
      <c r="R744" s="30"/>
      <c r="S744" s="30"/>
    </row>
    <row r="745" spans="1:19" x14ac:dyDescent="0.25">
      <c r="A745" s="29">
        <v>45065</v>
      </c>
      <c r="B745" s="31">
        <v>4.282</v>
      </c>
      <c r="C745" s="31">
        <v>4.34</v>
      </c>
      <c r="D745" s="31">
        <v>4.3979999999999997</v>
      </c>
      <c r="E745" s="31">
        <v>5.4139999999999997</v>
      </c>
      <c r="F745" s="31">
        <v>5.6449999999999996</v>
      </c>
      <c r="G745" s="31">
        <v>6.3090000000000002</v>
      </c>
      <c r="H745" s="31">
        <v>6.6139999999999999</v>
      </c>
      <c r="I745" s="31">
        <v>6.7549999999999999</v>
      </c>
      <c r="K745" s="27"/>
      <c r="L745" s="30"/>
      <c r="M745" s="30"/>
      <c r="N745" s="30"/>
      <c r="O745" s="30"/>
      <c r="P745" s="30"/>
      <c r="Q745" s="30"/>
      <c r="R745" s="30"/>
      <c r="S745" s="30"/>
    </row>
    <row r="746" spans="1:19" x14ac:dyDescent="0.25">
      <c r="A746" s="29">
        <v>45068</v>
      </c>
      <c r="B746" s="31">
        <v>4.2750000000000004</v>
      </c>
      <c r="C746" s="31">
        <v>4.33</v>
      </c>
      <c r="D746" s="31">
        <v>4.3840000000000003</v>
      </c>
      <c r="E746" s="31">
        <v>5.3680000000000003</v>
      </c>
      <c r="F746" s="31">
        <v>5.6269999999999998</v>
      </c>
      <c r="G746" s="31">
        <v>6.3090000000000002</v>
      </c>
      <c r="H746" s="31">
        <v>6.6139999999999999</v>
      </c>
      <c r="I746" s="31">
        <v>6.7549999999999999</v>
      </c>
      <c r="K746" s="27"/>
      <c r="L746" s="30"/>
      <c r="M746" s="30"/>
      <c r="N746" s="30"/>
      <c r="O746" s="30"/>
      <c r="P746" s="30"/>
      <c r="Q746" s="30"/>
      <c r="R746" s="30"/>
      <c r="S746" s="30"/>
    </row>
    <row r="747" spans="1:19" x14ac:dyDescent="0.25">
      <c r="A747" s="29">
        <v>45069</v>
      </c>
      <c r="B747" s="31">
        <v>4.2640000000000002</v>
      </c>
      <c r="C747" s="31">
        <v>4.3140000000000001</v>
      </c>
      <c r="D747" s="31">
        <v>4.3639999999999999</v>
      </c>
      <c r="E747" s="31">
        <v>5.3680000000000003</v>
      </c>
      <c r="F747" s="31">
        <v>5.6269999999999998</v>
      </c>
      <c r="G747" s="31">
        <v>6.3090000000000002</v>
      </c>
      <c r="H747" s="31">
        <v>6.6139999999999999</v>
      </c>
      <c r="I747" s="31">
        <v>6.7549999999999999</v>
      </c>
      <c r="K747" s="27"/>
      <c r="L747" s="30"/>
      <c r="M747" s="30"/>
      <c r="N747" s="30"/>
      <c r="O747" s="30"/>
      <c r="P747" s="30"/>
      <c r="Q747" s="30"/>
      <c r="R747" s="30"/>
      <c r="S747" s="30"/>
    </row>
    <row r="748" spans="1:19" x14ac:dyDescent="0.25">
      <c r="A748" s="29">
        <v>45070</v>
      </c>
      <c r="B748" s="31">
        <v>4.1680000000000001</v>
      </c>
      <c r="C748" s="31">
        <v>4.2140000000000004</v>
      </c>
      <c r="D748" s="31">
        <v>4.2590000000000003</v>
      </c>
      <c r="E748" s="31">
        <v>5.359</v>
      </c>
      <c r="F748" s="31">
        <v>5.6180000000000003</v>
      </c>
      <c r="G748" s="31">
        <v>6.3090000000000002</v>
      </c>
      <c r="H748" s="31">
        <v>6.6139999999999999</v>
      </c>
      <c r="I748" s="31">
        <v>6.7549999999999999</v>
      </c>
      <c r="K748" s="27"/>
      <c r="L748" s="30"/>
      <c r="M748" s="30"/>
      <c r="N748" s="30"/>
      <c r="O748" s="30"/>
      <c r="P748" s="30"/>
      <c r="Q748" s="30"/>
      <c r="R748" s="30"/>
      <c r="S748" s="30"/>
    </row>
    <row r="749" spans="1:19" x14ac:dyDescent="0.25">
      <c r="A749" s="29">
        <v>45071</v>
      </c>
      <c r="B749" s="31">
        <v>4.0679999999999996</v>
      </c>
      <c r="C749" s="31">
        <v>4.0979999999999999</v>
      </c>
      <c r="D749" s="31">
        <v>4.1269999999999998</v>
      </c>
      <c r="E749" s="31">
        <v>5.2450000000000001</v>
      </c>
      <c r="F749" s="31">
        <v>5.4950000000000001</v>
      </c>
      <c r="G749" s="31">
        <v>6.15</v>
      </c>
      <c r="H749" s="31">
        <v>6.5270000000000001</v>
      </c>
      <c r="I749" s="31">
        <v>6.6859999999999999</v>
      </c>
      <c r="K749" s="27"/>
      <c r="L749" s="30"/>
      <c r="M749" s="30"/>
      <c r="N749" s="30"/>
      <c r="O749" s="30"/>
      <c r="P749" s="30"/>
      <c r="Q749" s="30"/>
      <c r="R749" s="30"/>
      <c r="S749" s="30"/>
    </row>
    <row r="750" spans="1:19" x14ac:dyDescent="0.25">
      <c r="A750" s="29">
        <v>45072</v>
      </c>
      <c r="B750" s="31">
        <v>4.0359999999999996</v>
      </c>
      <c r="C750" s="31">
        <v>4.077</v>
      </c>
      <c r="D750" s="31">
        <v>4.1180000000000003</v>
      </c>
      <c r="E750" s="31">
        <v>5.2450000000000001</v>
      </c>
      <c r="F750" s="31">
        <v>5.4950000000000001</v>
      </c>
      <c r="G750" s="31">
        <v>6.15</v>
      </c>
      <c r="H750" s="31">
        <v>6.5270000000000001</v>
      </c>
      <c r="I750" s="31">
        <v>6.6859999999999999</v>
      </c>
      <c r="K750" s="27"/>
      <c r="L750" s="30"/>
      <c r="M750" s="30"/>
      <c r="N750" s="30"/>
      <c r="O750" s="30"/>
      <c r="P750" s="30"/>
      <c r="Q750" s="30"/>
      <c r="R750" s="30"/>
      <c r="S750" s="30"/>
    </row>
    <row r="751" spans="1:19" x14ac:dyDescent="0.25">
      <c r="A751" s="29">
        <v>45075</v>
      </c>
      <c r="B751" s="31">
        <v>3.9950000000000001</v>
      </c>
      <c r="C751" s="31">
        <v>4.0389999999999997</v>
      </c>
      <c r="D751" s="31">
        <v>4.0819999999999999</v>
      </c>
      <c r="E751" s="31">
        <v>5.2270000000000003</v>
      </c>
      <c r="F751" s="31">
        <v>5.4950000000000001</v>
      </c>
      <c r="G751" s="31">
        <v>6.15</v>
      </c>
      <c r="H751" s="31">
        <v>6.5270000000000001</v>
      </c>
      <c r="I751" s="31">
        <v>6.6859999999999999</v>
      </c>
      <c r="K751" s="27"/>
      <c r="L751" s="30"/>
      <c r="M751" s="30"/>
      <c r="N751" s="30"/>
      <c r="O751" s="30"/>
      <c r="P751" s="30"/>
      <c r="Q751" s="30"/>
      <c r="R751" s="30"/>
      <c r="S751" s="30"/>
    </row>
    <row r="752" spans="1:19" x14ac:dyDescent="0.25">
      <c r="A752" s="29">
        <v>45076</v>
      </c>
      <c r="B752" s="31">
        <v>3.968</v>
      </c>
      <c r="C752" s="31">
        <v>4.0250000000000004</v>
      </c>
      <c r="D752" s="31">
        <v>4.0819999999999999</v>
      </c>
      <c r="E752" s="31">
        <v>5.2270000000000003</v>
      </c>
      <c r="F752" s="31">
        <v>5.4950000000000001</v>
      </c>
      <c r="G752" s="31">
        <v>6.15</v>
      </c>
      <c r="H752" s="31">
        <v>6.5270000000000001</v>
      </c>
      <c r="I752" s="31">
        <v>6.6859999999999999</v>
      </c>
      <c r="K752" s="27"/>
      <c r="L752" s="30"/>
      <c r="M752" s="30"/>
      <c r="N752" s="30"/>
      <c r="O752" s="30"/>
      <c r="P752" s="30"/>
      <c r="Q752" s="30"/>
      <c r="R752" s="30"/>
      <c r="S752" s="30"/>
    </row>
    <row r="753" spans="1:19" x14ac:dyDescent="0.25">
      <c r="A753" s="29">
        <v>45077</v>
      </c>
      <c r="B753" s="31">
        <v>3.968</v>
      </c>
      <c r="C753" s="31">
        <v>4.0270000000000001</v>
      </c>
      <c r="D753" s="31">
        <v>4.0860000000000003</v>
      </c>
      <c r="E753" s="31">
        <v>5.2270000000000003</v>
      </c>
      <c r="F753" s="31">
        <v>5.4950000000000001</v>
      </c>
      <c r="G753" s="31">
        <v>6.15</v>
      </c>
      <c r="H753" s="31">
        <v>6.5270000000000001</v>
      </c>
      <c r="I753" s="31">
        <v>6.6859999999999999</v>
      </c>
      <c r="K753" s="27"/>
      <c r="L753" s="30"/>
      <c r="M753" s="30"/>
      <c r="N753" s="30"/>
      <c r="O753" s="30"/>
      <c r="P753" s="30"/>
      <c r="Q753" s="30"/>
      <c r="R753" s="30"/>
      <c r="S753" s="30"/>
    </row>
    <row r="754" spans="1:19" x14ac:dyDescent="0.25">
      <c r="A754" s="29">
        <v>45078</v>
      </c>
      <c r="B754" s="31">
        <v>3.9929999999999999</v>
      </c>
      <c r="C754" s="31">
        <v>4.0430000000000001</v>
      </c>
      <c r="D754" s="31">
        <v>4.093</v>
      </c>
      <c r="E754" s="31">
        <v>5.2910000000000004</v>
      </c>
      <c r="F754" s="31">
        <v>5.532</v>
      </c>
      <c r="G754" s="31">
        <v>6.1950000000000003</v>
      </c>
      <c r="H754" s="31">
        <v>6.5679999999999996</v>
      </c>
      <c r="I754" s="31">
        <v>6.7140000000000004</v>
      </c>
      <c r="K754" s="27"/>
      <c r="L754" s="30"/>
      <c r="M754" s="30"/>
      <c r="N754" s="30"/>
      <c r="O754" s="30"/>
      <c r="P754" s="30"/>
      <c r="Q754" s="30"/>
      <c r="R754" s="30"/>
      <c r="S754" s="30"/>
    </row>
    <row r="755" spans="1:19" x14ac:dyDescent="0.25">
      <c r="A755" s="29">
        <v>45079</v>
      </c>
      <c r="B755" s="31">
        <v>3.964</v>
      </c>
      <c r="C755" s="31">
        <v>4.0229999999999997</v>
      </c>
      <c r="D755" s="31">
        <v>4.0819999999999999</v>
      </c>
      <c r="E755" s="31">
        <v>5.218</v>
      </c>
      <c r="F755" s="31">
        <v>5.4589999999999996</v>
      </c>
      <c r="G755" s="31">
        <v>6.1589999999999998</v>
      </c>
      <c r="H755" s="31">
        <v>6.5679999999999996</v>
      </c>
      <c r="I755" s="31">
        <v>6.7140000000000004</v>
      </c>
      <c r="K755" s="27"/>
      <c r="L755" s="30"/>
      <c r="M755" s="30"/>
      <c r="N755" s="30"/>
      <c r="O755" s="30"/>
      <c r="P755" s="30"/>
      <c r="Q755" s="30"/>
      <c r="R755" s="30"/>
      <c r="S755" s="30"/>
    </row>
    <row r="756" spans="1:19" x14ac:dyDescent="0.25">
      <c r="A756" s="29">
        <v>45082</v>
      </c>
      <c r="B756" s="31">
        <v>3.9359999999999999</v>
      </c>
      <c r="C756" s="31">
        <v>4</v>
      </c>
      <c r="D756" s="31">
        <v>4.0640000000000001</v>
      </c>
      <c r="E756" s="31">
        <v>5.0679999999999996</v>
      </c>
      <c r="F756" s="31">
        <v>5.3049999999999997</v>
      </c>
      <c r="G756" s="31">
        <v>6.141</v>
      </c>
      <c r="H756" s="31">
        <v>6.5679999999999996</v>
      </c>
      <c r="I756" s="31">
        <v>6.7140000000000004</v>
      </c>
      <c r="K756" s="27"/>
      <c r="L756" s="30"/>
      <c r="M756" s="30"/>
      <c r="N756" s="30"/>
      <c r="O756" s="30"/>
      <c r="P756" s="30"/>
      <c r="Q756" s="30"/>
      <c r="R756" s="30"/>
      <c r="S756" s="30"/>
    </row>
    <row r="757" spans="1:19" x14ac:dyDescent="0.25">
      <c r="A757" s="29">
        <v>45083</v>
      </c>
      <c r="B757" s="31">
        <v>3.8180000000000001</v>
      </c>
      <c r="C757" s="31">
        <v>3.9</v>
      </c>
      <c r="D757" s="31">
        <v>3.9820000000000002</v>
      </c>
      <c r="E757" s="31">
        <v>5.05</v>
      </c>
      <c r="F757" s="31">
        <v>5.2770000000000001</v>
      </c>
      <c r="G757" s="31">
        <v>6.0679999999999996</v>
      </c>
      <c r="H757" s="31">
        <v>6.5049999999999999</v>
      </c>
      <c r="I757" s="31">
        <v>6.6859999999999999</v>
      </c>
      <c r="K757" s="27"/>
      <c r="L757" s="30"/>
      <c r="M757" s="30"/>
      <c r="N757" s="30"/>
      <c r="O757" s="30"/>
      <c r="P757" s="30"/>
      <c r="Q757" s="30"/>
      <c r="R757" s="30"/>
      <c r="S757" s="30"/>
    </row>
    <row r="758" spans="1:19" x14ac:dyDescent="0.25">
      <c r="A758" s="29">
        <v>45084</v>
      </c>
      <c r="B758" s="31">
        <v>3.7090000000000001</v>
      </c>
      <c r="C758" s="31">
        <v>3.8159999999999998</v>
      </c>
      <c r="D758" s="31">
        <v>3.923</v>
      </c>
      <c r="E758" s="31">
        <v>4.9359999999999999</v>
      </c>
      <c r="F758" s="31">
        <v>5.0949999999999998</v>
      </c>
      <c r="G758" s="31">
        <v>5.9589999999999996</v>
      </c>
      <c r="H758" s="31">
        <v>6.4139999999999997</v>
      </c>
      <c r="I758" s="31">
        <v>6.55</v>
      </c>
      <c r="K758" s="27"/>
      <c r="L758" s="30"/>
      <c r="M758" s="30"/>
      <c r="N758" s="30"/>
      <c r="O758" s="30"/>
      <c r="P758" s="30"/>
      <c r="Q758" s="30"/>
      <c r="R758" s="30"/>
      <c r="S758" s="30"/>
    </row>
    <row r="759" spans="1:19" x14ac:dyDescent="0.25">
      <c r="A759" s="29">
        <v>45085</v>
      </c>
      <c r="B759" s="31">
        <v>3.391</v>
      </c>
      <c r="C759" s="31">
        <v>3.5430000000000001</v>
      </c>
      <c r="D759" s="31">
        <v>3.6949999999999998</v>
      </c>
      <c r="E759" s="31">
        <v>4.9180000000000001</v>
      </c>
      <c r="F759" s="31">
        <v>5.077</v>
      </c>
      <c r="G759" s="31">
        <v>5.9409999999999998</v>
      </c>
      <c r="H759" s="31">
        <v>6.3949999999999996</v>
      </c>
      <c r="I759" s="31">
        <v>6.532</v>
      </c>
      <c r="K759" s="27"/>
      <c r="L759" s="30"/>
      <c r="M759" s="30"/>
      <c r="N759" s="30"/>
      <c r="O759" s="30"/>
      <c r="P759" s="30"/>
      <c r="Q759" s="30"/>
      <c r="R759" s="30"/>
      <c r="S759" s="30"/>
    </row>
    <row r="760" spans="1:19" x14ac:dyDescent="0.25">
      <c r="A760" s="29">
        <v>45086</v>
      </c>
      <c r="B760" s="31">
        <v>2.95</v>
      </c>
      <c r="C760" s="31">
        <v>3.2090000000000001</v>
      </c>
      <c r="D760" s="31">
        <v>3.468</v>
      </c>
      <c r="E760" s="31">
        <v>4.8680000000000003</v>
      </c>
      <c r="F760" s="31">
        <v>5.05</v>
      </c>
      <c r="G760" s="31">
        <v>5.8410000000000002</v>
      </c>
      <c r="H760" s="31">
        <v>6.2590000000000003</v>
      </c>
      <c r="I760" s="31">
        <v>6.35</v>
      </c>
      <c r="K760" s="27"/>
      <c r="L760" s="30"/>
      <c r="M760" s="30"/>
      <c r="N760" s="30"/>
      <c r="O760" s="30"/>
      <c r="P760" s="30"/>
      <c r="Q760" s="30"/>
      <c r="R760" s="30"/>
      <c r="S760" s="30"/>
    </row>
    <row r="761" spans="1:19" x14ac:dyDescent="0.25">
      <c r="A761" s="29">
        <v>45089</v>
      </c>
      <c r="B761" s="31">
        <v>2.8639999999999999</v>
      </c>
      <c r="C761" s="31">
        <v>3.13</v>
      </c>
      <c r="D761" s="31">
        <v>3.395</v>
      </c>
      <c r="E761" s="31">
        <v>4.8860000000000001</v>
      </c>
      <c r="F761" s="31">
        <v>5.05</v>
      </c>
      <c r="G761" s="31">
        <v>5.8410000000000002</v>
      </c>
      <c r="H761" s="31">
        <v>6.2590000000000003</v>
      </c>
      <c r="I761" s="31">
        <v>6.35</v>
      </c>
      <c r="K761" s="27"/>
      <c r="L761" s="30"/>
      <c r="M761" s="30"/>
      <c r="N761" s="30"/>
      <c r="O761" s="30"/>
      <c r="P761" s="30"/>
      <c r="Q761" s="30"/>
      <c r="R761" s="30"/>
      <c r="S761" s="30"/>
    </row>
    <row r="762" spans="1:19" x14ac:dyDescent="0.25">
      <c r="A762" s="29">
        <v>45090</v>
      </c>
      <c r="B762" s="31">
        <v>2.5230000000000001</v>
      </c>
      <c r="C762" s="31">
        <v>2.8639999999999999</v>
      </c>
      <c r="D762" s="31">
        <v>3.2050000000000001</v>
      </c>
      <c r="E762" s="31">
        <v>4.859</v>
      </c>
      <c r="F762" s="31">
        <v>5.05</v>
      </c>
      <c r="G762" s="31">
        <v>5.8410000000000002</v>
      </c>
      <c r="H762" s="31">
        <v>6.2590000000000003</v>
      </c>
      <c r="I762" s="31">
        <v>6.35</v>
      </c>
      <c r="K762" s="27"/>
      <c r="L762" s="30"/>
      <c r="M762" s="30"/>
      <c r="N762" s="30"/>
      <c r="O762" s="30"/>
      <c r="P762" s="30"/>
      <c r="Q762" s="30"/>
      <c r="R762" s="30"/>
      <c r="S762" s="30"/>
    </row>
    <row r="763" spans="1:19" x14ac:dyDescent="0.25">
      <c r="A763" s="29">
        <v>45091</v>
      </c>
      <c r="B763" s="31">
        <v>2.2069999999999999</v>
      </c>
      <c r="C763" s="31">
        <v>2.6389999999999998</v>
      </c>
      <c r="D763" s="31">
        <v>3.07</v>
      </c>
      <c r="E763" s="31">
        <v>4.7679999999999998</v>
      </c>
      <c r="F763" s="31">
        <v>4.9950000000000001</v>
      </c>
      <c r="G763" s="31">
        <v>5.8230000000000004</v>
      </c>
      <c r="H763" s="31">
        <v>6.1950000000000003</v>
      </c>
      <c r="I763" s="31">
        <v>6.2949999999999999</v>
      </c>
      <c r="K763" s="27"/>
      <c r="L763" s="30"/>
      <c r="M763" s="30"/>
      <c r="N763" s="30"/>
      <c r="O763" s="30"/>
      <c r="P763" s="30"/>
      <c r="Q763" s="30"/>
      <c r="R763" s="30"/>
      <c r="S763" s="30"/>
    </row>
    <row r="764" spans="1:19" x14ac:dyDescent="0.25">
      <c r="A764" s="29">
        <v>45092</v>
      </c>
      <c r="B764" s="31">
        <v>1.964</v>
      </c>
      <c r="C764" s="31">
        <v>2.464</v>
      </c>
      <c r="D764" s="31">
        <v>2.964</v>
      </c>
      <c r="E764" s="31">
        <v>4.6050000000000004</v>
      </c>
      <c r="F764" s="31">
        <v>4.859</v>
      </c>
      <c r="G764" s="31">
        <v>5.6950000000000003</v>
      </c>
      <c r="H764" s="31">
        <v>6.077</v>
      </c>
      <c r="I764" s="31">
        <v>6.1859999999999999</v>
      </c>
      <c r="K764" s="27"/>
      <c r="L764" s="30"/>
      <c r="M764" s="30"/>
      <c r="N764" s="30"/>
      <c r="O764" s="30"/>
      <c r="P764" s="30"/>
      <c r="Q764" s="30"/>
      <c r="R764" s="30"/>
      <c r="S764" s="30"/>
    </row>
    <row r="765" spans="1:19" x14ac:dyDescent="0.25">
      <c r="A765" s="29">
        <v>45093</v>
      </c>
      <c r="B765" s="31">
        <v>1.7050000000000001</v>
      </c>
      <c r="C765" s="31">
        <v>2.23</v>
      </c>
      <c r="D765" s="31">
        <v>2.7549999999999999</v>
      </c>
      <c r="E765" s="31">
        <v>4.5410000000000004</v>
      </c>
      <c r="F765" s="31">
        <v>4.8090000000000002</v>
      </c>
      <c r="G765" s="31">
        <v>5.6769999999999996</v>
      </c>
      <c r="H765" s="31">
        <v>6.05</v>
      </c>
      <c r="I765" s="31">
        <v>6.1680000000000001</v>
      </c>
      <c r="K765" s="27"/>
      <c r="L765" s="30"/>
      <c r="M765" s="30"/>
      <c r="N765" s="30"/>
      <c r="O765" s="30"/>
      <c r="P765" s="30"/>
      <c r="Q765" s="30"/>
      <c r="R765" s="30"/>
      <c r="S765" s="30"/>
    </row>
    <row r="766" spans="1:19" x14ac:dyDescent="0.25">
      <c r="A766" s="29">
        <v>45096</v>
      </c>
      <c r="B766" s="31">
        <v>1.5681818181818186</v>
      </c>
      <c r="C766" s="31">
        <v>2.0977272727272736</v>
      </c>
      <c r="D766" s="31">
        <v>2.6272727272727279</v>
      </c>
      <c r="E766" s="31">
        <v>4.3681818181818173</v>
      </c>
      <c r="F766" s="31">
        <v>4.6636363636363631</v>
      </c>
      <c r="G766" s="31">
        <v>5.459090909090909</v>
      </c>
      <c r="H766" s="31">
        <v>5.85</v>
      </c>
      <c r="I766" s="31">
        <v>5.9772727272727266</v>
      </c>
      <c r="K766" s="27"/>
      <c r="L766" s="30"/>
      <c r="M766" s="30"/>
      <c r="N766" s="30"/>
      <c r="O766" s="30"/>
      <c r="P766" s="30"/>
      <c r="Q766" s="30"/>
      <c r="R766" s="30"/>
      <c r="S766" s="30"/>
    </row>
    <row r="767" spans="1:19" x14ac:dyDescent="0.25">
      <c r="A767" s="29">
        <v>45097</v>
      </c>
      <c r="B767" s="31">
        <v>1.4272727272727275</v>
      </c>
      <c r="C767" s="31">
        <v>1.9727272727272729</v>
      </c>
      <c r="D767" s="31">
        <v>2.5181818181818185</v>
      </c>
      <c r="E767" s="31">
        <v>4.3181818181818175</v>
      </c>
      <c r="F767" s="31">
        <v>4.5636363636363635</v>
      </c>
      <c r="G767" s="31">
        <v>5.3545454545454545</v>
      </c>
      <c r="H767" s="31">
        <v>5.6454545454545455</v>
      </c>
      <c r="I767" s="31">
        <v>5.7545454545454549</v>
      </c>
      <c r="K767" s="27"/>
      <c r="L767" s="30"/>
      <c r="M767" s="30"/>
      <c r="N767" s="30"/>
      <c r="O767" s="30"/>
      <c r="P767" s="30"/>
      <c r="Q767" s="30"/>
      <c r="R767" s="30"/>
      <c r="S767" s="30"/>
    </row>
    <row r="768" spans="1:19" x14ac:dyDescent="0.25">
      <c r="A768" s="29">
        <v>45098</v>
      </c>
      <c r="B768" s="31">
        <v>1.290909090909091</v>
      </c>
      <c r="C768" s="31">
        <v>1.8568181818181817</v>
      </c>
      <c r="D768" s="31">
        <v>2.4227272727272724</v>
      </c>
      <c r="E768" s="31">
        <v>4.1999999999999993</v>
      </c>
      <c r="F768" s="31">
        <v>4.4363636363636356</v>
      </c>
      <c r="G768" s="31">
        <v>5.127272727272727</v>
      </c>
      <c r="H768" s="31">
        <v>5.4363636363636365</v>
      </c>
      <c r="I768" s="31">
        <v>5.5636363636363626</v>
      </c>
      <c r="K768" s="27"/>
      <c r="L768" s="30"/>
      <c r="M768" s="30"/>
      <c r="N768" s="30"/>
      <c r="O768" s="30"/>
      <c r="P768" s="30"/>
      <c r="Q768" s="30"/>
      <c r="R768" s="30"/>
      <c r="S768" s="30"/>
    </row>
    <row r="769" spans="1:19" x14ac:dyDescent="0.25">
      <c r="A769" s="29">
        <v>45099</v>
      </c>
      <c r="B769" s="31">
        <v>1.35</v>
      </c>
      <c r="C769" s="31">
        <v>1.9181818181818182</v>
      </c>
      <c r="D769" s="31">
        <v>2.4863636363636363</v>
      </c>
      <c r="E769" s="31">
        <v>4.1999999999999993</v>
      </c>
      <c r="F769" s="31">
        <v>4.4363636363636356</v>
      </c>
      <c r="G769" s="31">
        <v>5.127272727272727</v>
      </c>
      <c r="H769" s="31">
        <v>5.4363636363636365</v>
      </c>
      <c r="I769" s="31">
        <v>5.5636363636363626</v>
      </c>
      <c r="K769" s="27"/>
      <c r="L769" s="30"/>
      <c r="M769" s="30"/>
      <c r="N769" s="30"/>
      <c r="O769" s="30"/>
      <c r="P769" s="30"/>
      <c r="Q769" s="30"/>
      <c r="R769" s="30"/>
      <c r="S769" s="30"/>
    </row>
    <row r="770" spans="1:19" x14ac:dyDescent="0.25">
      <c r="A770" s="29">
        <v>45100</v>
      </c>
      <c r="B770" s="31">
        <v>1.4636363636363641</v>
      </c>
      <c r="C770" s="31">
        <v>2.0136363636363641</v>
      </c>
      <c r="D770" s="31">
        <v>2.5636363636363639</v>
      </c>
      <c r="E770" s="31">
        <v>4.172727272727272</v>
      </c>
      <c r="F770" s="31">
        <v>4.4363636363636356</v>
      </c>
      <c r="G770" s="31">
        <v>5.127272727272727</v>
      </c>
      <c r="H770" s="31">
        <v>5.4363636363636365</v>
      </c>
      <c r="I770" s="31">
        <v>5.5636363636363626</v>
      </c>
      <c r="K770" s="27"/>
      <c r="L770" s="30"/>
      <c r="M770" s="30"/>
      <c r="N770" s="30"/>
      <c r="O770" s="30"/>
      <c r="P770" s="30"/>
      <c r="Q770" s="30"/>
      <c r="R770" s="30"/>
      <c r="S770" s="30"/>
    </row>
    <row r="771" spans="1:19" x14ac:dyDescent="0.25">
      <c r="A771" s="29">
        <v>45103</v>
      </c>
      <c r="B771" s="31">
        <v>1.4727272727272729</v>
      </c>
      <c r="C771" s="31">
        <v>2.0136363636363641</v>
      </c>
      <c r="D771" s="31">
        <v>2.5545454545454547</v>
      </c>
      <c r="E771" s="31">
        <v>4.1999999999999993</v>
      </c>
      <c r="F771" s="31">
        <v>4.4363636363636356</v>
      </c>
      <c r="G771" s="31">
        <v>5.127272727272727</v>
      </c>
      <c r="H771" s="31">
        <v>5.4363636363636365</v>
      </c>
      <c r="I771" s="31">
        <v>5.5636363636363626</v>
      </c>
      <c r="K771" s="27"/>
      <c r="L771" s="30"/>
      <c r="M771" s="30"/>
      <c r="N771" s="30"/>
      <c r="O771" s="30"/>
      <c r="P771" s="30"/>
      <c r="Q771" s="30"/>
      <c r="R771" s="30"/>
      <c r="S771" s="30"/>
    </row>
    <row r="772" spans="1:19" x14ac:dyDescent="0.25">
      <c r="A772" s="29">
        <v>45104</v>
      </c>
      <c r="B772" s="31">
        <v>1.4359999999999999</v>
      </c>
      <c r="C772" s="31">
        <v>1.9950000000000001</v>
      </c>
      <c r="D772" s="31">
        <v>2.5550000000000002</v>
      </c>
      <c r="E772" s="31">
        <v>4.2</v>
      </c>
      <c r="F772" s="31">
        <v>4.4359999999999999</v>
      </c>
      <c r="G772" s="31">
        <v>5.1269999999999998</v>
      </c>
      <c r="H772" s="31">
        <v>5.4359999999999999</v>
      </c>
      <c r="I772" s="31">
        <v>5.5640000000000001</v>
      </c>
      <c r="K772" s="27"/>
      <c r="L772" s="30"/>
      <c r="M772" s="30"/>
      <c r="N772" s="30"/>
      <c r="O772" s="30"/>
      <c r="P772" s="30"/>
      <c r="Q772" s="30"/>
      <c r="R772" s="30"/>
      <c r="S772" s="30"/>
    </row>
    <row r="773" spans="1:19" x14ac:dyDescent="0.25">
      <c r="A773" s="29">
        <v>45105</v>
      </c>
      <c r="B773" s="31">
        <v>1.377</v>
      </c>
      <c r="C773" s="31">
        <v>1.9450000000000001</v>
      </c>
      <c r="D773" s="31">
        <v>2.5139999999999998</v>
      </c>
      <c r="E773" s="31">
        <v>4.1550000000000002</v>
      </c>
      <c r="F773" s="31">
        <v>4.4089999999999998</v>
      </c>
      <c r="G773" s="31">
        <v>5.1269999999999998</v>
      </c>
      <c r="H773" s="31">
        <v>5.4359999999999999</v>
      </c>
      <c r="I773" s="31">
        <v>5.5640000000000001</v>
      </c>
      <c r="K773" s="27"/>
      <c r="L773" s="30"/>
      <c r="M773" s="30"/>
      <c r="N773" s="30"/>
      <c r="O773" s="30"/>
      <c r="P773" s="30"/>
      <c r="Q773" s="30"/>
      <c r="R773" s="30"/>
      <c r="S773" s="30"/>
    </row>
    <row r="774" spans="1:19" x14ac:dyDescent="0.25">
      <c r="A774" s="29">
        <v>45106</v>
      </c>
      <c r="B774" s="31">
        <v>1.281818181818182</v>
      </c>
      <c r="C774" s="31">
        <v>1.8943181818181818</v>
      </c>
      <c r="D774" s="31">
        <v>2.5068181818181818</v>
      </c>
      <c r="E774" s="31">
        <v>4.1454545454545446</v>
      </c>
      <c r="F774" s="31">
        <v>4.3999999999999995</v>
      </c>
      <c r="G774" s="31">
        <v>5.1181818181818173</v>
      </c>
      <c r="H774" s="31">
        <v>5.4272727272727259</v>
      </c>
      <c r="I774" s="31">
        <v>5.5545454545454547</v>
      </c>
      <c r="K774" s="27"/>
      <c r="L774" s="30"/>
      <c r="M774" s="30"/>
      <c r="N774" s="30"/>
      <c r="O774" s="30"/>
      <c r="P774" s="30"/>
      <c r="Q774" s="30"/>
      <c r="R774" s="30"/>
      <c r="S774" s="30"/>
    </row>
    <row r="775" spans="1:19" x14ac:dyDescent="0.25">
      <c r="A775" s="29">
        <v>45107</v>
      </c>
      <c r="B775" s="31">
        <v>1.2545454545454546</v>
      </c>
      <c r="C775" s="31">
        <v>1.8352272727272727</v>
      </c>
      <c r="D775" s="31">
        <v>2.415909090909091</v>
      </c>
      <c r="E775" s="31">
        <v>4.1363636363636349</v>
      </c>
      <c r="F775" s="31">
        <v>4.3999999999999995</v>
      </c>
      <c r="G775" s="31">
        <v>5.0727272727272723</v>
      </c>
      <c r="H775" s="31">
        <v>5.3909090909090898</v>
      </c>
      <c r="I775" s="31">
        <v>5.5363636363636362</v>
      </c>
      <c r="K775" s="27"/>
      <c r="L775" s="30"/>
      <c r="M775" s="30"/>
      <c r="N775" s="30"/>
      <c r="O775" s="30"/>
      <c r="P775" s="30"/>
      <c r="Q775" s="30"/>
      <c r="R775" s="30"/>
      <c r="S775" s="30"/>
    </row>
    <row r="776" spans="1:19" x14ac:dyDescent="0.25">
      <c r="A776" s="29">
        <v>45110</v>
      </c>
      <c r="B776" s="31">
        <v>1.2681818181818183</v>
      </c>
      <c r="C776" s="31">
        <v>1.8499999999999999</v>
      </c>
      <c r="D776" s="31">
        <v>2.4318181818181817</v>
      </c>
      <c r="E776" s="31">
        <v>4.1363636363636349</v>
      </c>
      <c r="F776" s="31">
        <v>4.3954545454545446</v>
      </c>
      <c r="G776" s="31">
        <v>5.1090909090909085</v>
      </c>
      <c r="H776" s="31">
        <v>5.418181818181818</v>
      </c>
      <c r="I776" s="31">
        <v>5.5636363636363626</v>
      </c>
      <c r="K776" s="27"/>
      <c r="L776" s="30"/>
      <c r="M776" s="30"/>
      <c r="N776" s="30"/>
      <c r="O776" s="30"/>
      <c r="P776" s="30"/>
      <c r="Q776" s="30"/>
      <c r="R776" s="30"/>
      <c r="S776" s="30"/>
    </row>
    <row r="777" spans="1:19" x14ac:dyDescent="0.25">
      <c r="A777" s="29">
        <v>45111</v>
      </c>
      <c r="B777" s="31">
        <v>1.25</v>
      </c>
      <c r="C777" s="31">
        <v>1.8340000000000001</v>
      </c>
      <c r="D777" s="31">
        <v>2.4180000000000001</v>
      </c>
      <c r="E777" s="31">
        <v>4.1360000000000001</v>
      </c>
      <c r="F777" s="31">
        <v>4.3949999999999996</v>
      </c>
      <c r="G777" s="31">
        <v>5.109</v>
      </c>
      <c r="H777" s="31">
        <v>5.4180000000000001</v>
      </c>
      <c r="I777" s="31">
        <v>5.5640000000000001</v>
      </c>
      <c r="K777" s="27"/>
      <c r="L777" s="30"/>
      <c r="M777" s="30"/>
      <c r="N777" s="30"/>
      <c r="O777" s="30"/>
      <c r="P777" s="30"/>
      <c r="Q777" s="30"/>
      <c r="R777" s="30"/>
      <c r="S777" s="30"/>
    </row>
    <row r="778" spans="1:19" x14ac:dyDescent="0.25">
      <c r="A778" s="29">
        <v>45112</v>
      </c>
      <c r="B778" s="31">
        <v>1.2545454545454546</v>
      </c>
      <c r="C778" s="31">
        <v>1.8295454545454546</v>
      </c>
      <c r="D778" s="31">
        <v>2.4045454545454539</v>
      </c>
      <c r="E778" s="31">
        <v>4.1363636363636349</v>
      </c>
      <c r="F778" s="31">
        <v>4.3954545454545446</v>
      </c>
      <c r="G778" s="31">
        <v>5.1090909090909085</v>
      </c>
      <c r="H778" s="31">
        <v>5.418181818181818</v>
      </c>
      <c r="I778" s="31">
        <v>5.5636363636363626</v>
      </c>
      <c r="K778" s="27"/>
      <c r="L778" s="30"/>
      <c r="M778" s="30"/>
      <c r="N778" s="30"/>
      <c r="O778" s="30"/>
      <c r="P778" s="30"/>
      <c r="Q778" s="30"/>
      <c r="R778" s="30"/>
      <c r="S778" s="30"/>
    </row>
    <row r="779" spans="1:19" x14ac:dyDescent="0.25">
      <c r="A779" s="29">
        <v>45113</v>
      </c>
      <c r="B779" s="31">
        <v>1.2068181818181816</v>
      </c>
      <c r="C779" s="31">
        <v>1.7874999999999999</v>
      </c>
      <c r="D779" s="31">
        <v>2.3681818181818177</v>
      </c>
      <c r="E779" s="31">
        <v>4.1363636363636349</v>
      </c>
      <c r="F779" s="31">
        <v>4.3954545454545446</v>
      </c>
      <c r="G779" s="31">
        <v>5.1090909090909085</v>
      </c>
      <c r="H779" s="31">
        <v>5.418181818181818</v>
      </c>
      <c r="I779" s="31">
        <v>5.5636363636363626</v>
      </c>
      <c r="K779" s="27"/>
      <c r="L779" s="30"/>
      <c r="M779" s="30"/>
      <c r="N779" s="30"/>
      <c r="O779" s="30"/>
      <c r="P779" s="30"/>
      <c r="Q779" s="30"/>
      <c r="R779" s="30"/>
      <c r="S779" s="30"/>
    </row>
    <row r="780" spans="1:19" x14ac:dyDescent="0.25">
      <c r="A780" s="29">
        <v>45114</v>
      </c>
      <c r="B780" s="31">
        <v>1.0545454545454545</v>
      </c>
      <c r="C780" s="31">
        <v>1.6318181818181814</v>
      </c>
      <c r="D780" s="31">
        <v>2.2090909090909085</v>
      </c>
      <c r="E780" s="31">
        <v>4.127272727272727</v>
      </c>
      <c r="F780" s="31">
        <v>4.3863636363636358</v>
      </c>
      <c r="G780" s="31">
        <v>5.1090909090909085</v>
      </c>
      <c r="H780" s="31">
        <v>5.4090909090909083</v>
      </c>
      <c r="I780" s="31">
        <v>5.5545454545454547</v>
      </c>
      <c r="K780" s="27"/>
      <c r="L780" s="30"/>
      <c r="M780" s="30"/>
      <c r="N780" s="30"/>
      <c r="O780" s="30"/>
      <c r="P780" s="30"/>
      <c r="Q780" s="30"/>
      <c r="R780" s="30"/>
      <c r="S780" s="30"/>
    </row>
    <row r="781" spans="1:19" x14ac:dyDescent="0.25">
      <c r="A781" s="29">
        <v>45117</v>
      </c>
      <c r="B781" s="31">
        <v>0.96136363636363675</v>
      </c>
      <c r="C781" s="31">
        <v>1.5522727272727272</v>
      </c>
      <c r="D781" s="31">
        <v>2.1431818181818176</v>
      </c>
      <c r="E781" s="31">
        <v>4.0909090909090899</v>
      </c>
      <c r="F781" s="31">
        <v>4.3499999999999988</v>
      </c>
      <c r="G781" s="31">
        <v>5.0727272727272723</v>
      </c>
      <c r="H781" s="31">
        <v>5.3636363636363633</v>
      </c>
      <c r="I781" s="31">
        <v>5.5272727272727256</v>
      </c>
      <c r="K781" s="27"/>
      <c r="L781" s="30"/>
      <c r="M781" s="30"/>
      <c r="N781" s="30"/>
      <c r="O781" s="30"/>
      <c r="P781" s="30"/>
      <c r="Q781" s="30"/>
      <c r="R781" s="30"/>
      <c r="S781" s="30"/>
    </row>
    <row r="782" spans="1:19" x14ac:dyDescent="0.25">
      <c r="A782" s="29">
        <v>45118</v>
      </c>
      <c r="B782" s="31">
        <v>0.68409090909090919</v>
      </c>
      <c r="C782" s="31">
        <v>1.2318181818181819</v>
      </c>
      <c r="D782" s="31">
        <v>1.7795454545454548</v>
      </c>
      <c r="E782" s="31">
        <v>4.0909090909090899</v>
      </c>
      <c r="F782" s="31">
        <v>4.3499999999999988</v>
      </c>
      <c r="G782" s="31">
        <v>5.0727272727272723</v>
      </c>
      <c r="H782" s="31">
        <v>5.3636363636363633</v>
      </c>
      <c r="I782" s="31">
        <v>5.5272727272727256</v>
      </c>
      <c r="K782" s="27"/>
      <c r="L782" s="30"/>
      <c r="M782" s="30"/>
      <c r="N782" s="30"/>
      <c r="O782" s="30"/>
      <c r="P782" s="30"/>
      <c r="Q782" s="30"/>
      <c r="R782" s="30"/>
      <c r="S782" s="30"/>
    </row>
    <row r="783" spans="1:19" x14ac:dyDescent="0.25">
      <c r="A783" s="29">
        <v>45119</v>
      </c>
      <c r="B783" s="31">
        <v>0.5204545454545455</v>
      </c>
      <c r="C783" s="31">
        <v>1.0227272727272727</v>
      </c>
      <c r="D783" s="31">
        <v>1.5250000000000001</v>
      </c>
      <c r="E783" s="31">
        <v>3.918181818181818</v>
      </c>
      <c r="F783" s="31">
        <v>4.172727272727272</v>
      </c>
      <c r="G783" s="31">
        <v>4.922727272727272</v>
      </c>
      <c r="H783" s="31">
        <v>5.3090909090909086</v>
      </c>
      <c r="I783" s="31">
        <v>5.4727272727272727</v>
      </c>
      <c r="K783" s="27"/>
      <c r="L783" s="30"/>
      <c r="M783" s="30"/>
      <c r="N783" s="30"/>
      <c r="O783" s="30"/>
      <c r="P783" s="30"/>
      <c r="Q783" s="30"/>
      <c r="R783" s="30"/>
      <c r="S783" s="30"/>
    </row>
    <row r="784" spans="1:19" x14ac:dyDescent="0.25">
      <c r="A784" s="29">
        <v>45120</v>
      </c>
      <c r="B784" s="31">
        <v>0.45000000000000007</v>
      </c>
      <c r="C784" s="31">
        <v>0.90454545454545476</v>
      </c>
      <c r="D784" s="31">
        <v>1.3590909090909093</v>
      </c>
      <c r="E784" s="31">
        <v>3.8772727272727265</v>
      </c>
      <c r="F784" s="31">
        <v>4.172727272727272</v>
      </c>
      <c r="G784" s="31">
        <v>4.922727272727272</v>
      </c>
      <c r="H784" s="31">
        <v>5.3090909090909086</v>
      </c>
      <c r="I784" s="31">
        <v>5.4727272727272727</v>
      </c>
      <c r="K784" s="27"/>
      <c r="L784" s="30"/>
      <c r="M784" s="30"/>
      <c r="N784" s="30"/>
      <c r="O784" s="30"/>
      <c r="P784" s="30"/>
      <c r="Q784" s="30"/>
      <c r="R784" s="30"/>
      <c r="S784" s="30"/>
    </row>
    <row r="785" spans="1:19" x14ac:dyDescent="0.25">
      <c r="A785" s="29">
        <v>45121</v>
      </c>
      <c r="B785" s="31">
        <v>0.40000000000000008</v>
      </c>
      <c r="C785" s="31">
        <v>0.82272727272727275</v>
      </c>
      <c r="D785" s="31">
        <v>1.2454545454545451</v>
      </c>
      <c r="E785" s="31">
        <v>3.7454545454545456</v>
      </c>
      <c r="F785" s="31">
        <v>4.040909090909091</v>
      </c>
      <c r="G785" s="31">
        <v>4.872727272727273</v>
      </c>
      <c r="H785" s="31">
        <v>5.254545454545454</v>
      </c>
      <c r="I785" s="31">
        <v>5.4272727272727259</v>
      </c>
      <c r="K785" s="27"/>
      <c r="L785" s="30"/>
      <c r="M785" s="30"/>
      <c r="N785" s="30"/>
      <c r="O785" s="30"/>
      <c r="P785" s="30"/>
      <c r="Q785" s="30"/>
      <c r="R785" s="30"/>
      <c r="S785" s="30"/>
    </row>
    <row r="786" spans="1:19" x14ac:dyDescent="0.25">
      <c r="A786" s="29">
        <v>45124</v>
      </c>
      <c r="B786" s="31">
        <v>0.3727272727272728</v>
      </c>
      <c r="C786" s="31">
        <v>0.80227272727272714</v>
      </c>
      <c r="D786" s="31">
        <v>1.2318181818181817</v>
      </c>
      <c r="E786" s="31">
        <v>3.6454545454545455</v>
      </c>
      <c r="F786" s="31">
        <v>3.9454545454545458</v>
      </c>
      <c r="G786" s="31">
        <v>4.8272727272727272</v>
      </c>
      <c r="H786" s="31">
        <v>5.254545454545454</v>
      </c>
      <c r="I786" s="31">
        <v>5.4272727272727259</v>
      </c>
      <c r="K786" s="27"/>
      <c r="L786" s="30"/>
      <c r="M786" s="30"/>
      <c r="N786" s="30"/>
      <c r="O786" s="30"/>
      <c r="P786" s="30"/>
      <c r="Q786" s="30"/>
      <c r="R786" s="30"/>
      <c r="S786" s="30"/>
    </row>
    <row r="787" spans="1:19" x14ac:dyDescent="0.25">
      <c r="A787" s="29">
        <v>45125</v>
      </c>
      <c r="B787" s="31">
        <v>0.50909090909090915</v>
      </c>
      <c r="C787" s="31">
        <v>0.92727272727272747</v>
      </c>
      <c r="D787" s="31">
        <v>1.3454545454545457</v>
      </c>
      <c r="E787" s="31">
        <v>3.6454545454545455</v>
      </c>
      <c r="F787" s="31">
        <v>3.9454545454545458</v>
      </c>
      <c r="G787" s="31">
        <v>4.8272727272727272</v>
      </c>
      <c r="H787" s="31">
        <v>5.254545454545454</v>
      </c>
      <c r="I787" s="31">
        <v>5.4272727272727259</v>
      </c>
      <c r="K787" s="27"/>
      <c r="L787" s="30"/>
      <c r="M787" s="30"/>
      <c r="N787" s="30"/>
      <c r="O787" s="30"/>
      <c r="P787" s="30"/>
      <c r="Q787" s="30"/>
      <c r="R787" s="30"/>
      <c r="S787" s="30"/>
    </row>
    <row r="788" spans="1:19" x14ac:dyDescent="0.25">
      <c r="A788" s="29">
        <v>45126</v>
      </c>
      <c r="B788" s="31">
        <v>0.50909090909090915</v>
      </c>
      <c r="C788" s="31">
        <v>0.92727272727272747</v>
      </c>
      <c r="D788" s="31">
        <v>1.3454545454545457</v>
      </c>
      <c r="E788" s="31">
        <v>3.6454545454545455</v>
      </c>
      <c r="F788" s="31">
        <v>3.9454545454545458</v>
      </c>
      <c r="G788" s="31">
        <v>4.8272727272727272</v>
      </c>
      <c r="H788" s="31">
        <v>5.254545454545454</v>
      </c>
      <c r="I788" s="31">
        <v>5.4272727272727259</v>
      </c>
      <c r="K788" s="27"/>
      <c r="L788" s="30"/>
      <c r="M788" s="30"/>
      <c r="N788" s="30"/>
      <c r="O788" s="30"/>
      <c r="P788" s="30"/>
      <c r="Q788" s="30"/>
      <c r="R788" s="30"/>
      <c r="S788" s="30"/>
    </row>
    <row r="789" spans="1:19" x14ac:dyDescent="0.25">
      <c r="A789" s="29">
        <v>45127</v>
      </c>
      <c r="B789" s="31">
        <v>0.43636363636363645</v>
      </c>
      <c r="C789" s="31">
        <v>0.8522727272727274</v>
      </c>
      <c r="D789" s="31">
        <v>1.2681818181818183</v>
      </c>
      <c r="E789" s="31">
        <v>3.6454545454545455</v>
      </c>
      <c r="F789" s="31">
        <v>3.9454545454545458</v>
      </c>
      <c r="G789" s="31">
        <v>4.8272727272727272</v>
      </c>
      <c r="H789" s="31">
        <v>5.254545454545454</v>
      </c>
      <c r="I789" s="31">
        <v>5.4272727272727259</v>
      </c>
      <c r="K789" s="27"/>
      <c r="L789" s="30"/>
      <c r="M789" s="30"/>
      <c r="N789" s="30"/>
      <c r="O789" s="30"/>
      <c r="P789" s="30"/>
      <c r="Q789" s="30"/>
      <c r="R789" s="30"/>
      <c r="S789" s="30"/>
    </row>
    <row r="790" spans="1:19" x14ac:dyDescent="0.25">
      <c r="A790" s="29">
        <v>45128</v>
      </c>
      <c r="B790" s="31">
        <v>0.40909090909090923</v>
      </c>
      <c r="C790" s="31">
        <v>0.84090909090909094</v>
      </c>
      <c r="D790" s="31">
        <v>1.2727272727272727</v>
      </c>
      <c r="E790" s="31">
        <v>3.6454545454545455</v>
      </c>
      <c r="F790" s="31">
        <v>3.9454545454545458</v>
      </c>
      <c r="G790" s="31">
        <v>4.8272727272727272</v>
      </c>
      <c r="H790" s="31">
        <v>5.2636363636363619</v>
      </c>
      <c r="I790" s="31">
        <v>5.4272727272727259</v>
      </c>
      <c r="K790" s="27"/>
      <c r="L790" s="30"/>
      <c r="M790" s="30"/>
      <c r="N790" s="30"/>
      <c r="O790" s="30"/>
      <c r="P790" s="30"/>
      <c r="Q790" s="30"/>
      <c r="R790" s="30"/>
      <c r="S790" s="30"/>
    </row>
    <row r="791" spans="1:19" x14ac:dyDescent="0.25">
      <c r="A791" s="29">
        <v>45131</v>
      </c>
      <c r="B791" s="31">
        <v>0.38181818181818189</v>
      </c>
      <c r="C791" s="31">
        <v>0.82045454545454555</v>
      </c>
      <c r="D791" s="31">
        <v>1.2590909090909093</v>
      </c>
      <c r="E791" s="31">
        <v>3.5090909090909088</v>
      </c>
      <c r="F791" s="31">
        <v>3.8363636363636369</v>
      </c>
      <c r="G791" s="31">
        <v>4.7272727272727275</v>
      </c>
      <c r="H791" s="31">
        <v>5.2181818181818178</v>
      </c>
      <c r="I791" s="31">
        <v>5.4090909090909083</v>
      </c>
      <c r="K791" s="27"/>
      <c r="L791" s="30"/>
      <c r="M791" s="30"/>
      <c r="N791" s="30"/>
      <c r="O791" s="30"/>
      <c r="P791" s="30"/>
      <c r="Q791" s="30"/>
      <c r="R791" s="30"/>
      <c r="S791" s="30"/>
    </row>
    <row r="792" spans="1:19" x14ac:dyDescent="0.25">
      <c r="A792" s="29">
        <v>45132</v>
      </c>
      <c r="B792" s="31">
        <v>0.39090909090909098</v>
      </c>
      <c r="C792" s="31">
        <v>0.82500000000000007</v>
      </c>
      <c r="D792" s="31">
        <v>1.2590909090909093</v>
      </c>
      <c r="E792" s="31">
        <v>3.5090909090909088</v>
      </c>
      <c r="F792" s="31">
        <v>3.8363636363636369</v>
      </c>
      <c r="G792" s="31">
        <v>4.7272727272727275</v>
      </c>
      <c r="H792" s="31">
        <v>5.2</v>
      </c>
      <c r="I792" s="31">
        <v>5.3454545454545448</v>
      </c>
      <c r="K792" s="27"/>
      <c r="L792" s="30"/>
      <c r="M792" s="30"/>
      <c r="N792" s="30"/>
      <c r="O792" s="30"/>
      <c r="P792" s="30"/>
      <c r="Q792" s="30"/>
      <c r="R792" s="30"/>
      <c r="S792" s="30"/>
    </row>
    <row r="793" spans="1:19" x14ac:dyDescent="0.25">
      <c r="A793" s="29">
        <v>45133</v>
      </c>
      <c r="B793" s="31">
        <v>0.40909090909090923</v>
      </c>
      <c r="C793" s="31">
        <v>0.83181818181818201</v>
      </c>
      <c r="D793" s="31">
        <v>1.2545454545454546</v>
      </c>
      <c r="E793" s="31">
        <v>3.5090909090909088</v>
      </c>
      <c r="F793" s="31">
        <v>3.8363636363636369</v>
      </c>
      <c r="G793" s="31">
        <v>4.7</v>
      </c>
      <c r="H793" s="31">
        <v>5.1727272727272728</v>
      </c>
      <c r="I793" s="31">
        <v>5.3454545454545448</v>
      </c>
      <c r="K793" s="27"/>
      <c r="L793" s="30"/>
      <c r="M793" s="30"/>
      <c r="N793" s="30"/>
      <c r="O793" s="30"/>
      <c r="P793" s="30"/>
      <c r="Q793" s="30"/>
      <c r="R793" s="30"/>
      <c r="S793" s="30"/>
    </row>
    <row r="794" spans="1:19" x14ac:dyDescent="0.25">
      <c r="A794" s="29">
        <v>45134</v>
      </c>
      <c r="B794" s="31">
        <v>0.41818181818181832</v>
      </c>
      <c r="C794" s="31">
        <v>0.83636363636363642</v>
      </c>
      <c r="D794" s="31">
        <v>1.2545454545454546</v>
      </c>
      <c r="E794" s="31">
        <v>3.5090909090909088</v>
      </c>
      <c r="F794" s="31">
        <v>3.8363636363636369</v>
      </c>
      <c r="G794" s="31">
        <v>4.7</v>
      </c>
      <c r="H794" s="31">
        <v>5.1727272727272728</v>
      </c>
      <c r="I794" s="31">
        <v>5.3454545454545448</v>
      </c>
      <c r="K794" s="27"/>
      <c r="L794" s="30"/>
      <c r="M794" s="30"/>
      <c r="N794" s="30"/>
      <c r="O794" s="30"/>
      <c r="P794" s="30"/>
      <c r="Q794" s="30"/>
      <c r="R794" s="30"/>
      <c r="S794" s="30"/>
    </row>
    <row r="795" spans="1:19" x14ac:dyDescent="0.25">
      <c r="A795" s="29">
        <v>45135</v>
      </c>
      <c r="B795" s="31">
        <v>0.40909090909090923</v>
      </c>
      <c r="C795" s="31">
        <v>0.83181818181818201</v>
      </c>
      <c r="D795" s="31">
        <v>1.2545454545454546</v>
      </c>
      <c r="E795" s="31">
        <v>3.5636363636363639</v>
      </c>
      <c r="F795" s="31">
        <v>3.872727272727273</v>
      </c>
      <c r="G795" s="31">
        <v>4.745454545454546</v>
      </c>
      <c r="H795" s="31">
        <v>5.2181818181818178</v>
      </c>
      <c r="I795" s="31">
        <v>5.3636363636363633</v>
      </c>
      <c r="K795" s="27"/>
      <c r="L795" s="30"/>
      <c r="M795" s="30"/>
      <c r="N795" s="30"/>
      <c r="O795" s="30"/>
      <c r="P795" s="30"/>
      <c r="Q795" s="30"/>
      <c r="R795" s="30"/>
      <c r="S795" s="30"/>
    </row>
    <row r="796" spans="1:19" x14ac:dyDescent="0.25">
      <c r="A796" s="29">
        <v>45138</v>
      </c>
      <c r="B796" s="31">
        <v>0.40000000000000008</v>
      </c>
      <c r="C796" s="31">
        <v>0.82272727272727275</v>
      </c>
      <c r="D796" s="31">
        <v>1.2454545454545451</v>
      </c>
      <c r="E796" s="31">
        <v>3.5636363636363639</v>
      </c>
      <c r="F796" s="31">
        <v>3.872727272727273</v>
      </c>
      <c r="G796" s="31">
        <v>4.745454545454546</v>
      </c>
      <c r="H796" s="31">
        <v>5.2181818181818178</v>
      </c>
      <c r="I796" s="31">
        <v>5.3636363636363633</v>
      </c>
      <c r="K796" s="27"/>
      <c r="L796" s="30"/>
      <c r="M796" s="30"/>
      <c r="N796" s="30"/>
      <c r="O796" s="30"/>
      <c r="P796" s="30"/>
      <c r="Q796" s="30"/>
      <c r="R796" s="30"/>
      <c r="S796" s="30"/>
    </row>
    <row r="797" spans="1:19" x14ac:dyDescent="0.25">
      <c r="A797" s="29">
        <v>45139</v>
      </c>
      <c r="B797" s="31">
        <v>0.40909090909090923</v>
      </c>
      <c r="C797" s="31">
        <v>0.82727272727272716</v>
      </c>
      <c r="D797" s="31">
        <v>1.2454545454545451</v>
      </c>
      <c r="E797" s="31">
        <v>3.5454545454545454</v>
      </c>
      <c r="F797" s="31">
        <v>3.8545454545454549</v>
      </c>
      <c r="G797" s="31">
        <v>4.7181818181818187</v>
      </c>
      <c r="H797" s="31">
        <v>5.2</v>
      </c>
      <c r="I797" s="31">
        <v>5.3454545454545448</v>
      </c>
      <c r="K797" s="27"/>
      <c r="L797" s="30"/>
      <c r="M797" s="30"/>
      <c r="N797" s="30"/>
      <c r="O797" s="30"/>
      <c r="P797" s="30"/>
      <c r="Q797" s="30"/>
      <c r="R797" s="30"/>
      <c r="S797" s="30"/>
    </row>
    <row r="798" spans="1:19" x14ac:dyDescent="0.25">
      <c r="A798" s="29">
        <v>45140</v>
      </c>
      <c r="B798" s="31">
        <v>0.40909090909090923</v>
      </c>
      <c r="C798" s="31">
        <v>0.81136363636363629</v>
      </c>
      <c r="D798" s="31">
        <v>1.2136363636363634</v>
      </c>
      <c r="E798" s="31">
        <v>3.5272727272727273</v>
      </c>
      <c r="F798" s="31">
        <v>3.8090909090909091</v>
      </c>
      <c r="G798" s="31">
        <v>4.7</v>
      </c>
      <c r="H798" s="31">
        <v>5.1499999999999986</v>
      </c>
      <c r="I798" s="31">
        <v>5.3227272727272723</v>
      </c>
      <c r="K798" s="27"/>
      <c r="L798" s="30"/>
      <c r="M798" s="30"/>
      <c r="N798" s="30"/>
      <c r="O798" s="30"/>
      <c r="P798" s="30"/>
      <c r="Q798" s="30"/>
      <c r="R798" s="30"/>
      <c r="S798" s="30"/>
    </row>
    <row r="799" spans="1:19" x14ac:dyDescent="0.25">
      <c r="A799" s="29">
        <v>45141</v>
      </c>
      <c r="B799" s="31">
        <v>0.40454545454545465</v>
      </c>
      <c r="C799" s="31">
        <v>0.81136363636363651</v>
      </c>
      <c r="D799" s="31">
        <v>1.218181818181818</v>
      </c>
      <c r="E799" s="31">
        <v>3.5272727272727273</v>
      </c>
      <c r="F799" s="31">
        <v>3.8090909090909091</v>
      </c>
      <c r="G799" s="31">
        <v>4.7</v>
      </c>
      <c r="H799" s="31">
        <v>5.1499999999999986</v>
      </c>
      <c r="I799" s="31">
        <v>5.3227272727272723</v>
      </c>
      <c r="K799" s="27"/>
      <c r="L799" s="30"/>
      <c r="M799" s="30"/>
      <c r="N799" s="30"/>
      <c r="O799" s="30"/>
      <c r="P799" s="30"/>
      <c r="Q799" s="30"/>
      <c r="R799" s="30"/>
      <c r="S799" s="30"/>
    </row>
    <row r="800" spans="1:19" x14ac:dyDescent="0.25">
      <c r="A800" s="29">
        <v>45142</v>
      </c>
      <c r="B800" s="31">
        <v>0.40454545454545465</v>
      </c>
      <c r="C800" s="31">
        <v>0.80909090909090897</v>
      </c>
      <c r="D800" s="31">
        <v>1.2136363636363634</v>
      </c>
      <c r="E800" s="31">
        <v>3.5272727272727273</v>
      </c>
      <c r="F800" s="31">
        <v>3.8090909090909091</v>
      </c>
      <c r="G800" s="31">
        <v>4.7</v>
      </c>
      <c r="H800" s="31">
        <v>5.1499999999999986</v>
      </c>
      <c r="I800" s="31">
        <v>5.3227272727272723</v>
      </c>
      <c r="K800" s="27"/>
      <c r="L800" s="30"/>
      <c r="M800" s="30"/>
      <c r="N800" s="30"/>
      <c r="O800" s="30"/>
      <c r="P800" s="30"/>
      <c r="Q800" s="30"/>
      <c r="R800" s="30"/>
      <c r="S800" s="30"/>
    </row>
    <row r="801" spans="1:19" x14ac:dyDescent="0.25">
      <c r="A801" s="29">
        <v>45145</v>
      </c>
      <c r="B801" s="31">
        <v>0.41363636363636375</v>
      </c>
      <c r="C801" s="31">
        <v>0.81818181818181823</v>
      </c>
      <c r="D801" s="31">
        <v>1.2227272727272727</v>
      </c>
      <c r="E801" s="31">
        <v>3.4454545454545467</v>
      </c>
      <c r="F801" s="31">
        <v>3.7000000000000006</v>
      </c>
      <c r="G801" s="31">
        <v>4.5636363636363635</v>
      </c>
      <c r="H801" s="31">
        <v>4.9499999999999993</v>
      </c>
      <c r="I801" s="31">
        <v>5.1681818181818171</v>
      </c>
      <c r="K801" s="27"/>
      <c r="L801" s="30"/>
      <c r="M801" s="30"/>
      <c r="N801" s="30"/>
      <c r="O801" s="30"/>
      <c r="P801" s="30"/>
      <c r="Q801" s="30"/>
      <c r="R801" s="30"/>
      <c r="S801" s="30"/>
    </row>
    <row r="802" spans="1:19" x14ac:dyDescent="0.25">
      <c r="A802" s="29">
        <v>45146</v>
      </c>
      <c r="B802" s="31">
        <v>0.40000000000000008</v>
      </c>
      <c r="C802" s="31">
        <v>0.8136363636363636</v>
      </c>
      <c r="D802" s="31">
        <v>1.2272727272727271</v>
      </c>
      <c r="E802" s="31">
        <v>3.5272727272727273</v>
      </c>
      <c r="F802" s="31">
        <v>3.7636363636363641</v>
      </c>
      <c r="G802" s="31">
        <v>4.6545454545454552</v>
      </c>
      <c r="H802" s="31">
        <v>5.0590909090909086</v>
      </c>
      <c r="I802" s="31">
        <v>5.2772727272727264</v>
      </c>
      <c r="K802" s="27"/>
      <c r="L802" s="30"/>
      <c r="M802" s="30"/>
      <c r="N802" s="30"/>
      <c r="O802" s="30"/>
      <c r="P802" s="30"/>
      <c r="Q802" s="30"/>
      <c r="R802" s="30"/>
      <c r="S802" s="30"/>
    </row>
    <row r="803" spans="1:19" x14ac:dyDescent="0.25">
      <c r="A803" s="29">
        <v>45147</v>
      </c>
      <c r="B803" s="31">
        <v>0.38636363636363646</v>
      </c>
      <c r="C803" s="31">
        <v>0.80454545454545445</v>
      </c>
      <c r="D803" s="31">
        <v>1.2227272727272727</v>
      </c>
      <c r="E803" s="31">
        <v>3.5272727272727273</v>
      </c>
      <c r="F803" s="31">
        <v>3.7636363636363641</v>
      </c>
      <c r="G803" s="31">
        <v>4.6545454545454552</v>
      </c>
      <c r="H803" s="31">
        <v>5.0590909090909086</v>
      </c>
      <c r="I803" s="31">
        <v>5.2772727272727264</v>
      </c>
      <c r="K803" s="27"/>
      <c r="L803" s="30"/>
      <c r="M803" s="30"/>
      <c r="N803" s="30"/>
      <c r="O803" s="30"/>
      <c r="P803" s="30"/>
      <c r="Q803" s="30"/>
      <c r="R803" s="30"/>
      <c r="S803" s="30"/>
    </row>
    <row r="804" spans="1:19" x14ac:dyDescent="0.25">
      <c r="A804" s="29">
        <v>45148</v>
      </c>
      <c r="B804" s="31">
        <v>0.3727272727272728</v>
      </c>
      <c r="C804" s="31">
        <v>0.78409090909090895</v>
      </c>
      <c r="D804" s="31">
        <v>1.1954545454545451</v>
      </c>
      <c r="E804" s="31">
        <v>3.5272727272727273</v>
      </c>
      <c r="F804" s="31">
        <v>3.7636363636363641</v>
      </c>
      <c r="G804" s="31">
        <v>4.6545454545454552</v>
      </c>
      <c r="H804" s="31">
        <v>5.0590909090909086</v>
      </c>
      <c r="I804" s="31">
        <v>5.2772727272727264</v>
      </c>
      <c r="K804" s="27"/>
      <c r="L804" s="30"/>
      <c r="M804" s="30"/>
      <c r="N804" s="30"/>
      <c r="O804" s="30"/>
      <c r="P804" s="30"/>
      <c r="Q804" s="30"/>
      <c r="R804" s="30"/>
      <c r="S804" s="30"/>
    </row>
    <row r="805" spans="1:19" x14ac:dyDescent="0.25">
      <c r="A805" s="29">
        <v>45149</v>
      </c>
      <c r="B805" s="31">
        <v>0.3727272727272728</v>
      </c>
      <c r="C805" s="31">
        <v>0.75909090909090904</v>
      </c>
      <c r="D805" s="31">
        <v>1.1454545454545451</v>
      </c>
      <c r="E805" s="31">
        <v>3.5272727272727273</v>
      </c>
      <c r="F805" s="31">
        <v>3.7636363636363641</v>
      </c>
      <c r="G805" s="31">
        <v>4.6545454545454552</v>
      </c>
      <c r="H805" s="31">
        <v>5.0590909090909086</v>
      </c>
      <c r="I805" s="31">
        <v>5.2772727272727264</v>
      </c>
      <c r="K805" s="27"/>
      <c r="L805" s="30"/>
      <c r="M805" s="30"/>
      <c r="N805" s="30"/>
      <c r="O805" s="30"/>
      <c r="P805" s="30"/>
      <c r="Q805" s="30"/>
      <c r="R805" s="30"/>
      <c r="S805" s="30"/>
    </row>
    <row r="806" spans="1:19" x14ac:dyDescent="0.25">
      <c r="A806" s="29">
        <v>45152</v>
      </c>
      <c r="B806" s="31">
        <v>0.3727272727272728</v>
      </c>
      <c r="C806" s="31">
        <v>0.77272727272727271</v>
      </c>
      <c r="D806" s="31">
        <v>1.1727272727272724</v>
      </c>
      <c r="E806" s="31">
        <v>3.3727272727272726</v>
      </c>
      <c r="F806" s="31">
        <v>3.6272727272727274</v>
      </c>
      <c r="G806" s="31">
        <v>4.581818181818182</v>
      </c>
      <c r="H806" s="31">
        <v>5.0136363636363637</v>
      </c>
      <c r="I806" s="31">
        <v>5.2590909090909088</v>
      </c>
      <c r="K806" s="27"/>
      <c r="L806" s="30"/>
      <c r="M806" s="30"/>
      <c r="N806" s="30"/>
      <c r="O806" s="30"/>
      <c r="P806" s="30"/>
      <c r="Q806" s="30"/>
      <c r="R806" s="30"/>
      <c r="S806" s="30"/>
    </row>
    <row r="807" spans="1:19" x14ac:dyDescent="0.25">
      <c r="A807" s="29">
        <v>45153</v>
      </c>
      <c r="B807" s="31">
        <v>0.38181818181818189</v>
      </c>
      <c r="C807" s="31">
        <v>0.77727272727272723</v>
      </c>
      <c r="D807" s="31">
        <v>1.1727272727272724</v>
      </c>
      <c r="E807" s="31">
        <v>3.3727272727272726</v>
      </c>
      <c r="F807" s="31">
        <v>3.6272727272727274</v>
      </c>
      <c r="G807" s="31">
        <v>4.581818181818182</v>
      </c>
      <c r="H807" s="31">
        <v>5.0136363636363637</v>
      </c>
      <c r="I807" s="31">
        <v>5.2590909090909088</v>
      </c>
      <c r="K807" s="27"/>
      <c r="L807" s="30"/>
      <c r="M807" s="30"/>
      <c r="N807" s="30"/>
      <c r="O807" s="30"/>
      <c r="P807" s="30"/>
      <c r="Q807" s="30"/>
      <c r="R807" s="30"/>
      <c r="S807" s="30"/>
    </row>
    <row r="808" spans="1:19" x14ac:dyDescent="0.25">
      <c r="A808" s="29">
        <v>45154</v>
      </c>
      <c r="B808" s="31">
        <v>0.38181818181818189</v>
      </c>
      <c r="C808" s="31">
        <v>0.78295454545454535</v>
      </c>
      <c r="D808" s="31">
        <v>1.1840909090909089</v>
      </c>
      <c r="E808" s="31">
        <v>3.3727272727272726</v>
      </c>
      <c r="F808" s="31">
        <v>3.5363636363636366</v>
      </c>
      <c r="G808" s="31">
        <v>4.5363636363636353</v>
      </c>
      <c r="H808" s="31">
        <v>4.9409090909090914</v>
      </c>
      <c r="I808" s="31">
        <v>5.2045454545454533</v>
      </c>
      <c r="K808" s="27"/>
      <c r="L808" s="30"/>
      <c r="M808" s="30"/>
      <c r="N808" s="30"/>
      <c r="O808" s="30"/>
      <c r="P808" s="30"/>
      <c r="Q808" s="30"/>
      <c r="R808" s="30"/>
      <c r="S808" s="30"/>
    </row>
    <row r="809" spans="1:19" x14ac:dyDescent="0.25">
      <c r="A809" s="29">
        <v>45155</v>
      </c>
      <c r="B809" s="31">
        <v>0.38181818181818189</v>
      </c>
      <c r="C809" s="31">
        <v>0.77727272727272734</v>
      </c>
      <c r="D809" s="31">
        <v>1.1727272727272726</v>
      </c>
      <c r="E809" s="31">
        <v>3.3545454545454545</v>
      </c>
      <c r="F809" s="31">
        <v>3.5363636363636366</v>
      </c>
      <c r="G809" s="31">
        <v>4.5363636363636353</v>
      </c>
      <c r="H809" s="31">
        <v>4.9409090909090914</v>
      </c>
      <c r="I809" s="31">
        <v>5.2045454545454533</v>
      </c>
      <c r="K809" s="27"/>
      <c r="L809" s="30"/>
      <c r="M809" s="30"/>
      <c r="N809" s="30"/>
      <c r="O809" s="30"/>
      <c r="P809" s="30"/>
      <c r="Q809" s="30"/>
      <c r="R809" s="30"/>
      <c r="S809" s="30"/>
    </row>
    <row r="810" spans="1:19" x14ac:dyDescent="0.25">
      <c r="A810" s="29">
        <v>45156</v>
      </c>
      <c r="B810" s="31">
        <v>0.37954545454545463</v>
      </c>
      <c r="C810" s="31">
        <v>0.77159090909090922</v>
      </c>
      <c r="D810" s="31">
        <v>1.1636363636363638</v>
      </c>
      <c r="E810" s="31">
        <v>3.2363636363636372</v>
      </c>
      <c r="F810" s="31">
        <v>3.4636363636363638</v>
      </c>
      <c r="G810" s="31">
        <v>4.4909090909090903</v>
      </c>
      <c r="H810" s="31">
        <v>4.8954545454545455</v>
      </c>
      <c r="I810" s="31">
        <v>5.1590909090909083</v>
      </c>
      <c r="K810" s="27"/>
      <c r="L810" s="30"/>
      <c r="M810" s="30"/>
      <c r="N810" s="30"/>
      <c r="O810" s="30"/>
      <c r="P810" s="30"/>
      <c r="Q810" s="30"/>
      <c r="R810" s="30"/>
      <c r="S810" s="30"/>
    </row>
    <row r="811" spans="1:19" x14ac:dyDescent="0.25">
      <c r="A811" s="29">
        <v>45159</v>
      </c>
      <c r="B811" s="31">
        <v>0.3727272727272728</v>
      </c>
      <c r="C811" s="31">
        <v>0.7681818181818183</v>
      </c>
      <c r="D811" s="31">
        <v>1.1636363636363638</v>
      </c>
      <c r="E811" s="31">
        <v>3.181818181818183</v>
      </c>
      <c r="F811" s="31">
        <v>3.418181818181818</v>
      </c>
      <c r="G811" s="31">
        <v>4.4454545454545444</v>
      </c>
      <c r="H811" s="31">
        <v>4.8409090909090908</v>
      </c>
      <c r="I811" s="31">
        <v>5.1227272727272721</v>
      </c>
      <c r="K811" s="27"/>
      <c r="L811" s="30"/>
      <c r="M811" s="30"/>
      <c r="N811" s="30"/>
      <c r="O811" s="30"/>
      <c r="P811" s="30"/>
      <c r="Q811" s="30"/>
      <c r="R811" s="30"/>
      <c r="S811" s="30"/>
    </row>
    <row r="812" spans="1:19" x14ac:dyDescent="0.25">
      <c r="A812" s="29">
        <v>45160</v>
      </c>
      <c r="B812" s="31">
        <v>0.31818181818181818</v>
      </c>
      <c r="C812" s="31">
        <v>0.68181818181818177</v>
      </c>
      <c r="D812" s="31">
        <v>1.0454545454545454</v>
      </c>
      <c r="E812" s="31">
        <v>3.181818181818183</v>
      </c>
      <c r="F812" s="31">
        <v>3.418181818181818</v>
      </c>
      <c r="G812" s="31">
        <v>4.4454545454545444</v>
      </c>
      <c r="H812" s="31">
        <v>4.8409090909090908</v>
      </c>
      <c r="I812" s="31">
        <v>5.1227272727272721</v>
      </c>
      <c r="K812" s="27"/>
      <c r="L812" s="30"/>
      <c r="M812" s="30"/>
      <c r="N812" s="30"/>
      <c r="O812" s="30"/>
      <c r="P812" s="30"/>
      <c r="Q812" s="30"/>
      <c r="R812" s="30"/>
      <c r="S812" s="30"/>
    </row>
    <row r="813" spans="1:19" x14ac:dyDescent="0.25">
      <c r="A813" s="29">
        <v>45161</v>
      </c>
      <c r="B813" s="31">
        <v>0.30454545454545456</v>
      </c>
      <c r="C813" s="31">
        <v>0.66363636363636369</v>
      </c>
      <c r="D813" s="31">
        <v>1.0227272727272727</v>
      </c>
      <c r="E813" s="31">
        <v>3.181818181818183</v>
      </c>
      <c r="F813" s="31">
        <v>3.418181818181818</v>
      </c>
      <c r="G813" s="31">
        <v>4.4454545454545444</v>
      </c>
      <c r="H813" s="31">
        <v>4.8409090909090908</v>
      </c>
      <c r="I813" s="31">
        <v>5.1227272727272721</v>
      </c>
      <c r="K813" s="27"/>
      <c r="L813" s="30"/>
      <c r="M813" s="30"/>
      <c r="N813" s="30"/>
      <c r="O813" s="30"/>
      <c r="P813" s="30"/>
      <c r="Q813" s="30"/>
      <c r="R813" s="30"/>
      <c r="S813" s="30"/>
    </row>
    <row r="814" spans="1:19" x14ac:dyDescent="0.25">
      <c r="A814" s="29">
        <v>45162</v>
      </c>
      <c r="B814" s="31">
        <v>0.27272727272727271</v>
      </c>
      <c r="C814" s="31">
        <v>0.63409090909090915</v>
      </c>
      <c r="D814" s="31">
        <v>0.99545454545454559</v>
      </c>
      <c r="E814" s="31">
        <v>3.181818181818183</v>
      </c>
      <c r="F814" s="31">
        <v>3.418181818181818</v>
      </c>
      <c r="G814" s="31">
        <v>4.4454545454545444</v>
      </c>
      <c r="H814" s="31">
        <v>4.8409090909090908</v>
      </c>
      <c r="I814" s="31">
        <v>5.1227272727272721</v>
      </c>
      <c r="K814" s="27"/>
      <c r="L814" s="30"/>
      <c r="M814" s="30"/>
      <c r="N814" s="30"/>
      <c r="O814" s="30"/>
      <c r="P814" s="30"/>
      <c r="Q814" s="30"/>
      <c r="R814" s="30"/>
      <c r="S814" s="30"/>
    </row>
    <row r="815" spans="1:19" x14ac:dyDescent="0.25">
      <c r="A815" s="29">
        <v>45163</v>
      </c>
      <c r="B815" s="31">
        <v>0.27272727272727271</v>
      </c>
      <c r="C815" s="31">
        <v>0.63181818181818195</v>
      </c>
      <c r="D815" s="31">
        <v>0.99090909090909107</v>
      </c>
      <c r="E815" s="31">
        <v>3.1545454545454552</v>
      </c>
      <c r="F815" s="31">
        <v>3.4454545454545453</v>
      </c>
      <c r="G815" s="31">
        <v>4.4454545454545444</v>
      </c>
      <c r="H815" s="31">
        <v>4.8409090909090908</v>
      </c>
      <c r="I815" s="31">
        <v>5.1227272727272721</v>
      </c>
      <c r="K815" s="27"/>
      <c r="L815" s="30"/>
      <c r="M815" s="30"/>
      <c r="N815" s="30"/>
      <c r="O815" s="30"/>
      <c r="P815" s="30"/>
      <c r="Q815" s="30"/>
      <c r="R815" s="30"/>
      <c r="S815" s="30"/>
    </row>
    <row r="816" spans="1:19" x14ac:dyDescent="0.25">
      <c r="A816" s="29">
        <v>45166</v>
      </c>
      <c r="B816" s="31">
        <v>0.26363636363636361</v>
      </c>
      <c r="C816" s="31">
        <v>0.60681818181818192</v>
      </c>
      <c r="D816" s="31">
        <v>0.95000000000000029</v>
      </c>
      <c r="E816" s="31">
        <v>3.1545454545454552</v>
      </c>
      <c r="F816" s="31">
        <v>3.4454545454545453</v>
      </c>
      <c r="G816" s="31">
        <v>4.4454545454545444</v>
      </c>
      <c r="H816" s="31">
        <v>4.8409090909090908</v>
      </c>
      <c r="I816" s="31">
        <v>5.1227272727272721</v>
      </c>
      <c r="K816" s="27"/>
      <c r="L816" s="30"/>
      <c r="M816" s="30"/>
      <c r="N816" s="30"/>
      <c r="O816" s="30"/>
      <c r="P816" s="30"/>
      <c r="Q816" s="30"/>
      <c r="R816" s="30"/>
      <c r="S816" s="30"/>
    </row>
    <row r="817" spans="1:19" x14ac:dyDescent="0.25">
      <c r="A817" s="29">
        <v>45167</v>
      </c>
      <c r="B817" s="31">
        <v>0.27272727272727271</v>
      </c>
      <c r="C817" s="31">
        <v>0.61363636363636365</v>
      </c>
      <c r="D817" s="31">
        <v>0.95454545454545459</v>
      </c>
      <c r="E817" s="31">
        <v>3.1545454545454552</v>
      </c>
      <c r="F817" s="31">
        <v>3.4454545454545453</v>
      </c>
      <c r="G817" s="31">
        <v>4.4454545454545444</v>
      </c>
      <c r="H817" s="31">
        <v>4.8409090909090908</v>
      </c>
      <c r="I817" s="31">
        <v>5.1227272727272721</v>
      </c>
      <c r="K817" s="27"/>
      <c r="L817" s="30"/>
      <c r="M817" s="30"/>
      <c r="N817" s="30"/>
      <c r="O817" s="30"/>
      <c r="P817" s="30"/>
      <c r="Q817" s="30"/>
      <c r="R817" s="30"/>
      <c r="S817" s="30"/>
    </row>
    <row r="818" spans="1:19" x14ac:dyDescent="0.25">
      <c r="A818" s="29">
        <v>45168</v>
      </c>
      <c r="B818" s="31">
        <v>0.27499999999999997</v>
      </c>
      <c r="C818" s="31">
        <v>0.61022727272727273</v>
      </c>
      <c r="D818" s="31">
        <v>0.94545454545454555</v>
      </c>
      <c r="E818" s="31">
        <v>3.1545454545454552</v>
      </c>
      <c r="F818" s="31">
        <v>3.4454545454545453</v>
      </c>
      <c r="G818" s="31">
        <v>4.4454545454545444</v>
      </c>
      <c r="H818" s="31">
        <v>4.8409090909090908</v>
      </c>
      <c r="I818" s="31">
        <v>5.1227272727272721</v>
      </c>
      <c r="K818" s="27"/>
      <c r="L818" s="30"/>
      <c r="M818" s="30"/>
      <c r="N818" s="30"/>
      <c r="O818" s="30"/>
      <c r="P818" s="30"/>
      <c r="Q818" s="30"/>
      <c r="R818" s="30"/>
      <c r="S818" s="30"/>
    </row>
    <row r="819" spans="1:19" x14ac:dyDescent="0.25">
      <c r="A819" s="29">
        <v>45169</v>
      </c>
      <c r="B819" s="31">
        <v>0.26363636363636361</v>
      </c>
      <c r="C819" s="31">
        <v>0.6022727272727274</v>
      </c>
      <c r="D819" s="31">
        <v>0.94090909090909125</v>
      </c>
      <c r="E819" s="31">
        <v>3.1545454545454552</v>
      </c>
      <c r="F819" s="31">
        <v>3.4454545454545453</v>
      </c>
      <c r="G819" s="31">
        <v>4.4454545454545444</v>
      </c>
      <c r="H819" s="31">
        <v>4.8409090909090908</v>
      </c>
      <c r="I819" s="31">
        <v>5.1227272727272721</v>
      </c>
      <c r="K819" s="27"/>
      <c r="L819" s="30"/>
      <c r="M819" s="30"/>
      <c r="N819" s="30"/>
      <c r="O819" s="30"/>
      <c r="P819" s="30"/>
      <c r="Q819" s="30"/>
      <c r="R819" s="30"/>
      <c r="S819" s="30"/>
    </row>
    <row r="820" spans="1:19" x14ac:dyDescent="0.25">
      <c r="A820" s="29">
        <v>45174</v>
      </c>
      <c r="B820" s="31">
        <v>0.27045454545454545</v>
      </c>
      <c r="C820" s="31">
        <v>0.59772727272727277</v>
      </c>
      <c r="D820" s="31">
        <v>0.92500000000000016</v>
      </c>
      <c r="E820" s="31">
        <v>3.1727272727272737</v>
      </c>
      <c r="F820" s="31">
        <v>3.4636363636363638</v>
      </c>
      <c r="G820" s="31">
        <v>4.4272727272727268</v>
      </c>
      <c r="H820" s="31">
        <v>4.8409090909090908</v>
      </c>
      <c r="I820" s="31">
        <v>5.1227272727272721</v>
      </c>
      <c r="K820" s="27"/>
      <c r="L820" s="30"/>
      <c r="M820" s="30"/>
      <c r="N820" s="30"/>
      <c r="O820" s="30"/>
      <c r="P820" s="30"/>
      <c r="Q820" s="30"/>
      <c r="R820" s="30"/>
      <c r="S820" s="30"/>
    </row>
    <row r="821" spans="1:19" x14ac:dyDescent="0.25">
      <c r="A821" s="29">
        <v>45175</v>
      </c>
      <c r="B821" s="31">
        <v>0.25909090909090904</v>
      </c>
      <c r="C821" s="31">
        <v>0.56590909090909092</v>
      </c>
      <c r="D821" s="31">
        <v>0.87272727272727291</v>
      </c>
      <c r="E821" s="31">
        <v>3.1272727272727279</v>
      </c>
      <c r="F821" s="31">
        <v>3.4545454545454546</v>
      </c>
      <c r="G821" s="31">
        <v>4.4272727272727268</v>
      </c>
      <c r="H821" s="31">
        <v>4.8409090909090908</v>
      </c>
      <c r="I821" s="31">
        <v>5.1227272727272721</v>
      </c>
      <c r="K821" s="27"/>
      <c r="L821" s="30"/>
      <c r="M821" s="30"/>
      <c r="N821" s="30"/>
      <c r="O821" s="30"/>
      <c r="P821" s="30"/>
      <c r="Q821" s="30"/>
      <c r="R821" s="30"/>
      <c r="S821" s="30"/>
    </row>
    <row r="822" spans="1:19" x14ac:dyDescent="0.25">
      <c r="A822" s="29">
        <v>45176</v>
      </c>
      <c r="B822" s="31">
        <v>0.23599999999999999</v>
      </c>
      <c r="C822" s="31">
        <v>0.53900000000000003</v>
      </c>
      <c r="D822" s="31">
        <v>0.84099999999999997</v>
      </c>
      <c r="E822" s="31">
        <v>3.1269999999999998</v>
      </c>
      <c r="F822" s="31">
        <v>3.4550000000000001</v>
      </c>
      <c r="G822" s="31">
        <v>4.4269999999999996</v>
      </c>
      <c r="H822" s="31">
        <v>4.8410000000000002</v>
      </c>
      <c r="I822" s="31">
        <v>5.1230000000000002</v>
      </c>
      <c r="K822" s="27"/>
      <c r="L822" s="30"/>
      <c r="M822" s="30"/>
      <c r="N822" s="30"/>
      <c r="O822" s="30"/>
      <c r="P822" s="30"/>
      <c r="Q822" s="30"/>
      <c r="R822" s="30"/>
      <c r="S822" s="30"/>
    </row>
    <row r="823" spans="1:19" x14ac:dyDescent="0.25">
      <c r="A823" s="29">
        <v>45177</v>
      </c>
      <c r="B823" s="31">
        <v>0.22499999999999998</v>
      </c>
      <c r="C823" s="31">
        <v>0.4897727272727273</v>
      </c>
      <c r="D823" s="31">
        <v>0.75454545454545474</v>
      </c>
      <c r="E823" s="31">
        <v>3.1272727272727279</v>
      </c>
      <c r="F823" s="31">
        <v>3.4545454545454546</v>
      </c>
      <c r="G823" s="31">
        <v>4.4272727272727268</v>
      </c>
      <c r="H823" s="31">
        <v>4.8409090909090908</v>
      </c>
      <c r="I823" s="31">
        <v>5.1227272727272721</v>
      </c>
      <c r="K823" s="27"/>
      <c r="L823" s="30"/>
      <c r="M823" s="30"/>
      <c r="N823" s="30"/>
      <c r="O823" s="30"/>
      <c r="P823" s="30"/>
      <c r="Q823" s="30"/>
      <c r="R823" s="30"/>
      <c r="S823" s="30"/>
    </row>
    <row r="824" spans="1:19" x14ac:dyDescent="0.25">
      <c r="A824" s="29">
        <v>45180</v>
      </c>
      <c r="B824" s="31">
        <v>0.22499999999999998</v>
      </c>
      <c r="C824" s="31">
        <v>0.48863636363636376</v>
      </c>
      <c r="D824" s="31">
        <v>0.75227272727272743</v>
      </c>
      <c r="E824" s="31">
        <v>3.0636363636363644</v>
      </c>
      <c r="F824" s="31">
        <v>3.3727272727272726</v>
      </c>
      <c r="G824" s="31">
        <v>4.4272727272727268</v>
      </c>
      <c r="H824" s="31">
        <v>4.8409090909090908</v>
      </c>
      <c r="I824" s="31">
        <v>5.0863636363636351</v>
      </c>
      <c r="K824" s="27"/>
      <c r="L824" s="30"/>
      <c r="M824" s="30"/>
      <c r="N824" s="30"/>
      <c r="O824" s="30"/>
      <c r="P824" s="30"/>
      <c r="Q824" s="30"/>
      <c r="R824" s="30"/>
      <c r="S824" s="30"/>
    </row>
    <row r="825" spans="1:19" x14ac:dyDescent="0.25">
      <c r="A825" s="29">
        <v>45181</v>
      </c>
      <c r="B825" s="31">
        <v>0.20909090909090908</v>
      </c>
      <c r="C825" s="31">
        <v>0.46590909090909094</v>
      </c>
      <c r="D825" s="31">
        <v>0.72272727272727288</v>
      </c>
      <c r="E825" s="31">
        <v>3.0090909090909097</v>
      </c>
      <c r="F825" s="31">
        <v>3.3545454545454545</v>
      </c>
      <c r="G825" s="31">
        <v>4.3363636363636351</v>
      </c>
      <c r="H825" s="31">
        <v>4.7681818181818176</v>
      </c>
      <c r="I825" s="31">
        <v>5.0681818181818166</v>
      </c>
      <c r="K825" s="27"/>
      <c r="L825" s="30"/>
      <c r="M825" s="30"/>
      <c r="N825" s="30"/>
      <c r="O825" s="30"/>
      <c r="P825" s="30"/>
      <c r="Q825" s="30"/>
      <c r="R825" s="30"/>
      <c r="S825" s="30"/>
    </row>
    <row r="826" spans="1:19" x14ac:dyDescent="0.25">
      <c r="A826" s="29">
        <v>45182</v>
      </c>
      <c r="B826" s="31">
        <v>0.20681818181818179</v>
      </c>
      <c r="C826" s="31">
        <v>0.46477272727272739</v>
      </c>
      <c r="D826" s="31">
        <v>0.72272727272727288</v>
      </c>
      <c r="E826" s="31">
        <v>2.9000000000000004</v>
      </c>
      <c r="F826" s="31">
        <v>3.2727272727272725</v>
      </c>
      <c r="G826" s="31">
        <v>4.3363636363636351</v>
      </c>
      <c r="H826" s="31">
        <v>4.7681818181818176</v>
      </c>
      <c r="I826" s="31">
        <v>5.0681818181818166</v>
      </c>
      <c r="K826" s="27"/>
      <c r="L826" s="30"/>
      <c r="M826" s="30"/>
      <c r="N826" s="30"/>
      <c r="O826" s="30"/>
      <c r="P826" s="30"/>
      <c r="Q826" s="30"/>
      <c r="R826" s="30"/>
      <c r="S826" s="30"/>
    </row>
    <row r="827" spans="1:19" x14ac:dyDescent="0.25">
      <c r="A827" s="29">
        <v>45183</v>
      </c>
      <c r="B827" s="31">
        <v>0.20681818181818179</v>
      </c>
      <c r="C827" s="31">
        <v>0.46022727272727276</v>
      </c>
      <c r="D827" s="31">
        <v>0.71363636363636374</v>
      </c>
      <c r="E827" s="31">
        <v>2.827272727272728</v>
      </c>
      <c r="F827" s="31">
        <v>3.2454545454545451</v>
      </c>
      <c r="G827" s="31">
        <v>4.2727272727272716</v>
      </c>
      <c r="H827" s="31">
        <v>4.6499999999999995</v>
      </c>
      <c r="I827" s="31">
        <v>4.9499999999999993</v>
      </c>
      <c r="K827" s="27"/>
      <c r="L827" s="30"/>
      <c r="M827" s="30"/>
      <c r="N827" s="30"/>
      <c r="O827" s="30"/>
      <c r="P827" s="30"/>
      <c r="Q827" s="30"/>
      <c r="R827" s="30"/>
      <c r="S827" s="30"/>
    </row>
    <row r="828" spans="1:19" x14ac:dyDescent="0.25">
      <c r="A828" s="29">
        <v>45184</v>
      </c>
      <c r="B828" s="31">
        <v>0.21818181818181814</v>
      </c>
      <c r="C828" s="31">
        <v>0.46818181818181825</v>
      </c>
      <c r="D828" s="31">
        <v>0.71818181818181837</v>
      </c>
      <c r="E828" s="31">
        <v>2.8363636363636369</v>
      </c>
      <c r="F828" s="31">
        <v>3.2181818181818178</v>
      </c>
      <c r="G828" s="31">
        <v>4.2727272727272716</v>
      </c>
      <c r="H828" s="31">
        <v>4.6499999999999995</v>
      </c>
      <c r="I828" s="31">
        <v>4.9499999999999993</v>
      </c>
      <c r="K828" s="27"/>
      <c r="L828" s="30"/>
      <c r="M828" s="30"/>
      <c r="N828" s="30"/>
      <c r="O828" s="30"/>
      <c r="P828" s="30"/>
      <c r="Q828" s="30"/>
      <c r="R828" s="30"/>
      <c r="S828" s="30"/>
    </row>
    <row r="829" spans="1:19" x14ac:dyDescent="0.25">
      <c r="A829" s="29">
        <v>45187</v>
      </c>
      <c r="B829" s="31">
        <v>0.21818181818181814</v>
      </c>
      <c r="C829" s="31">
        <v>0.46590909090909094</v>
      </c>
      <c r="D829" s="31">
        <v>0.71363636363636374</v>
      </c>
      <c r="E829" s="31">
        <v>2.827272727272728</v>
      </c>
      <c r="F829" s="31">
        <v>3.2181818181818178</v>
      </c>
      <c r="G829" s="31">
        <v>4.2727272727272716</v>
      </c>
      <c r="H829" s="31">
        <v>4.6499999999999995</v>
      </c>
      <c r="I829" s="31">
        <v>4.9318181818181817</v>
      </c>
      <c r="K829" s="27"/>
      <c r="L829" s="30"/>
      <c r="M829" s="30"/>
      <c r="N829" s="30"/>
      <c r="O829" s="30"/>
      <c r="P829" s="30"/>
      <c r="Q829" s="30"/>
      <c r="R829" s="30"/>
      <c r="S829" s="30"/>
    </row>
    <row r="830" spans="1:19" x14ac:dyDescent="0.25">
      <c r="A830" s="29">
        <v>45188</v>
      </c>
      <c r="B830" s="31">
        <v>0.21590909090909086</v>
      </c>
      <c r="C830" s="31">
        <v>0.45340909090909093</v>
      </c>
      <c r="D830" s="31">
        <v>0.69090909090909103</v>
      </c>
      <c r="E830" s="31">
        <v>2.831818181818182</v>
      </c>
      <c r="F830" s="31">
        <v>3.2181818181818178</v>
      </c>
      <c r="G830" s="31">
        <v>4.2636363636363628</v>
      </c>
      <c r="H830" s="31">
        <v>4.6318181818181809</v>
      </c>
      <c r="I830" s="31">
        <v>4.922727272727272</v>
      </c>
      <c r="K830" s="27"/>
      <c r="L830" s="30"/>
      <c r="M830" s="30"/>
      <c r="N830" s="30"/>
      <c r="O830" s="30"/>
      <c r="P830" s="30"/>
      <c r="Q830" s="30"/>
      <c r="R830" s="30"/>
      <c r="S830" s="30"/>
    </row>
    <row r="831" spans="1:19" x14ac:dyDescent="0.25">
      <c r="A831" s="29">
        <v>45189</v>
      </c>
      <c r="B831" s="31">
        <v>0.21136363636363636</v>
      </c>
      <c r="C831" s="31">
        <v>0.43295454545454548</v>
      </c>
      <c r="D831" s="31">
        <v>0.65454545454545465</v>
      </c>
      <c r="E831" s="31">
        <v>2.831818181818182</v>
      </c>
      <c r="F831" s="31">
        <v>3.2181818181818178</v>
      </c>
      <c r="G831" s="31">
        <v>4.2636363636363628</v>
      </c>
      <c r="H831" s="31">
        <v>4.6318181818181809</v>
      </c>
      <c r="I831" s="31">
        <v>4.8954545454545455</v>
      </c>
      <c r="K831" s="27"/>
      <c r="L831" s="30"/>
      <c r="M831" s="30"/>
      <c r="N831" s="30"/>
      <c r="O831" s="30"/>
      <c r="P831" s="30"/>
      <c r="Q831" s="30"/>
      <c r="R831" s="30"/>
      <c r="S831" s="30"/>
    </row>
    <row r="832" spans="1:19" x14ac:dyDescent="0.25">
      <c r="A832" s="29">
        <v>45190</v>
      </c>
      <c r="B832" s="31">
        <v>0.21136363636363636</v>
      </c>
      <c r="C832" s="31">
        <v>0.43295454545454548</v>
      </c>
      <c r="D832" s="31">
        <v>0.65454545454545465</v>
      </c>
      <c r="E832" s="31">
        <v>2.831818181818182</v>
      </c>
      <c r="F832" s="31">
        <v>3.2181818181818178</v>
      </c>
      <c r="G832" s="31">
        <v>4.2636363636363628</v>
      </c>
      <c r="H832" s="31">
        <v>4.6318181818181809</v>
      </c>
      <c r="I832" s="31">
        <v>4.922727272727272</v>
      </c>
      <c r="K832" s="27"/>
      <c r="L832" s="30"/>
      <c r="M832" s="30"/>
      <c r="N832" s="30"/>
      <c r="O832" s="30"/>
      <c r="P832" s="30"/>
      <c r="Q832" s="30"/>
      <c r="R832" s="30"/>
      <c r="S832" s="30"/>
    </row>
    <row r="833" spans="1:19" x14ac:dyDescent="0.25">
      <c r="A833" s="29">
        <v>45191</v>
      </c>
      <c r="B833" s="31">
        <v>0.32727272727272733</v>
      </c>
      <c r="C833" s="31">
        <v>0.51590909090909098</v>
      </c>
      <c r="D833" s="31">
        <v>0.7045454545454547</v>
      </c>
      <c r="E833" s="31">
        <v>2.831818181818182</v>
      </c>
      <c r="F833" s="31">
        <v>3.2181818181818178</v>
      </c>
      <c r="G833" s="31">
        <v>4.2636363636363628</v>
      </c>
      <c r="H833" s="31">
        <v>4.6318181818181809</v>
      </c>
      <c r="I833" s="31">
        <v>4.922727272727272</v>
      </c>
      <c r="K833" s="27"/>
      <c r="L833" s="30"/>
      <c r="M833" s="30"/>
      <c r="N833" s="30"/>
      <c r="O833" s="30"/>
      <c r="P833" s="30"/>
      <c r="Q833" s="30"/>
      <c r="R833" s="30"/>
      <c r="S833" s="30"/>
    </row>
    <row r="834" spans="1:19" x14ac:dyDescent="0.25">
      <c r="A834" s="29">
        <v>45194</v>
      </c>
      <c r="B834" s="31">
        <v>0.32727272727272733</v>
      </c>
      <c r="C834" s="31">
        <v>0.50681818181818183</v>
      </c>
      <c r="D834" s="31">
        <v>0.6863636363636364</v>
      </c>
      <c r="E834" s="31">
        <v>2.7772727272727273</v>
      </c>
      <c r="F834" s="31">
        <v>3.2090909090909085</v>
      </c>
      <c r="G834" s="31">
        <v>4.2272727272727266</v>
      </c>
      <c r="H834" s="31">
        <v>4.6227272727272721</v>
      </c>
      <c r="I834" s="31">
        <v>4.8681818181818182</v>
      </c>
      <c r="K834" s="27"/>
      <c r="L834" s="30"/>
      <c r="M834" s="30"/>
      <c r="N834" s="30"/>
      <c r="O834" s="30"/>
      <c r="P834" s="30"/>
      <c r="Q834" s="30"/>
      <c r="R834" s="30"/>
      <c r="S834" s="30"/>
    </row>
    <row r="835" spans="1:19" x14ac:dyDescent="0.25">
      <c r="A835" s="29">
        <v>45195</v>
      </c>
      <c r="B835" s="31">
        <v>0.33181818181818185</v>
      </c>
      <c r="C835" s="31">
        <v>0.50568181818181823</v>
      </c>
      <c r="D835" s="31">
        <v>0.67954545454545467</v>
      </c>
      <c r="E835" s="31">
        <v>2.7772727272727273</v>
      </c>
      <c r="F835" s="31">
        <v>3.2090909090909085</v>
      </c>
      <c r="G835" s="31">
        <v>4.2272727272727266</v>
      </c>
      <c r="H835" s="31">
        <v>4.6227272727272721</v>
      </c>
      <c r="I835" s="31">
        <v>4.8681818181818182</v>
      </c>
      <c r="K835" s="27"/>
      <c r="L835" s="30"/>
      <c r="M835" s="30"/>
      <c r="N835" s="30"/>
      <c r="O835" s="30"/>
      <c r="P835" s="30"/>
      <c r="Q835" s="30"/>
      <c r="R835" s="30"/>
      <c r="S835" s="30"/>
    </row>
    <row r="836" spans="1:19" x14ac:dyDescent="0.25">
      <c r="A836" s="29">
        <v>45196</v>
      </c>
      <c r="B836" s="31">
        <v>0.35454545454545461</v>
      </c>
      <c r="C836" s="31">
        <v>0.53068181818181837</v>
      </c>
      <c r="D836" s="31">
        <v>0.70681818181818201</v>
      </c>
      <c r="E836" s="31">
        <v>2.7772727272727273</v>
      </c>
      <c r="F836" s="31">
        <v>3.2090909090909085</v>
      </c>
      <c r="G836" s="31">
        <v>4.2272727272727266</v>
      </c>
      <c r="H836" s="31">
        <v>4.6227272727272721</v>
      </c>
      <c r="I836" s="31">
        <v>4.8681818181818182</v>
      </c>
      <c r="K836" s="27"/>
      <c r="L836" s="30"/>
      <c r="M836" s="30"/>
      <c r="N836" s="30"/>
      <c r="O836" s="30"/>
      <c r="P836" s="30"/>
      <c r="Q836" s="30"/>
      <c r="R836" s="30"/>
      <c r="S836" s="30"/>
    </row>
    <row r="837" spans="1:19" x14ac:dyDescent="0.25">
      <c r="A837" s="29">
        <v>45197</v>
      </c>
      <c r="B837" s="31">
        <v>0.40909090909090912</v>
      </c>
      <c r="C837" s="31">
        <v>0.57727272727272727</v>
      </c>
      <c r="D837" s="31">
        <v>0.74545454545454559</v>
      </c>
      <c r="E837" s="31">
        <v>2.7772727272727273</v>
      </c>
      <c r="F837" s="31">
        <v>3.2090909090909085</v>
      </c>
      <c r="G837" s="31">
        <v>4.2272727272727266</v>
      </c>
      <c r="H837" s="31">
        <v>4.6227272727272721</v>
      </c>
      <c r="I837" s="31">
        <v>4.8681818181818182</v>
      </c>
      <c r="K837" s="27"/>
      <c r="L837" s="30"/>
      <c r="M837" s="30"/>
      <c r="N837" s="30"/>
      <c r="O837" s="30"/>
      <c r="P837" s="30"/>
      <c r="Q837" s="30"/>
      <c r="R837" s="30"/>
      <c r="S837" s="30"/>
    </row>
    <row r="838" spans="1:19" x14ac:dyDescent="0.25">
      <c r="A838" s="29">
        <v>45198</v>
      </c>
      <c r="B838" s="31">
        <v>0.5</v>
      </c>
      <c r="C838" s="31">
        <v>0.64200000000000002</v>
      </c>
      <c r="D838" s="31">
        <v>0.78400000000000003</v>
      </c>
      <c r="E838" s="31">
        <v>2.7772727272727273</v>
      </c>
      <c r="F838" s="31">
        <v>3.2090909090909085</v>
      </c>
      <c r="G838" s="31">
        <v>4.2272727272727266</v>
      </c>
      <c r="H838" s="31">
        <v>4.6227272727272721</v>
      </c>
      <c r="I838" s="31">
        <v>4.8681818181818182</v>
      </c>
      <c r="K838" s="27"/>
      <c r="L838" s="30"/>
      <c r="M838" s="30"/>
      <c r="N838" s="30"/>
      <c r="O838" s="30"/>
      <c r="P838" s="30"/>
      <c r="Q838" s="30"/>
      <c r="R838" s="30"/>
      <c r="S838" s="30"/>
    </row>
    <row r="839" spans="1:19" x14ac:dyDescent="0.25">
      <c r="A839" s="29">
        <v>45201</v>
      </c>
      <c r="B839" s="31">
        <v>0.81818181818181845</v>
      </c>
      <c r="C839" s="31">
        <v>0.88409090909090937</v>
      </c>
      <c r="D839" s="31">
        <v>0.95000000000000029</v>
      </c>
      <c r="E839" s="31">
        <v>2.7772727272727273</v>
      </c>
      <c r="F839" s="31">
        <v>3.2090909090909085</v>
      </c>
      <c r="G839" s="31">
        <v>4.2272727272727266</v>
      </c>
      <c r="H839" s="31">
        <v>4.6227272727272721</v>
      </c>
      <c r="I839" s="31">
        <v>4.8681818181818182</v>
      </c>
      <c r="K839" s="27"/>
      <c r="L839" s="30"/>
      <c r="M839" s="30"/>
      <c r="N839" s="30"/>
      <c r="O839" s="30"/>
      <c r="P839" s="30"/>
      <c r="Q839" s="30"/>
      <c r="R839" s="30"/>
      <c r="S839" s="30"/>
    </row>
    <row r="840" spans="1:19" x14ac:dyDescent="0.25">
      <c r="A840" s="29">
        <v>45202</v>
      </c>
      <c r="B840" s="31">
        <v>0.87727272727272754</v>
      </c>
      <c r="C840" s="31">
        <v>0.95227272727272727</v>
      </c>
      <c r="D840" s="31">
        <v>1.0272727272727271</v>
      </c>
      <c r="E840" s="31">
        <v>2.7772727272727273</v>
      </c>
      <c r="F840" s="31">
        <v>3.2090909090909085</v>
      </c>
      <c r="G840" s="31">
        <v>4.2272727272727266</v>
      </c>
      <c r="H840" s="31">
        <v>4.6227272727272721</v>
      </c>
      <c r="I840" s="31">
        <v>4.8681818181818182</v>
      </c>
      <c r="K840" s="27"/>
      <c r="L840" s="30"/>
      <c r="M840" s="30"/>
      <c r="N840" s="30"/>
      <c r="O840" s="30"/>
      <c r="P840" s="30"/>
      <c r="Q840" s="30"/>
      <c r="R840" s="30"/>
      <c r="S840" s="30"/>
    </row>
    <row r="841" spans="1:19" x14ac:dyDescent="0.25">
      <c r="A841" s="29">
        <v>45203</v>
      </c>
      <c r="B841" s="31">
        <v>1.3590909090909093</v>
      </c>
      <c r="C841" s="31">
        <v>1.4363636363636367</v>
      </c>
      <c r="D841" s="31">
        <v>1.5136363636363641</v>
      </c>
      <c r="E841" s="31">
        <v>2.8545454545454549</v>
      </c>
      <c r="F841" s="31">
        <v>3.2636363636363637</v>
      </c>
      <c r="G841" s="31">
        <v>4.2272727272727266</v>
      </c>
      <c r="H841" s="31">
        <v>4.6227272727272721</v>
      </c>
      <c r="I841" s="31">
        <v>4.8681818181818182</v>
      </c>
      <c r="K841" s="27"/>
      <c r="L841" s="30"/>
      <c r="M841" s="30"/>
      <c r="N841" s="30"/>
      <c r="O841" s="30"/>
      <c r="P841" s="30"/>
      <c r="Q841" s="30"/>
      <c r="R841" s="30"/>
      <c r="S841" s="30"/>
    </row>
    <row r="842" spans="1:19" x14ac:dyDescent="0.25">
      <c r="A842" s="29">
        <v>45204</v>
      </c>
      <c r="B842" s="31">
        <v>1.5545454545454549</v>
      </c>
      <c r="C842" s="31">
        <v>1.6500000000000004</v>
      </c>
      <c r="D842" s="31">
        <v>1.7454545454545458</v>
      </c>
      <c r="E842" s="31">
        <v>2.9000000000000004</v>
      </c>
      <c r="F842" s="31">
        <v>3.290909090909091</v>
      </c>
      <c r="G842" s="31">
        <v>4.2454545454545443</v>
      </c>
      <c r="H842" s="31">
        <v>4.6318181818181809</v>
      </c>
      <c r="I842" s="31">
        <v>4.877272727272727</v>
      </c>
      <c r="K842" s="27"/>
      <c r="L842" s="30"/>
      <c r="M842" s="30"/>
      <c r="N842" s="30"/>
      <c r="O842" s="30"/>
      <c r="P842" s="30"/>
      <c r="Q842" s="30"/>
      <c r="R842" s="30"/>
      <c r="S842" s="30"/>
    </row>
    <row r="843" spans="1:19" x14ac:dyDescent="0.25">
      <c r="A843" s="29">
        <v>45205</v>
      </c>
      <c r="B843" s="31">
        <v>1.4909090909090912</v>
      </c>
      <c r="C843" s="31">
        <v>1.613636363636364</v>
      </c>
      <c r="D843" s="31">
        <v>1.736363636363637</v>
      </c>
      <c r="E843" s="31">
        <v>2.9000000000000004</v>
      </c>
      <c r="F843" s="31">
        <v>3.290909090909091</v>
      </c>
      <c r="G843" s="31">
        <v>4.2454545454545443</v>
      </c>
      <c r="H843" s="31">
        <v>4.6318181818181809</v>
      </c>
      <c r="I843" s="31">
        <v>4.877272727272727</v>
      </c>
      <c r="K843" s="27"/>
      <c r="L843" s="30"/>
      <c r="M843" s="30"/>
      <c r="N843" s="30"/>
      <c r="O843" s="30"/>
      <c r="P843" s="30"/>
      <c r="Q843" s="30"/>
      <c r="R843" s="30"/>
      <c r="S843" s="30"/>
    </row>
    <row r="844" spans="1:19" x14ac:dyDescent="0.25">
      <c r="A844" s="29">
        <v>45208</v>
      </c>
      <c r="B844" s="31">
        <v>1.2272727272727271</v>
      </c>
      <c r="C844" s="31">
        <v>1.3477272727272727</v>
      </c>
      <c r="D844" s="31">
        <v>1.4681818181818185</v>
      </c>
      <c r="E844" s="31">
        <v>2.8818181818181823</v>
      </c>
      <c r="F844" s="31">
        <v>3.2818181818181817</v>
      </c>
      <c r="G844" s="31">
        <v>4.2272727272727266</v>
      </c>
      <c r="H844" s="31">
        <v>4.586363636363636</v>
      </c>
      <c r="I844" s="31">
        <v>4.831818181818182</v>
      </c>
      <c r="K844" s="27"/>
      <c r="L844" s="30"/>
      <c r="M844" s="30"/>
      <c r="N844" s="30"/>
      <c r="O844" s="30"/>
      <c r="P844" s="30"/>
      <c r="Q844" s="30"/>
      <c r="R844" s="30"/>
      <c r="S844" s="30"/>
    </row>
    <row r="845" spans="1:19" x14ac:dyDescent="0.25">
      <c r="A845" s="29">
        <v>45209</v>
      </c>
      <c r="B845" s="31">
        <v>0.79545454545454575</v>
      </c>
      <c r="C845" s="31">
        <v>0.94772727272727264</v>
      </c>
      <c r="D845" s="31">
        <v>1.0999999999999999</v>
      </c>
      <c r="E845" s="31">
        <v>2.8363636363636369</v>
      </c>
      <c r="F845" s="31">
        <v>3.2636363636363646</v>
      </c>
      <c r="G845" s="31">
        <v>4.2181818181818178</v>
      </c>
      <c r="H845" s="31">
        <v>4.586363636363636</v>
      </c>
      <c r="I845" s="31">
        <v>4.831818181818182</v>
      </c>
      <c r="K845" s="27"/>
      <c r="L845" s="30"/>
      <c r="M845" s="30"/>
      <c r="N845" s="30"/>
      <c r="O845" s="30"/>
      <c r="P845" s="30"/>
      <c r="Q845" s="30"/>
      <c r="R845" s="30"/>
      <c r="S845" s="30"/>
    </row>
    <row r="846" spans="1:19" x14ac:dyDescent="0.25">
      <c r="A846" s="29">
        <v>45210</v>
      </c>
      <c r="B846" s="31">
        <v>0.4</v>
      </c>
      <c r="C846" s="31">
        <v>0.51300000000000001</v>
      </c>
      <c r="D846" s="31">
        <v>0.625</v>
      </c>
      <c r="E846" s="31">
        <v>2.827</v>
      </c>
      <c r="F846" s="31">
        <v>3.2450000000000001</v>
      </c>
      <c r="G846" s="31">
        <v>4.2</v>
      </c>
      <c r="H846" s="31">
        <v>4.5679999999999996</v>
      </c>
      <c r="I846" s="31">
        <v>4.8140000000000001</v>
      </c>
      <c r="K846" s="27"/>
      <c r="L846" s="30"/>
      <c r="M846" s="30"/>
      <c r="N846" s="30"/>
      <c r="O846" s="30"/>
      <c r="P846" s="30"/>
      <c r="Q846" s="30"/>
      <c r="R846" s="30"/>
      <c r="S846" s="30"/>
    </row>
    <row r="847" spans="1:19" x14ac:dyDescent="0.25">
      <c r="A847" s="29">
        <v>45211</v>
      </c>
      <c r="B847" s="31">
        <v>0.34499999999999997</v>
      </c>
      <c r="C847" s="31">
        <v>0.46100000000000002</v>
      </c>
      <c r="D847" s="31">
        <v>0.57699999999999996</v>
      </c>
      <c r="E847" s="31">
        <v>2.827</v>
      </c>
      <c r="F847" s="31">
        <v>3.2450000000000001</v>
      </c>
      <c r="G847" s="31">
        <v>4.2</v>
      </c>
      <c r="H847" s="31">
        <v>4.5679999999999996</v>
      </c>
      <c r="I847" s="31">
        <v>4.8140000000000001</v>
      </c>
      <c r="K847" s="27"/>
      <c r="L847" s="30"/>
      <c r="M847" s="30"/>
      <c r="N847" s="30"/>
      <c r="O847" s="30"/>
      <c r="P847" s="30"/>
      <c r="Q847" s="30"/>
      <c r="R847" s="30"/>
      <c r="S847" s="30"/>
    </row>
    <row r="848" spans="1:19" x14ac:dyDescent="0.25">
      <c r="A848" s="29">
        <v>45212</v>
      </c>
      <c r="B848" s="31">
        <v>0.627</v>
      </c>
      <c r="C848" s="31">
        <v>0.745</v>
      </c>
      <c r="D848" s="31">
        <v>0.86399999999999999</v>
      </c>
      <c r="E848" s="31">
        <v>2.827</v>
      </c>
      <c r="F848" s="31">
        <v>3.2450000000000001</v>
      </c>
      <c r="G848" s="31">
        <v>4.2</v>
      </c>
      <c r="H848" s="31">
        <v>4.5679999999999996</v>
      </c>
      <c r="I848" s="31">
        <v>4.8140000000000001</v>
      </c>
      <c r="K848" s="27"/>
      <c r="L848" s="30"/>
      <c r="M848" s="30"/>
      <c r="N848" s="30"/>
      <c r="O848" s="30"/>
      <c r="P848" s="30"/>
      <c r="Q848" s="30"/>
      <c r="R848" s="30"/>
      <c r="S848" s="30"/>
    </row>
    <row r="849" spans="1:19" x14ac:dyDescent="0.25">
      <c r="A849" s="29">
        <v>45215</v>
      </c>
      <c r="B849" s="31">
        <v>0.78200000000000003</v>
      </c>
      <c r="C849" s="31">
        <v>0.89800000000000002</v>
      </c>
      <c r="D849" s="31">
        <v>1.014</v>
      </c>
      <c r="E849" s="31">
        <v>2.827</v>
      </c>
      <c r="F849" s="31">
        <v>3.2450000000000001</v>
      </c>
      <c r="G849" s="31">
        <v>4.2</v>
      </c>
      <c r="H849" s="31">
        <v>4.5679999999999996</v>
      </c>
      <c r="I849" s="31">
        <v>4.8140000000000001</v>
      </c>
      <c r="K849" s="27"/>
      <c r="L849" s="30"/>
      <c r="M849" s="30"/>
      <c r="N849" s="30"/>
      <c r="O849" s="30"/>
      <c r="P849" s="30"/>
      <c r="Q849" s="30"/>
      <c r="R849" s="30"/>
      <c r="S849" s="30"/>
    </row>
    <row r="850" spans="1:19" x14ac:dyDescent="0.25">
      <c r="A850" s="29">
        <v>45216</v>
      </c>
      <c r="B850" s="31">
        <v>0.87</v>
      </c>
      <c r="C850" s="31">
        <v>0.97299999999999998</v>
      </c>
      <c r="D850" s="31">
        <v>1.075</v>
      </c>
      <c r="E850" s="31">
        <v>2.827</v>
      </c>
      <c r="F850" s="31">
        <v>3.2450000000000001</v>
      </c>
      <c r="G850" s="31">
        <v>4.2</v>
      </c>
      <c r="H850" s="31">
        <v>4.5679999999999996</v>
      </c>
      <c r="I850" s="31">
        <v>4.8140000000000001</v>
      </c>
      <c r="K850" s="27"/>
      <c r="L850" s="30"/>
      <c r="M850" s="30"/>
      <c r="N850" s="30"/>
      <c r="O850" s="30"/>
      <c r="P850" s="30"/>
      <c r="Q850" s="30"/>
      <c r="R850" s="30"/>
      <c r="S850" s="30"/>
    </row>
    <row r="851" spans="1:19" x14ac:dyDescent="0.25">
      <c r="A851" s="29">
        <v>45217</v>
      </c>
      <c r="B851" s="31">
        <v>0.95899999999999996</v>
      </c>
      <c r="C851" s="31">
        <v>1.052</v>
      </c>
      <c r="D851" s="31">
        <v>1.145</v>
      </c>
      <c r="E851" s="31">
        <v>2.9180000000000001</v>
      </c>
      <c r="F851" s="31">
        <v>3.3180000000000001</v>
      </c>
      <c r="G851" s="31">
        <v>4.2450000000000001</v>
      </c>
      <c r="H851" s="31">
        <v>4.6319999999999997</v>
      </c>
      <c r="I851" s="31">
        <v>4.8769999999999998</v>
      </c>
      <c r="K851" s="27"/>
      <c r="L851" s="30"/>
      <c r="M851" s="30"/>
      <c r="N851" s="30"/>
      <c r="O851" s="30"/>
      <c r="P851" s="30"/>
      <c r="Q851" s="30"/>
      <c r="R851" s="30"/>
      <c r="S851" s="30"/>
    </row>
    <row r="852" spans="1:19" x14ac:dyDescent="0.25">
      <c r="A852" s="29">
        <v>45218</v>
      </c>
      <c r="B852" s="31">
        <v>0.96799999999999997</v>
      </c>
      <c r="C852" s="31">
        <v>1.07</v>
      </c>
      <c r="D852" s="31">
        <v>1.173</v>
      </c>
      <c r="E852" s="31">
        <v>2.9180000000000001</v>
      </c>
      <c r="F852" s="31">
        <v>3.3180000000000001</v>
      </c>
      <c r="G852" s="31">
        <v>4.2450000000000001</v>
      </c>
      <c r="H852" s="31">
        <v>4.6319999999999997</v>
      </c>
      <c r="I852" s="31">
        <v>4.8769999999999998</v>
      </c>
      <c r="K852" s="27"/>
      <c r="L852" s="30"/>
      <c r="M852" s="30"/>
      <c r="N852" s="30"/>
      <c r="O852" s="30"/>
      <c r="P852" s="30"/>
      <c r="Q852" s="30"/>
      <c r="R852" s="30"/>
      <c r="S852" s="30"/>
    </row>
    <row r="853" spans="1:19" x14ac:dyDescent="0.25">
      <c r="A853" s="29">
        <v>45219</v>
      </c>
      <c r="B853" s="31">
        <v>1.4318181818181821</v>
      </c>
      <c r="C853" s="31">
        <v>1.5363636363636368</v>
      </c>
      <c r="D853" s="31">
        <v>1.6409090909090915</v>
      </c>
      <c r="E853" s="31">
        <v>2.9181818181818189</v>
      </c>
      <c r="F853" s="31">
        <v>3.3181818181818175</v>
      </c>
      <c r="G853" s="31">
        <v>4.2454545454545443</v>
      </c>
      <c r="H853" s="31">
        <v>4.6318181818181809</v>
      </c>
      <c r="I853" s="31">
        <v>4.877272727272727</v>
      </c>
      <c r="K853" s="27"/>
      <c r="L853" s="30"/>
      <c r="M853" s="30"/>
      <c r="N853" s="30"/>
      <c r="O853" s="30"/>
      <c r="P853" s="30"/>
      <c r="Q853" s="30"/>
      <c r="R853" s="30"/>
      <c r="S853" s="30"/>
    </row>
    <row r="854" spans="1:19" x14ac:dyDescent="0.25">
      <c r="A854" s="29">
        <v>45222</v>
      </c>
      <c r="B854" s="31">
        <v>1.859</v>
      </c>
      <c r="C854" s="31">
        <v>2</v>
      </c>
      <c r="D854" s="31">
        <v>2.141</v>
      </c>
      <c r="E854" s="31">
        <v>2.9449999999999998</v>
      </c>
      <c r="F854" s="31">
        <v>3.3450000000000002</v>
      </c>
      <c r="G854" s="31">
        <v>4.2729999999999997</v>
      </c>
      <c r="H854" s="31">
        <v>4.6589999999999998</v>
      </c>
      <c r="I854" s="31">
        <v>4.8860000000000001</v>
      </c>
      <c r="K854" s="27"/>
      <c r="L854" s="30"/>
      <c r="M854" s="30"/>
      <c r="N854" s="30"/>
      <c r="O854" s="30"/>
      <c r="P854" s="30"/>
      <c r="Q854" s="30"/>
      <c r="R854" s="30"/>
      <c r="S854" s="30"/>
    </row>
    <row r="855" spans="1:19" x14ac:dyDescent="0.25">
      <c r="A855" s="29">
        <v>45223</v>
      </c>
      <c r="B855" s="31">
        <v>2.5449999999999999</v>
      </c>
      <c r="C855" s="31">
        <v>2.6480000000000001</v>
      </c>
      <c r="D855" s="31">
        <v>2.75</v>
      </c>
      <c r="E855" s="31">
        <v>3.0179999999999998</v>
      </c>
      <c r="F855" s="31">
        <v>3.391</v>
      </c>
      <c r="G855" s="31">
        <v>4.2729999999999997</v>
      </c>
      <c r="H855" s="31">
        <v>4.6680000000000001</v>
      </c>
      <c r="I855" s="31">
        <v>4.8949999999999996</v>
      </c>
      <c r="K855" s="27"/>
      <c r="L855" s="30"/>
      <c r="M855" s="30"/>
      <c r="N855" s="30"/>
      <c r="O855" s="30"/>
      <c r="P855" s="30"/>
      <c r="Q855" s="30"/>
      <c r="R855" s="30"/>
      <c r="S855" s="30"/>
    </row>
    <row r="856" spans="1:19" x14ac:dyDescent="0.25">
      <c r="A856" s="29">
        <v>45224</v>
      </c>
      <c r="B856" s="31">
        <v>2.5499999999999998</v>
      </c>
      <c r="C856" s="31">
        <v>2.6930000000000001</v>
      </c>
      <c r="D856" s="31">
        <v>2.8359999999999999</v>
      </c>
      <c r="E856" s="31">
        <v>3.1549999999999998</v>
      </c>
      <c r="F856" s="31">
        <v>3.4820000000000002</v>
      </c>
      <c r="G856" s="31">
        <v>4.282</v>
      </c>
      <c r="H856" s="31">
        <v>4.6769999999999996</v>
      </c>
      <c r="I856" s="31">
        <v>4.9050000000000002</v>
      </c>
      <c r="K856" s="27"/>
      <c r="L856" s="30"/>
      <c r="M856" s="30"/>
      <c r="N856" s="30"/>
      <c r="O856" s="30"/>
      <c r="P856" s="30"/>
      <c r="Q856" s="30"/>
      <c r="R856" s="30"/>
      <c r="S856" s="30"/>
    </row>
    <row r="857" spans="1:19" x14ac:dyDescent="0.25">
      <c r="A857" s="29">
        <v>45225</v>
      </c>
      <c r="B857" s="31">
        <v>1.8089999999999999</v>
      </c>
      <c r="C857" s="31">
        <v>1.893</v>
      </c>
      <c r="D857" s="31">
        <v>1.9770000000000001</v>
      </c>
      <c r="E857" s="31">
        <v>3.0910000000000002</v>
      </c>
      <c r="F857" s="31">
        <v>3.4449999999999998</v>
      </c>
      <c r="G857" s="31">
        <v>4.2549999999999999</v>
      </c>
      <c r="H857" s="31">
        <v>4.6589999999999998</v>
      </c>
      <c r="I857" s="31">
        <v>4.8949999999999996</v>
      </c>
      <c r="K857" s="27"/>
      <c r="L857" s="30"/>
      <c r="M857" s="30"/>
      <c r="N857" s="30"/>
      <c r="O857" s="30"/>
      <c r="P857" s="30"/>
      <c r="Q857" s="30"/>
      <c r="R857" s="30"/>
      <c r="S857" s="30"/>
    </row>
    <row r="858" spans="1:19" x14ac:dyDescent="0.25">
      <c r="A858" s="29">
        <v>45226</v>
      </c>
      <c r="B858" s="31">
        <v>1.5680000000000001</v>
      </c>
      <c r="C858" s="31">
        <v>1.716</v>
      </c>
      <c r="D858" s="31">
        <v>1.8640000000000001</v>
      </c>
      <c r="E858" s="31">
        <v>3.0550000000000002</v>
      </c>
      <c r="F858" s="31">
        <v>3.4449999999999998</v>
      </c>
      <c r="G858" s="31">
        <v>4.2450000000000001</v>
      </c>
      <c r="H858" s="31">
        <v>4.6589999999999998</v>
      </c>
      <c r="I858" s="31">
        <v>4.8949999999999996</v>
      </c>
      <c r="K858" s="27"/>
      <c r="L858" s="30"/>
      <c r="M858" s="30"/>
      <c r="N858" s="30"/>
      <c r="O858" s="30"/>
      <c r="P858" s="30"/>
      <c r="Q858" s="30"/>
      <c r="R858" s="30"/>
      <c r="S858" s="30"/>
    </row>
    <row r="859" spans="1:19" x14ac:dyDescent="0.25">
      <c r="A859" s="29">
        <v>45229</v>
      </c>
      <c r="B859" s="31">
        <v>1.409</v>
      </c>
      <c r="C859" s="31">
        <v>1.516</v>
      </c>
      <c r="D859" s="31">
        <v>1.623</v>
      </c>
      <c r="E859" s="31">
        <v>3.0550000000000002</v>
      </c>
      <c r="F859" s="31">
        <v>3.4449999999999998</v>
      </c>
      <c r="G859" s="31">
        <v>4.2549999999999999</v>
      </c>
      <c r="H859" s="31">
        <v>4.6589999999999998</v>
      </c>
      <c r="I859" s="31">
        <v>4.8949999999999996</v>
      </c>
      <c r="K859" s="27"/>
      <c r="L859" s="30"/>
      <c r="M859" s="30"/>
      <c r="N859" s="30"/>
      <c r="O859" s="30"/>
      <c r="P859" s="30"/>
      <c r="Q859" s="30"/>
      <c r="R859" s="30"/>
      <c r="S859" s="30"/>
    </row>
    <row r="860" spans="1:19" x14ac:dyDescent="0.25">
      <c r="A860" s="29">
        <v>45230</v>
      </c>
      <c r="B860" s="31">
        <v>1.38</v>
      </c>
      <c r="C860" s="31">
        <v>1.486</v>
      </c>
      <c r="D860" s="31">
        <v>1.593</v>
      </c>
      <c r="E860" s="31">
        <v>3.1179999999999999</v>
      </c>
      <c r="F860" s="31">
        <v>3.4910000000000001</v>
      </c>
      <c r="G860" s="31">
        <v>4.2729999999999997</v>
      </c>
      <c r="H860" s="31">
        <v>4.7050000000000001</v>
      </c>
      <c r="I860" s="31">
        <v>4.95</v>
      </c>
      <c r="K860" s="27"/>
      <c r="L860" s="30"/>
      <c r="M860" s="30"/>
      <c r="N860" s="30"/>
      <c r="O860" s="30"/>
      <c r="P860" s="30"/>
      <c r="Q860" s="30"/>
      <c r="R860" s="30"/>
      <c r="S860" s="30"/>
    </row>
    <row r="861" spans="1:19" x14ac:dyDescent="0.25">
      <c r="A861" s="29">
        <v>45231</v>
      </c>
      <c r="B861" s="31">
        <v>1.3909090909090911</v>
      </c>
      <c r="C861" s="31">
        <v>1.4931818181818186</v>
      </c>
      <c r="D861" s="31">
        <v>1.5954545454545457</v>
      </c>
      <c r="E861" s="31">
        <v>3.1000000000000005</v>
      </c>
      <c r="F861" s="31">
        <v>3.4909090909090912</v>
      </c>
      <c r="G861" s="31">
        <v>4.2727272727272716</v>
      </c>
      <c r="H861" s="31">
        <v>4.7045454545454541</v>
      </c>
      <c r="I861" s="31">
        <v>4.9499999999999993</v>
      </c>
      <c r="K861" s="27"/>
      <c r="L861" s="30"/>
      <c r="M861" s="30"/>
      <c r="N861" s="30"/>
      <c r="O861" s="30"/>
      <c r="P861" s="30"/>
      <c r="Q861" s="30"/>
      <c r="R861" s="30"/>
      <c r="S861" s="30"/>
    </row>
    <row r="862" spans="1:19" x14ac:dyDescent="0.25">
      <c r="A862" s="29">
        <v>45232</v>
      </c>
      <c r="B862" s="31">
        <v>1.3818181818181821</v>
      </c>
      <c r="C862" s="31">
        <v>1.4772727272727275</v>
      </c>
      <c r="D862" s="31">
        <v>1.5727272727272732</v>
      </c>
      <c r="E862" s="31">
        <v>3.1000000000000005</v>
      </c>
      <c r="F862" s="31">
        <v>3.4909090909090912</v>
      </c>
      <c r="G862" s="31">
        <v>4.2727272727272716</v>
      </c>
      <c r="H862" s="31">
        <v>4.7045454545454541</v>
      </c>
      <c r="I862" s="31">
        <v>4.9499999999999993</v>
      </c>
      <c r="K862" s="27"/>
      <c r="L862" s="30"/>
      <c r="M862" s="30"/>
      <c r="N862" s="30"/>
      <c r="O862" s="30"/>
      <c r="P862" s="30"/>
      <c r="Q862" s="30"/>
      <c r="R862" s="30"/>
      <c r="S862" s="30"/>
    </row>
    <row r="863" spans="1:19" x14ac:dyDescent="0.25">
      <c r="A863" s="29">
        <v>45233</v>
      </c>
      <c r="B863" s="31">
        <v>1.3522727272727275</v>
      </c>
      <c r="C863" s="31">
        <v>1.4363636363636365</v>
      </c>
      <c r="D863" s="31">
        <v>1.5204545454545455</v>
      </c>
      <c r="E863" s="31">
        <v>3.0909090909090917</v>
      </c>
      <c r="F863" s="31">
        <v>3.4909090909090912</v>
      </c>
      <c r="G863" s="31">
        <v>4.2727272727272716</v>
      </c>
      <c r="H863" s="31">
        <v>4.7045454545454541</v>
      </c>
      <c r="I863" s="31">
        <v>4.9499999999999993</v>
      </c>
      <c r="K863" s="27"/>
      <c r="L863" s="30"/>
      <c r="M863" s="30"/>
      <c r="N863" s="30"/>
      <c r="O863" s="30"/>
      <c r="P863" s="30"/>
      <c r="Q863" s="30"/>
      <c r="R863" s="30"/>
      <c r="S863" s="30"/>
    </row>
    <row r="864" spans="1:19" x14ac:dyDescent="0.25">
      <c r="A864" s="29">
        <v>45236</v>
      </c>
      <c r="B864" s="31">
        <v>1.3227272727272728</v>
      </c>
      <c r="C864" s="31">
        <v>1.4170454545454545</v>
      </c>
      <c r="D864" s="31">
        <v>1.5113636363636365</v>
      </c>
      <c r="E864" s="31">
        <v>3.0909090909090917</v>
      </c>
      <c r="F864" s="31">
        <v>3.4909090909090912</v>
      </c>
      <c r="G864" s="31">
        <v>4.2727272727272716</v>
      </c>
      <c r="H864" s="31">
        <v>4.7045454545454541</v>
      </c>
      <c r="I864" s="31">
        <v>4.9499999999999993</v>
      </c>
      <c r="K864" s="27"/>
      <c r="L864" s="30"/>
      <c r="M864" s="30"/>
      <c r="N864" s="30"/>
      <c r="O864" s="30"/>
      <c r="P864" s="30"/>
      <c r="Q864" s="30"/>
      <c r="R864" s="30"/>
      <c r="S864" s="30"/>
    </row>
    <row r="865" spans="1:19" x14ac:dyDescent="0.25">
      <c r="A865" s="29">
        <v>45237</v>
      </c>
      <c r="B865" s="31">
        <v>1.3272727272727274</v>
      </c>
      <c r="C865" s="31">
        <v>1.4215909090909091</v>
      </c>
      <c r="D865" s="31">
        <v>1.5159090909090911</v>
      </c>
      <c r="E865" s="31">
        <v>3.0909090909090917</v>
      </c>
      <c r="F865" s="31">
        <v>3.4909090909090912</v>
      </c>
      <c r="G865" s="31">
        <v>4.2727272727272716</v>
      </c>
      <c r="H865" s="31">
        <v>4.7045454545454541</v>
      </c>
      <c r="I865" s="31">
        <v>4.9499999999999993</v>
      </c>
      <c r="K865" s="27"/>
      <c r="L865" s="30"/>
      <c r="M865" s="30"/>
      <c r="N865" s="30"/>
      <c r="O865" s="30"/>
      <c r="P865" s="30"/>
      <c r="Q865" s="30"/>
      <c r="R865" s="30"/>
      <c r="S865" s="30"/>
    </row>
    <row r="866" spans="1:19" x14ac:dyDescent="0.25">
      <c r="A866" s="29">
        <v>45238</v>
      </c>
      <c r="B866" s="31">
        <v>1.1409090909090907</v>
      </c>
      <c r="C866" s="31">
        <v>1.2181818181818183</v>
      </c>
      <c r="D866" s="31">
        <v>1.2954545454545456</v>
      </c>
      <c r="E866" s="31">
        <v>3.0636363636363644</v>
      </c>
      <c r="F866" s="31">
        <v>3.4636363636363638</v>
      </c>
      <c r="G866" s="31">
        <v>4.254545454545454</v>
      </c>
      <c r="H866" s="31">
        <v>4.7045454545454541</v>
      </c>
      <c r="I866" s="31">
        <v>4.9499999999999993</v>
      </c>
      <c r="K866" s="27"/>
      <c r="L866" s="30"/>
      <c r="M866" s="30"/>
      <c r="N866" s="30"/>
      <c r="O866" s="30"/>
      <c r="P866" s="30"/>
      <c r="Q866" s="30"/>
      <c r="R866" s="30"/>
      <c r="S866" s="30"/>
    </row>
    <row r="867" spans="1:19" x14ac:dyDescent="0.25">
      <c r="A867" s="29">
        <v>45239</v>
      </c>
      <c r="B867" s="31">
        <v>0.87272727272727291</v>
      </c>
      <c r="C867" s="31">
        <v>0.94545454545454555</v>
      </c>
      <c r="D867" s="31">
        <v>1.0181818181818181</v>
      </c>
      <c r="E867" s="31">
        <v>2.9909090909090916</v>
      </c>
      <c r="F867" s="31">
        <v>3.3954545454545459</v>
      </c>
      <c r="G867" s="31">
        <v>4.2363636363636354</v>
      </c>
      <c r="H867" s="31">
        <v>4.6863636363636356</v>
      </c>
      <c r="I867" s="31">
        <v>4.9409090909090914</v>
      </c>
      <c r="K867" s="27"/>
      <c r="L867" s="30"/>
      <c r="M867" s="30"/>
      <c r="N867" s="30"/>
      <c r="O867" s="30"/>
      <c r="P867" s="30"/>
      <c r="Q867" s="30"/>
      <c r="R867" s="30"/>
      <c r="S867" s="30"/>
    </row>
    <row r="868" spans="1:19" x14ac:dyDescent="0.25">
      <c r="A868" s="29">
        <v>45240</v>
      </c>
      <c r="B868" s="31">
        <v>0.52499999999999991</v>
      </c>
      <c r="C868" s="31">
        <v>0.65340909090909094</v>
      </c>
      <c r="D868" s="31">
        <v>0.78181818181818197</v>
      </c>
      <c r="E868" s="31">
        <v>2.9272727272727281</v>
      </c>
      <c r="F868" s="31">
        <v>3.3772727272727279</v>
      </c>
      <c r="G868" s="31">
        <v>4.2090909090909081</v>
      </c>
      <c r="H868" s="31">
        <v>4.6590909090909083</v>
      </c>
      <c r="I868" s="31">
        <v>4.913636363636364</v>
      </c>
      <c r="K868" s="27"/>
      <c r="L868" s="30"/>
      <c r="M868" s="30"/>
      <c r="N868" s="30"/>
      <c r="O868" s="30"/>
      <c r="P868" s="30"/>
      <c r="Q868" s="30"/>
      <c r="R868" s="30"/>
      <c r="S868" s="30"/>
    </row>
    <row r="869" spans="1:19" x14ac:dyDescent="0.25">
      <c r="A869" s="29">
        <v>45243</v>
      </c>
      <c r="B869" s="31">
        <v>0.49318181818181822</v>
      </c>
      <c r="C869" s="31">
        <v>0.62159090909090908</v>
      </c>
      <c r="D869" s="31">
        <v>0.75000000000000011</v>
      </c>
      <c r="E869" s="31">
        <v>2.9272727272727281</v>
      </c>
      <c r="F869" s="31">
        <v>3.3772727272727279</v>
      </c>
      <c r="G869" s="31">
        <v>4.2090909090909081</v>
      </c>
      <c r="H869" s="31">
        <v>4.6590909090909083</v>
      </c>
      <c r="I869" s="31">
        <v>4.913636363636364</v>
      </c>
      <c r="K869" s="27"/>
      <c r="L869" s="30"/>
      <c r="M869" s="30"/>
      <c r="N869" s="30"/>
      <c r="O869" s="30"/>
      <c r="P869" s="30"/>
      <c r="Q869" s="30"/>
      <c r="R869" s="30"/>
      <c r="S869" s="30"/>
    </row>
    <row r="870" spans="1:19" x14ac:dyDescent="0.25">
      <c r="A870" s="29">
        <v>45244</v>
      </c>
      <c r="B870" s="31">
        <v>0.436</v>
      </c>
      <c r="C870" s="31">
        <v>0.57599999999999996</v>
      </c>
      <c r="D870" s="31">
        <v>0.71599999999999997</v>
      </c>
      <c r="E870" s="31">
        <v>2.8730000000000002</v>
      </c>
      <c r="F870" s="31">
        <v>3.3769999999999998</v>
      </c>
      <c r="G870" s="31">
        <v>4.1909999999999998</v>
      </c>
      <c r="H870" s="31">
        <v>4.641</v>
      </c>
      <c r="I870" s="31">
        <v>4.9050000000000002</v>
      </c>
      <c r="K870" s="27"/>
      <c r="L870" s="30"/>
      <c r="M870" s="30"/>
      <c r="N870" s="30"/>
      <c r="O870" s="30"/>
      <c r="P870" s="30"/>
      <c r="Q870" s="30"/>
      <c r="R870" s="30"/>
      <c r="S870" s="30"/>
    </row>
    <row r="871" spans="1:19" x14ac:dyDescent="0.25">
      <c r="A871" s="29">
        <v>45245</v>
      </c>
      <c r="B871" s="31">
        <v>0.373</v>
      </c>
      <c r="C871" s="31">
        <v>0.501</v>
      </c>
      <c r="D871" s="31">
        <v>0.63</v>
      </c>
      <c r="E871" s="31">
        <v>2.8359999999999999</v>
      </c>
      <c r="F871" s="31">
        <v>3.3319999999999999</v>
      </c>
      <c r="G871" s="31">
        <v>4.1820000000000004</v>
      </c>
      <c r="H871" s="31">
        <v>4.641</v>
      </c>
      <c r="I871" s="31">
        <v>4.8949999999999996</v>
      </c>
      <c r="K871" s="27"/>
      <c r="L871" s="30"/>
      <c r="M871" s="30"/>
      <c r="N871" s="30"/>
      <c r="O871" s="30"/>
      <c r="P871" s="30"/>
      <c r="Q871" s="30"/>
      <c r="R871" s="30"/>
      <c r="S871" s="30"/>
    </row>
    <row r="872" spans="1:19" x14ac:dyDescent="0.25">
      <c r="A872" s="29">
        <v>45246</v>
      </c>
      <c r="B872" s="31">
        <v>0.34300000000000003</v>
      </c>
      <c r="C872" s="31">
        <v>0.48199999999999998</v>
      </c>
      <c r="D872" s="31">
        <v>0.62</v>
      </c>
      <c r="E872" s="31">
        <v>2.7909999999999999</v>
      </c>
      <c r="F872" s="31">
        <v>3.2679999999999998</v>
      </c>
      <c r="G872" s="31">
        <v>4.1360000000000001</v>
      </c>
      <c r="H872" s="31">
        <v>4.6139999999999999</v>
      </c>
      <c r="I872" s="31">
        <v>4.8769999999999998</v>
      </c>
      <c r="K872" s="27"/>
      <c r="L872" s="30"/>
      <c r="M872" s="30"/>
      <c r="N872" s="30"/>
      <c r="O872" s="30"/>
      <c r="P872" s="30"/>
      <c r="Q872" s="30"/>
      <c r="R872" s="30"/>
      <c r="S872" s="30"/>
    </row>
    <row r="873" spans="1:19" x14ac:dyDescent="0.25">
      <c r="A873" s="29">
        <v>45247</v>
      </c>
      <c r="B873" s="31">
        <v>0.314</v>
      </c>
      <c r="C873" s="31">
        <v>0.46</v>
      </c>
      <c r="D873" s="31">
        <v>0.60699999999999998</v>
      </c>
      <c r="E873" s="31">
        <v>2.7909999999999999</v>
      </c>
      <c r="F873" s="31">
        <v>3.2679999999999998</v>
      </c>
      <c r="G873" s="31">
        <v>4.1360000000000001</v>
      </c>
      <c r="H873" s="31">
        <v>4.6139999999999999</v>
      </c>
      <c r="I873" s="31">
        <v>4.8769999999999998</v>
      </c>
      <c r="K873" s="27"/>
      <c r="L873" s="30"/>
      <c r="M873" s="30"/>
      <c r="N873" s="30"/>
      <c r="O873" s="30"/>
      <c r="P873" s="30"/>
      <c r="Q873" s="30"/>
      <c r="R873" s="30"/>
      <c r="S873" s="30"/>
    </row>
    <row r="874" spans="1:19" x14ac:dyDescent="0.25">
      <c r="A874" s="29">
        <v>45250</v>
      </c>
      <c r="B874" s="31">
        <v>0.28399999999999997</v>
      </c>
      <c r="C874" s="31">
        <v>0.42799999999999999</v>
      </c>
      <c r="D874" s="31">
        <v>0.57299999999999995</v>
      </c>
      <c r="E874" s="31">
        <v>2.7770000000000001</v>
      </c>
      <c r="F874" s="31">
        <v>3.25</v>
      </c>
      <c r="G874" s="31">
        <v>4.1319999999999997</v>
      </c>
      <c r="H874" s="31">
        <v>4.6139999999999999</v>
      </c>
      <c r="I874" s="31">
        <v>4.8769999999999998</v>
      </c>
      <c r="K874" s="27"/>
      <c r="L874" s="30"/>
      <c r="M874" s="30"/>
      <c r="N874" s="30"/>
      <c r="O874" s="30"/>
      <c r="P874" s="30"/>
      <c r="Q874" s="30"/>
      <c r="R874" s="30"/>
      <c r="S874" s="30"/>
    </row>
    <row r="875" spans="1:19" x14ac:dyDescent="0.25">
      <c r="A875" s="29">
        <v>45251</v>
      </c>
      <c r="B875" s="31">
        <v>0.27700000000000002</v>
      </c>
      <c r="C875" s="31">
        <v>0.41399999999999998</v>
      </c>
      <c r="D875" s="31">
        <v>0.55000000000000004</v>
      </c>
      <c r="E875" s="31">
        <v>2.7770000000000001</v>
      </c>
      <c r="F875" s="31">
        <v>3.25</v>
      </c>
      <c r="G875" s="31">
        <v>4.1319999999999997</v>
      </c>
      <c r="H875" s="31">
        <v>4.6139999999999999</v>
      </c>
      <c r="I875" s="31">
        <v>4.8769999999999998</v>
      </c>
      <c r="K875" s="27"/>
      <c r="L875" s="30"/>
      <c r="M875" s="30"/>
      <c r="N875" s="30"/>
      <c r="O875" s="30"/>
      <c r="P875" s="30"/>
      <c r="Q875" s="30"/>
      <c r="R875" s="30"/>
      <c r="S875" s="30"/>
    </row>
    <row r="876" spans="1:19" x14ac:dyDescent="0.25">
      <c r="A876" s="29">
        <v>45252</v>
      </c>
      <c r="B876" s="31">
        <v>0.27</v>
      </c>
      <c r="C876" s="31">
        <v>0.40200000000000002</v>
      </c>
      <c r="D876" s="31">
        <v>0.53400000000000003</v>
      </c>
      <c r="E876" s="31">
        <v>2.7320000000000002</v>
      </c>
      <c r="F876" s="31">
        <v>3.1949999999999998</v>
      </c>
      <c r="G876" s="31">
        <v>4.0949999999999998</v>
      </c>
      <c r="H876" s="31">
        <v>4.5410000000000004</v>
      </c>
      <c r="I876" s="31">
        <v>4.8049999999999997</v>
      </c>
      <c r="K876" s="27"/>
      <c r="L876" s="30"/>
      <c r="M876" s="30"/>
      <c r="N876" s="30"/>
      <c r="O876" s="30"/>
      <c r="P876" s="30"/>
      <c r="Q876" s="30"/>
      <c r="R876" s="30"/>
      <c r="S876" s="30"/>
    </row>
    <row r="877" spans="1:19" x14ac:dyDescent="0.25">
      <c r="A877" s="29">
        <v>45253</v>
      </c>
      <c r="B877" s="31">
        <v>0.26600000000000001</v>
      </c>
      <c r="C877" s="31">
        <v>0.4</v>
      </c>
      <c r="D877" s="31">
        <v>0.53400000000000003</v>
      </c>
      <c r="E877" s="31">
        <v>2.7320000000000002</v>
      </c>
      <c r="F877" s="31">
        <v>3.1949999999999998</v>
      </c>
      <c r="G877" s="31">
        <v>4.0949999999999998</v>
      </c>
      <c r="H877" s="31">
        <v>4.5410000000000004</v>
      </c>
      <c r="I877" s="31">
        <v>4.8049999999999997</v>
      </c>
      <c r="K877" s="27"/>
      <c r="L877" s="30"/>
      <c r="M877" s="30"/>
      <c r="N877" s="30"/>
      <c r="O877" s="30"/>
      <c r="P877" s="30"/>
      <c r="Q877" s="30"/>
      <c r="R877" s="30"/>
      <c r="S877" s="30"/>
    </row>
    <row r="878" spans="1:19" x14ac:dyDescent="0.25">
      <c r="A878" s="29">
        <v>45254</v>
      </c>
      <c r="B878" s="31">
        <v>0.25900000000000001</v>
      </c>
      <c r="C878" s="31">
        <v>0.39800000000000002</v>
      </c>
      <c r="D878" s="31">
        <v>0.53600000000000003</v>
      </c>
      <c r="E878" s="31">
        <v>2.6859999999999999</v>
      </c>
      <c r="F878" s="31">
        <v>3.15</v>
      </c>
      <c r="G878" s="31">
        <v>4.05</v>
      </c>
      <c r="H878" s="31">
        <v>4.5</v>
      </c>
      <c r="I878" s="31">
        <v>4.782</v>
      </c>
      <c r="K878" s="27"/>
      <c r="L878" s="30"/>
      <c r="M878" s="30"/>
      <c r="N878" s="30"/>
      <c r="O878" s="30"/>
      <c r="P878" s="30"/>
      <c r="Q878" s="30"/>
      <c r="R878" s="30"/>
      <c r="S878" s="30"/>
    </row>
    <row r="879" spans="1:19" x14ac:dyDescent="0.25">
      <c r="A879" s="29">
        <v>45257</v>
      </c>
      <c r="B879" s="31">
        <v>0.25900000000000001</v>
      </c>
      <c r="C879" s="31">
        <v>0.39300000000000002</v>
      </c>
      <c r="D879" s="31">
        <v>0.52700000000000002</v>
      </c>
      <c r="E879" s="31">
        <v>2.6859999999999999</v>
      </c>
      <c r="F879" s="31">
        <v>3.15</v>
      </c>
      <c r="G879" s="31">
        <v>4.05</v>
      </c>
      <c r="H879" s="31">
        <v>4.5</v>
      </c>
      <c r="I879" s="31">
        <v>4.782</v>
      </c>
      <c r="K879" s="27"/>
      <c r="L879" s="30"/>
      <c r="M879" s="30"/>
      <c r="N879" s="30"/>
      <c r="O879" s="30"/>
      <c r="P879" s="30"/>
      <c r="Q879" s="30"/>
      <c r="R879" s="30"/>
      <c r="S879" s="30"/>
    </row>
    <row r="880" spans="1:19" x14ac:dyDescent="0.25">
      <c r="A880" s="29">
        <v>45258</v>
      </c>
      <c r="B880" s="31">
        <v>0.26600000000000001</v>
      </c>
      <c r="C880" s="31">
        <v>0.39500000000000002</v>
      </c>
      <c r="D880" s="31">
        <v>0.52500000000000002</v>
      </c>
      <c r="E880" s="31">
        <v>2.6859999999999999</v>
      </c>
      <c r="F880" s="31">
        <v>3.15</v>
      </c>
      <c r="G880" s="31">
        <v>4.05</v>
      </c>
      <c r="H880" s="31">
        <v>4.5</v>
      </c>
      <c r="I880" s="31">
        <v>4.782</v>
      </c>
      <c r="K880" s="27"/>
      <c r="L880" s="30"/>
      <c r="M880" s="30"/>
      <c r="N880" s="30"/>
      <c r="O880" s="30"/>
      <c r="P880" s="30"/>
      <c r="Q880" s="30"/>
      <c r="R880" s="30"/>
      <c r="S880" s="30"/>
    </row>
    <row r="881" spans="1:19" x14ac:dyDescent="0.25">
      <c r="A881" s="29">
        <v>45259</v>
      </c>
      <c r="B881" s="31">
        <v>0.26400000000000001</v>
      </c>
      <c r="C881" s="31">
        <v>0.39100000000000001</v>
      </c>
      <c r="D881" s="31">
        <v>0.51800000000000002</v>
      </c>
      <c r="E881" s="31">
        <v>2.6859999999999999</v>
      </c>
      <c r="F881" s="31">
        <v>3.15</v>
      </c>
      <c r="G881" s="31">
        <v>4.05</v>
      </c>
      <c r="H881" s="31">
        <v>4.5</v>
      </c>
      <c r="I881" s="31">
        <v>4.782</v>
      </c>
      <c r="K881" s="27"/>
      <c r="L881" s="30"/>
      <c r="M881" s="30"/>
      <c r="N881" s="30"/>
      <c r="O881" s="30"/>
      <c r="P881" s="30"/>
      <c r="Q881" s="30"/>
      <c r="R881" s="30"/>
      <c r="S881" s="30"/>
    </row>
    <row r="882" spans="1:19" x14ac:dyDescent="0.25">
      <c r="A882" s="29">
        <v>45260</v>
      </c>
      <c r="B882" s="31">
        <v>0.26400000000000001</v>
      </c>
      <c r="C882" s="31">
        <v>0.39300000000000002</v>
      </c>
      <c r="D882" s="31">
        <v>0.52300000000000002</v>
      </c>
      <c r="E882" s="31">
        <v>2.6859999999999999</v>
      </c>
      <c r="F882" s="31">
        <v>3.15</v>
      </c>
      <c r="G882" s="31">
        <v>4.05</v>
      </c>
      <c r="H882" s="31">
        <v>4.5</v>
      </c>
      <c r="I882" s="31">
        <v>4.782</v>
      </c>
      <c r="K882" s="27"/>
      <c r="L882" s="30"/>
      <c r="M882" s="30"/>
      <c r="N882" s="30"/>
      <c r="O882" s="30"/>
      <c r="P882" s="30"/>
      <c r="Q882" s="30"/>
      <c r="R882" s="30"/>
      <c r="S882" s="30"/>
    </row>
    <row r="883" spans="1:19" x14ac:dyDescent="0.25">
      <c r="A883" s="29">
        <v>45261</v>
      </c>
      <c r="B883" s="31">
        <v>0.28000000000000003</v>
      </c>
      <c r="C883" s="31">
        <v>0.40699999999999997</v>
      </c>
      <c r="D883" s="31">
        <v>0.53400000000000003</v>
      </c>
      <c r="E883" s="31">
        <v>2.6859999999999999</v>
      </c>
      <c r="F883" s="31">
        <v>3.15</v>
      </c>
      <c r="G883" s="31">
        <v>4.05</v>
      </c>
      <c r="H883" s="31">
        <v>4.5</v>
      </c>
      <c r="I883" s="31">
        <v>4.782</v>
      </c>
      <c r="K883" s="27"/>
      <c r="L883" s="30"/>
      <c r="M883" s="30"/>
      <c r="N883" s="30"/>
      <c r="O883" s="30"/>
      <c r="P883" s="30"/>
      <c r="Q883" s="30"/>
      <c r="R883" s="30"/>
      <c r="S883" s="30"/>
    </row>
    <row r="884" spans="1:19" x14ac:dyDescent="0.25">
      <c r="A884" s="29">
        <v>45264</v>
      </c>
      <c r="B884" s="31">
        <v>0.26800000000000002</v>
      </c>
      <c r="C884" s="31">
        <v>0.39800000000000002</v>
      </c>
      <c r="D884" s="31">
        <v>0.52700000000000002</v>
      </c>
      <c r="E884" s="31">
        <v>2.6859999999999999</v>
      </c>
      <c r="F884" s="31">
        <v>3.15</v>
      </c>
      <c r="G884" s="31">
        <v>4.05</v>
      </c>
      <c r="H884" s="31">
        <v>4.5</v>
      </c>
      <c r="I884" s="31">
        <v>4.782</v>
      </c>
      <c r="K884" s="27"/>
      <c r="L884" s="30"/>
      <c r="M884" s="30"/>
      <c r="N884" s="30"/>
      <c r="O884" s="30"/>
      <c r="P884" s="30"/>
      <c r="Q884" s="30"/>
      <c r="R884" s="30"/>
      <c r="S884" s="30"/>
    </row>
    <row r="885" spans="1:19" x14ac:dyDescent="0.25">
      <c r="A885" s="29">
        <v>45265</v>
      </c>
      <c r="B885" s="31">
        <v>0.27</v>
      </c>
      <c r="C885" s="31">
        <v>0.4</v>
      </c>
      <c r="D885" s="31">
        <v>0.53</v>
      </c>
      <c r="E885" s="31">
        <v>2.6859999999999999</v>
      </c>
      <c r="F885" s="31">
        <v>3.15</v>
      </c>
      <c r="G885" s="31">
        <v>4.05</v>
      </c>
      <c r="H885" s="31">
        <v>4.5</v>
      </c>
      <c r="I885" s="31">
        <v>4.782</v>
      </c>
      <c r="K885" s="27"/>
      <c r="L885" s="30"/>
      <c r="M885" s="30"/>
      <c r="N885" s="30"/>
      <c r="O885" s="30"/>
      <c r="P885" s="30"/>
      <c r="Q885" s="30"/>
      <c r="R885" s="30"/>
      <c r="S885" s="30"/>
    </row>
    <row r="886" spans="1:19" x14ac:dyDescent="0.25">
      <c r="A886" s="29">
        <v>45266</v>
      </c>
      <c r="B886" s="31">
        <v>0.27500000000000002</v>
      </c>
      <c r="C886" s="31">
        <v>0.40899999999999997</v>
      </c>
      <c r="D886" s="31">
        <v>0.54300000000000004</v>
      </c>
      <c r="E886" s="31">
        <v>2.6859999999999999</v>
      </c>
      <c r="F886" s="31">
        <v>3.15</v>
      </c>
      <c r="G886" s="31">
        <v>4.05</v>
      </c>
      <c r="H886" s="31">
        <v>4.5</v>
      </c>
      <c r="I886" s="31">
        <v>4.782</v>
      </c>
      <c r="K886" s="27"/>
      <c r="L886" s="30"/>
      <c r="M886" s="30"/>
      <c r="N886" s="30"/>
      <c r="O886" s="30"/>
      <c r="P886" s="30"/>
      <c r="Q886" s="30"/>
      <c r="R886" s="30"/>
      <c r="S886" s="30"/>
    </row>
    <row r="887" spans="1:19" x14ac:dyDescent="0.25">
      <c r="A887" s="29">
        <v>45267</v>
      </c>
      <c r="B887" s="31">
        <v>0.26600000000000001</v>
      </c>
      <c r="C887" s="31">
        <v>0.39900000000000002</v>
      </c>
      <c r="D887" s="31">
        <v>0.53200000000000003</v>
      </c>
      <c r="E887" s="31">
        <v>2.6859999999999999</v>
      </c>
      <c r="F887" s="31">
        <v>3.15</v>
      </c>
      <c r="G887" s="31">
        <v>4.05</v>
      </c>
      <c r="H887" s="31">
        <v>4.5</v>
      </c>
      <c r="I887" s="31">
        <v>4.782</v>
      </c>
      <c r="K887" s="27"/>
      <c r="L887" s="30"/>
      <c r="M887" s="30"/>
      <c r="N887" s="30"/>
      <c r="O887" s="30"/>
      <c r="P887" s="30"/>
      <c r="Q887" s="30"/>
      <c r="R887" s="30"/>
      <c r="S887" s="30"/>
    </row>
    <row r="888" spans="1:19" x14ac:dyDescent="0.25">
      <c r="A888" s="29">
        <v>45268</v>
      </c>
      <c r="B888" s="31">
        <v>0.26100000000000001</v>
      </c>
      <c r="C888" s="31">
        <v>0.39800000000000002</v>
      </c>
      <c r="D888" s="31">
        <v>0.53400000000000003</v>
      </c>
      <c r="E888" s="31">
        <v>2.6859999999999999</v>
      </c>
      <c r="F888" s="31">
        <v>3.15</v>
      </c>
      <c r="G888" s="31">
        <v>4.032</v>
      </c>
      <c r="H888" s="31">
        <v>4.4859999999999998</v>
      </c>
      <c r="I888" s="31">
        <v>4.7679999999999998</v>
      </c>
      <c r="K888" s="27"/>
      <c r="L888" s="30"/>
      <c r="M888" s="30"/>
      <c r="N888" s="30"/>
      <c r="O888" s="30"/>
      <c r="P888" s="30"/>
      <c r="Q888" s="30"/>
      <c r="R888" s="30"/>
      <c r="S888" s="30"/>
    </row>
    <row r="889" spans="1:19" x14ac:dyDescent="0.25">
      <c r="A889" s="29">
        <v>45271</v>
      </c>
      <c r="B889" s="31">
        <v>0.25700000000000001</v>
      </c>
      <c r="C889" s="31">
        <v>0.39400000000000002</v>
      </c>
      <c r="D889" s="31">
        <v>0.53200000000000003</v>
      </c>
      <c r="E889" s="31">
        <v>2.6859999999999999</v>
      </c>
      <c r="F889" s="31">
        <v>3.15</v>
      </c>
      <c r="G889" s="31">
        <v>4.032</v>
      </c>
      <c r="H889" s="31">
        <v>4.4859999999999998</v>
      </c>
      <c r="I889" s="31">
        <v>4.7679999999999998</v>
      </c>
      <c r="K889" s="27"/>
      <c r="L889" s="30"/>
      <c r="M889" s="30"/>
      <c r="N889" s="30"/>
      <c r="O889" s="30"/>
      <c r="P889" s="30"/>
      <c r="Q889" s="30"/>
      <c r="R889" s="30"/>
      <c r="S889" s="30"/>
    </row>
    <row r="890" spans="1:19" x14ac:dyDescent="0.25">
      <c r="A890" s="29">
        <v>45272</v>
      </c>
      <c r="B890" s="31">
        <v>0.252</v>
      </c>
      <c r="C890" s="31">
        <v>0.39300000000000002</v>
      </c>
      <c r="D890" s="31">
        <v>0.53400000000000003</v>
      </c>
      <c r="E890" s="31">
        <v>2.6859999999999999</v>
      </c>
      <c r="F890" s="31">
        <v>3.15</v>
      </c>
      <c r="G890" s="31">
        <v>4.032</v>
      </c>
      <c r="H890" s="31">
        <v>4.4859999999999998</v>
      </c>
      <c r="I890" s="31">
        <v>4.7679999999999998</v>
      </c>
      <c r="K890" s="27"/>
      <c r="L890" s="30"/>
      <c r="M890" s="30"/>
      <c r="N890" s="30"/>
      <c r="O890" s="30"/>
      <c r="P890" s="30"/>
      <c r="Q890" s="30"/>
      <c r="R890" s="30"/>
      <c r="S890" s="30"/>
    </row>
    <row r="891" spans="1:19" x14ac:dyDescent="0.25">
      <c r="A891" s="29">
        <v>45273</v>
      </c>
      <c r="B891" s="31">
        <v>0.27500000000000002</v>
      </c>
      <c r="C891" s="31">
        <v>0.40899999999999997</v>
      </c>
      <c r="D891" s="31">
        <v>0.54300000000000004</v>
      </c>
      <c r="E891" s="31">
        <v>2.6859999999999999</v>
      </c>
      <c r="F891" s="31">
        <v>3.15</v>
      </c>
      <c r="G891" s="31">
        <v>4.032</v>
      </c>
      <c r="H891" s="31">
        <v>4.4859999999999998</v>
      </c>
      <c r="I891" s="31">
        <v>4.7679999999999998</v>
      </c>
      <c r="K891" s="27"/>
      <c r="L891" s="30"/>
      <c r="M891" s="30"/>
      <c r="N891" s="30"/>
      <c r="O891" s="30"/>
      <c r="P891" s="30"/>
      <c r="Q891" s="30"/>
      <c r="R891" s="30"/>
      <c r="S891" s="30"/>
    </row>
    <row r="892" spans="1:19" x14ac:dyDescent="0.25">
      <c r="A892" s="29">
        <v>45274</v>
      </c>
      <c r="B892" s="31">
        <v>0.27700000000000002</v>
      </c>
      <c r="C892" s="31">
        <v>0.40899999999999997</v>
      </c>
      <c r="D892" s="31">
        <v>0.54100000000000004</v>
      </c>
      <c r="E892" s="31">
        <v>2.6859999999999999</v>
      </c>
      <c r="F892" s="31">
        <v>3.15</v>
      </c>
      <c r="G892" s="31">
        <v>4.032</v>
      </c>
      <c r="H892" s="31">
        <v>4.4859999999999998</v>
      </c>
      <c r="I892" s="31">
        <v>4.7679999999999998</v>
      </c>
      <c r="K892" s="27"/>
      <c r="L892" s="30"/>
      <c r="M892" s="30"/>
      <c r="N892" s="30"/>
      <c r="O892" s="30"/>
      <c r="P892" s="30"/>
      <c r="Q892" s="30"/>
      <c r="R892" s="30"/>
      <c r="S892" s="30"/>
    </row>
    <row r="893" spans="1:19" x14ac:dyDescent="0.25">
      <c r="A893" s="29">
        <v>45275</v>
      </c>
      <c r="B893" s="31">
        <v>0.28599999999999998</v>
      </c>
      <c r="C893" s="31">
        <v>0.41599999999999998</v>
      </c>
      <c r="D893" s="31">
        <v>0.54500000000000004</v>
      </c>
      <c r="E893" s="31">
        <v>2.6859999999999999</v>
      </c>
      <c r="F893" s="31">
        <v>3.15</v>
      </c>
      <c r="G893" s="31">
        <v>4.032</v>
      </c>
      <c r="H893" s="31">
        <v>4.4859999999999998</v>
      </c>
      <c r="I893" s="31">
        <v>4.7679999999999998</v>
      </c>
      <c r="K893" s="27"/>
      <c r="L893" s="30"/>
      <c r="M893" s="30"/>
      <c r="N893" s="30"/>
      <c r="O893" s="30"/>
      <c r="P893" s="30"/>
      <c r="Q893" s="30"/>
      <c r="R893" s="30"/>
      <c r="S893" s="30"/>
    </row>
    <row r="894" spans="1:19" x14ac:dyDescent="0.25">
      <c r="A894" s="29">
        <v>45278</v>
      </c>
      <c r="B894" s="31">
        <v>0.29299999999999998</v>
      </c>
      <c r="C894" s="31">
        <v>0.42699999999999999</v>
      </c>
      <c r="D894" s="31">
        <v>0.56100000000000005</v>
      </c>
      <c r="E894" s="31">
        <v>2.6859999999999999</v>
      </c>
      <c r="F894" s="31">
        <v>3.15</v>
      </c>
      <c r="G894" s="31">
        <v>4.032</v>
      </c>
      <c r="H894" s="31">
        <v>4.4859999999999998</v>
      </c>
      <c r="I894" s="31">
        <v>4.7679999999999998</v>
      </c>
      <c r="K894" s="27"/>
      <c r="L894" s="30"/>
      <c r="M894" s="30"/>
      <c r="N894" s="30"/>
      <c r="O894" s="30"/>
      <c r="P894" s="30"/>
      <c r="Q894" s="30"/>
      <c r="R894" s="30"/>
      <c r="S894" s="30"/>
    </row>
    <row r="895" spans="1:19" x14ac:dyDescent="0.25">
      <c r="A895" s="29">
        <v>45279</v>
      </c>
      <c r="B895" s="31">
        <v>0.47</v>
      </c>
      <c r="C895" s="31">
        <v>0.56799999999999995</v>
      </c>
      <c r="D895" s="31">
        <v>0.66600000000000004</v>
      </c>
      <c r="E895" s="31">
        <v>2.7090000000000001</v>
      </c>
      <c r="F895" s="31">
        <v>3.15</v>
      </c>
      <c r="G895" s="31">
        <v>4.032</v>
      </c>
      <c r="H895" s="31">
        <v>4.4859999999999998</v>
      </c>
      <c r="I895" s="31">
        <v>4.7679999999999998</v>
      </c>
      <c r="K895" s="27"/>
      <c r="L895" s="30"/>
      <c r="M895" s="30"/>
      <c r="N895" s="30"/>
      <c r="O895" s="30"/>
      <c r="P895" s="30"/>
      <c r="Q895" s="30"/>
      <c r="R895" s="30"/>
      <c r="S895" s="30"/>
    </row>
    <row r="896" spans="1:19" x14ac:dyDescent="0.25">
      <c r="A896" s="29">
        <v>45280</v>
      </c>
      <c r="B896" s="31">
        <v>0.495</v>
      </c>
      <c r="C896" s="31">
        <v>0.59899999999999998</v>
      </c>
      <c r="D896" s="31">
        <v>0.70199999999999996</v>
      </c>
      <c r="E896" s="31">
        <v>2.7090000000000001</v>
      </c>
      <c r="F896" s="31">
        <v>3.15</v>
      </c>
      <c r="G896" s="31">
        <v>4.032</v>
      </c>
      <c r="H896" s="31">
        <v>4.4859999999999998</v>
      </c>
      <c r="I896" s="31">
        <v>4.7679999999999998</v>
      </c>
      <c r="K896" s="27"/>
      <c r="L896" s="30"/>
      <c r="M896" s="30"/>
      <c r="N896" s="30"/>
      <c r="O896" s="30"/>
      <c r="P896" s="30"/>
      <c r="Q896" s="30"/>
      <c r="R896" s="30"/>
      <c r="S896" s="30"/>
    </row>
    <row r="897" spans="1:19" x14ac:dyDescent="0.25">
      <c r="A897" s="29">
        <v>45281</v>
      </c>
      <c r="B897" s="31">
        <v>0.56100000000000005</v>
      </c>
      <c r="C897" s="31">
        <v>0.65900000000000003</v>
      </c>
      <c r="D897" s="31">
        <v>0.75700000000000001</v>
      </c>
      <c r="E897" s="31">
        <v>2.7090000000000001</v>
      </c>
      <c r="F897" s="31">
        <v>3.15</v>
      </c>
      <c r="G897" s="31">
        <v>4.032</v>
      </c>
      <c r="H897" s="31">
        <v>4.4859999999999998</v>
      </c>
      <c r="I897" s="31">
        <v>4.7679999999999998</v>
      </c>
      <c r="K897" s="27"/>
      <c r="L897" s="30"/>
      <c r="M897" s="30"/>
      <c r="N897" s="30"/>
      <c r="O897" s="30"/>
      <c r="P897" s="30"/>
      <c r="Q897" s="30"/>
      <c r="R897" s="30"/>
      <c r="S897" s="30"/>
    </row>
    <row r="898" spans="1:19" x14ac:dyDescent="0.25">
      <c r="A898" s="29">
        <v>45282</v>
      </c>
      <c r="B898" s="31">
        <v>0.60699999999999998</v>
      </c>
      <c r="C898" s="31">
        <v>0.69</v>
      </c>
      <c r="D898" s="31">
        <v>0.77300000000000002</v>
      </c>
      <c r="E898" s="31">
        <v>2.7090000000000001</v>
      </c>
      <c r="F898" s="31">
        <v>3.15</v>
      </c>
      <c r="G898" s="31">
        <v>4.032</v>
      </c>
      <c r="H898" s="31">
        <v>4.4859999999999998</v>
      </c>
      <c r="I898" s="31">
        <v>4.7679999999999998</v>
      </c>
      <c r="K898" s="27"/>
      <c r="L898" s="30"/>
      <c r="M898" s="30"/>
      <c r="N898" s="30"/>
      <c r="O898" s="30"/>
      <c r="P898" s="30"/>
      <c r="Q898" s="30"/>
      <c r="R898" s="30"/>
      <c r="S898" s="30"/>
    </row>
    <row r="899" spans="1:19" x14ac:dyDescent="0.25">
      <c r="A899" s="29">
        <v>45285</v>
      </c>
      <c r="B899" s="31">
        <v>1.05</v>
      </c>
      <c r="C899" s="31">
        <v>1.089</v>
      </c>
      <c r="D899" s="31">
        <v>1.127</v>
      </c>
      <c r="E899" s="31">
        <v>2.7320000000000002</v>
      </c>
      <c r="F899" s="31">
        <v>3.15</v>
      </c>
      <c r="G899" s="31">
        <v>4.032</v>
      </c>
      <c r="H899" s="31">
        <v>4.4859999999999998</v>
      </c>
      <c r="I899" s="31">
        <v>4.7679999999999998</v>
      </c>
      <c r="K899" s="27"/>
      <c r="L899" s="30"/>
      <c r="M899" s="30"/>
      <c r="N899" s="30"/>
      <c r="O899" s="30"/>
      <c r="P899" s="30"/>
      <c r="Q899" s="30"/>
      <c r="R899" s="30"/>
      <c r="S899" s="30"/>
    </row>
    <row r="900" spans="1:19" x14ac:dyDescent="0.25">
      <c r="A900" s="29">
        <v>45286</v>
      </c>
      <c r="B900" s="31">
        <v>1.345</v>
      </c>
      <c r="C900" s="31">
        <v>1.363</v>
      </c>
      <c r="D900" s="31">
        <v>1.38</v>
      </c>
      <c r="E900" s="31">
        <v>2.786</v>
      </c>
      <c r="F900" s="31">
        <v>3.1909999999999998</v>
      </c>
      <c r="G900" s="31">
        <v>4.032</v>
      </c>
      <c r="H900" s="31">
        <v>4.4859999999999998</v>
      </c>
      <c r="I900" s="31">
        <v>4.7679999999999998</v>
      </c>
      <c r="K900" s="27"/>
      <c r="L900" s="30"/>
      <c r="M900" s="30"/>
      <c r="N900" s="30"/>
      <c r="O900" s="30"/>
      <c r="P900" s="30"/>
      <c r="Q900" s="30"/>
      <c r="R900" s="30"/>
      <c r="S900" s="30"/>
    </row>
    <row r="901" spans="1:19" x14ac:dyDescent="0.25">
      <c r="A901" s="29">
        <v>45287</v>
      </c>
      <c r="B901" s="31">
        <v>1.4590000000000001</v>
      </c>
      <c r="C901" s="31">
        <v>1.5089999999999999</v>
      </c>
      <c r="D901" s="31">
        <v>1.5589999999999999</v>
      </c>
      <c r="E901" s="31">
        <v>2.786</v>
      </c>
      <c r="F901" s="31">
        <v>3.1909999999999998</v>
      </c>
      <c r="G901" s="31">
        <v>4.032</v>
      </c>
      <c r="H901" s="31">
        <v>4.4859999999999998</v>
      </c>
      <c r="I901" s="31">
        <v>4.7679999999999998</v>
      </c>
      <c r="K901" s="27"/>
      <c r="L901" s="30"/>
      <c r="M901" s="30"/>
      <c r="N901" s="30"/>
      <c r="O901" s="30"/>
      <c r="P901" s="30"/>
      <c r="Q901" s="30"/>
      <c r="R901" s="30"/>
      <c r="S901" s="30"/>
    </row>
    <row r="902" spans="1:19" x14ac:dyDescent="0.25">
      <c r="A902" s="29">
        <v>45288</v>
      </c>
      <c r="B902" s="31">
        <v>1.5449999999999999</v>
      </c>
      <c r="C902" s="31">
        <v>1.5569999999999999</v>
      </c>
      <c r="D902" s="31">
        <v>1.5680000000000001</v>
      </c>
      <c r="E902" s="31">
        <v>2.7909999999999999</v>
      </c>
      <c r="F902" s="31">
        <v>3.1949999999999998</v>
      </c>
      <c r="G902" s="31">
        <v>4.032</v>
      </c>
      <c r="H902" s="31">
        <v>4.4859999999999998</v>
      </c>
      <c r="I902" s="31">
        <v>4.7679999999999998</v>
      </c>
      <c r="K902" s="27"/>
      <c r="L902" s="30"/>
      <c r="M902" s="30"/>
      <c r="N902" s="30"/>
      <c r="O902" s="30"/>
      <c r="P902" s="30"/>
      <c r="Q902" s="30"/>
      <c r="R902" s="30"/>
      <c r="S902" s="30"/>
    </row>
    <row r="903" spans="1:19" x14ac:dyDescent="0.25">
      <c r="A903" s="29">
        <v>45289</v>
      </c>
      <c r="B903" s="31">
        <v>1.5840000000000001</v>
      </c>
      <c r="C903" s="31">
        <v>1.609</v>
      </c>
      <c r="D903" s="31">
        <v>1.6339999999999999</v>
      </c>
      <c r="E903" s="31">
        <v>2.7909999999999999</v>
      </c>
      <c r="F903" s="31">
        <v>3.1949999999999998</v>
      </c>
      <c r="G903" s="31">
        <v>4.032</v>
      </c>
      <c r="H903" s="31">
        <v>4.4859999999999998</v>
      </c>
      <c r="I903" s="31">
        <v>4.7679999999999998</v>
      </c>
      <c r="K903" s="27"/>
      <c r="L903" s="30"/>
      <c r="M903" s="30"/>
      <c r="N903" s="30"/>
      <c r="O903" s="30"/>
      <c r="P903" s="30"/>
      <c r="Q903" s="30"/>
      <c r="R903" s="30"/>
      <c r="S903" s="30"/>
    </row>
    <row r="904" spans="1:19" x14ac:dyDescent="0.25">
      <c r="A904" s="29">
        <v>45293</v>
      </c>
      <c r="B904" s="31">
        <v>0.995</v>
      </c>
      <c r="C904" s="31">
        <v>1.0660000000000001</v>
      </c>
      <c r="D904" s="31">
        <v>1.1359999999999999</v>
      </c>
      <c r="E904" s="31">
        <v>2.782</v>
      </c>
      <c r="F904" s="31">
        <v>3.1859999999999999</v>
      </c>
      <c r="G904" s="31">
        <v>4.0140000000000002</v>
      </c>
      <c r="H904" s="31">
        <v>4.4770000000000003</v>
      </c>
      <c r="I904" s="31">
        <v>4.7590000000000003</v>
      </c>
      <c r="K904" s="27"/>
      <c r="L904" s="30"/>
      <c r="M904" s="30"/>
      <c r="N904" s="30"/>
      <c r="O904" s="30"/>
      <c r="P904" s="30"/>
      <c r="Q904" s="30"/>
      <c r="R904" s="30"/>
      <c r="S904" s="30"/>
    </row>
    <row r="905" spans="1:19" x14ac:dyDescent="0.25">
      <c r="A905" s="29">
        <v>45294</v>
      </c>
      <c r="B905" s="31">
        <v>0.48399999999999999</v>
      </c>
      <c r="C905" s="31">
        <v>0.57299999999999995</v>
      </c>
      <c r="D905" s="31">
        <v>0.66100000000000003</v>
      </c>
      <c r="E905" s="31">
        <v>2.7269999999999999</v>
      </c>
      <c r="F905" s="31">
        <v>3.1680000000000001</v>
      </c>
      <c r="G905" s="31">
        <v>4.0090000000000003</v>
      </c>
      <c r="H905" s="31">
        <v>4.4729999999999999</v>
      </c>
      <c r="I905" s="31">
        <v>4.7549999999999999</v>
      </c>
      <c r="K905" s="27"/>
      <c r="L905" s="30"/>
      <c r="M905" s="30"/>
      <c r="N905" s="30"/>
      <c r="O905" s="30"/>
      <c r="P905" s="30"/>
      <c r="Q905" s="30"/>
      <c r="R905" s="30"/>
      <c r="S905" s="30"/>
    </row>
    <row r="906" spans="1:19" x14ac:dyDescent="0.25">
      <c r="A906" s="29">
        <v>45295</v>
      </c>
      <c r="B906" s="31">
        <v>0.28199999999999997</v>
      </c>
      <c r="C906" s="31">
        <v>0.38300000000000001</v>
      </c>
      <c r="D906" s="31">
        <v>0.48399999999999999</v>
      </c>
      <c r="E906" s="31">
        <v>2.609</v>
      </c>
      <c r="F906" s="31">
        <v>3.0680000000000001</v>
      </c>
      <c r="G906" s="31">
        <v>3.9550000000000001</v>
      </c>
      <c r="H906" s="31">
        <v>4.4359999999999999</v>
      </c>
      <c r="I906" s="31">
        <v>4.7089999999999996</v>
      </c>
      <c r="K906" s="27"/>
      <c r="L906" s="30"/>
      <c r="M906" s="30"/>
      <c r="N906" s="30"/>
      <c r="O906" s="30"/>
      <c r="P906" s="30"/>
      <c r="Q906" s="30"/>
      <c r="R906" s="30"/>
      <c r="S906" s="30"/>
    </row>
    <row r="907" spans="1:19" x14ac:dyDescent="0.25">
      <c r="A907" s="29">
        <v>45296</v>
      </c>
      <c r="B907" s="31">
        <v>0.216</v>
      </c>
      <c r="C907" s="31">
        <v>0.33500000000000002</v>
      </c>
      <c r="D907" s="31">
        <v>0.45500000000000002</v>
      </c>
      <c r="E907" s="31">
        <v>2.5640000000000001</v>
      </c>
      <c r="F907" s="31">
        <v>3.0680000000000001</v>
      </c>
      <c r="G907" s="31">
        <v>3.9550000000000001</v>
      </c>
      <c r="H907" s="31">
        <v>4.4180000000000001</v>
      </c>
      <c r="I907" s="31">
        <v>4.7</v>
      </c>
      <c r="K907" s="27"/>
      <c r="L907" s="30"/>
      <c r="M907" s="30"/>
      <c r="N907" s="30"/>
      <c r="O907" s="30"/>
      <c r="P907" s="30"/>
      <c r="Q907" s="30"/>
      <c r="R907" s="30"/>
      <c r="S907" s="30"/>
    </row>
    <row r="908" spans="1:19" x14ac:dyDescent="0.25">
      <c r="A908" s="29">
        <v>45299</v>
      </c>
      <c r="B908" s="31">
        <v>0.21</v>
      </c>
      <c r="C908" s="31">
        <v>0.34100000000000003</v>
      </c>
      <c r="D908" s="31">
        <v>0.47099999999999997</v>
      </c>
      <c r="E908" s="31">
        <v>2.504</v>
      </c>
      <c r="F908" s="31">
        <v>3.0169999999999999</v>
      </c>
      <c r="G908" s="31">
        <v>3.9039999999999999</v>
      </c>
      <c r="H908" s="31">
        <v>4.3540000000000001</v>
      </c>
      <c r="I908" s="31">
        <v>4.6210000000000004</v>
      </c>
      <c r="K908" s="27"/>
      <c r="L908" s="30"/>
      <c r="M908" s="30"/>
      <c r="N908" s="30"/>
      <c r="O908" s="30"/>
      <c r="P908" s="30"/>
      <c r="Q908" s="30"/>
      <c r="R908" s="30"/>
      <c r="S908" s="30"/>
    </row>
    <row r="909" spans="1:19" x14ac:dyDescent="0.25">
      <c r="A909" s="29">
        <v>45300</v>
      </c>
      <c r="B909" s="31">
        <v>0.21</v>
      </c>
      <c r="C909" s="31">
        <v>0.34100000000000003</v>
      </c>
      <c r="D909" s="31">
        <v>0.47099999999999997</v>
      </c>
      <c r="E909" s="31">
        <v>2.504</v>
      </c>
      <c r="F909" s="31">
        <v>3.0169999999999999</v>
      </c>
      <c r="G909" s="31">
        <v>3.9039999999999999</v>
      </c>
      <c r="H909" s="31">
        <v>4.3540000000000001</v>
      </c>
      <c r="I909" s="31">
        <v>4.6210000000000004</v>
      </c>
      <c r="K909" s="27"/>
      <c r="L909" s="30"/>
      <c r="M909" s="30"/>
      <c r="N909" s="30"/>
      <c r="O909" s="30"/>
      <c r="P909" s="30"/>
      <c r="Q909" s="30"/>
      <c r="R909" s="30"/>
      <c r="S909" s="30"/>
    </row>
    <row r="910" spans="1:19" x14ac:dyDescent="0.25">
      <c r="A910" s="29">
        <v>45301</v>
      </c>
      <c r="B910" s="31">
        <v>0.221</v>
      </c>
      <c r="C910" s="31">
        <v>0.35199999999999998</v>
      </c>
      <c r="D910" s="31">
        <v>0.48299999999999998</v>
      </c>
      <c r="E910" s="31">
        <v>2.504</v>
      </c>
      <c r="F910" s="31">
        <v>3.0169999999999999</v>
      </c>
      <c r="G910" s="31">
        <v>3.9039999999999999</v>
      </c>
      <c r="H910" s="31">
        <v>4.3540000000000001</v>
      </c>
      <c r="I910" s="31">
        <v>4.6210000000000004</v>
      </c>
      <c r="K910" s="27"/>
      <c r="L910" s="30"/>
      <c r="M910" s="30"/>
      <c r="N910" s="30"/>
      <c r="O910" s="30"/>
      <c r="P910" s="30"/>
      <c r="Q910" s="30"/>
      <c r="R910" s="30"/>
      <c r="S910" s="30"/>
    </row>
    <row r="911" spans="1:19" x14ac:dyDescent="0.25">
      <c r="A911" s="29">
        <v>45302</v>
      </c>
      <c r="B911" s="31">
        <v>0.22500000000000001</v>
      </c>
      <c r="C911" s="31">
        <v>0.36</v>
      </c>
      <c r="D911" s="31">
        <v>0.496</v>
      </c>
      <c r="E911" s="31">
        <v>2.4710000000000001</v>
      </c>
      <c r="F911" s="31">
        <v>2.9830000000000001</v>
      </c>
      <c r="G911" s="31">
        <v>3.8879999999999999</v>
      </c>
      <c r="H911" s="31">
        <v>4.3540000000000001</v>
      </c>
      <c r="I911" s="31">
        <v>4.6210000000000004</v>
      </c>
      <c r="K911" s="27"/>
      <c r="L911" s="30"/>
      <c r="M911" s="30"/>
      <c r="N911" s="30"/>
      <c r="O911" s="30"/>
      <c r="P911" s="30"/>
      <c r="Q911" s="30"/>
      <c r="R911" s="30"/>
      <c r="S911" s="30"/>
    </row>
    <row r="912" spans="1:19" x14ac:dyDescent="0.25">
      <c r="A912" s="29">
        <v>45303</v>
      </c>
      <c r="B912" s="31">
        <v>0.221</v>
      </c>
      <c r="C912" s="31">
        <v>0.36</v>
      </c>
      <c r="D912" s="31">
        <v>0.5</v>
      </c>
      <c r="E912" s="31">
        <v>2.4710000000000001</v>
      </c>
      <c r="F912" s="31">
        <v>2.9830000000000001</v>
      </c>
      <c r="G912" s="31">
        <v>3.8879999999999999</v>
      </c>
      <c r="H912" s="31">
        <v>4.3540000000000001</v>
      </c>
      <c r="I912" s="31">
        <v>4.6210000000000004</v>
      </c>
      <c r="K912" s="27"/>
      <c r="L912" s="30"/>
      <c r="M912" s="30"/>
      <c r="N912" s="30"/>
      <c r="O912" s="30"/>
      <c r="P912" s="30"/>
      <c r="Q912" s="30"/>
      <c r="R912" s="30"/>
      <c r="S912" s="30"/>
    </row>
    <row r="913" spans="1:19" x14ac:dyDescent="0.25">
      <c r="A913" s="29">
        <v>45306</v>
      </c>
      <c r="B913" s="31">
        <v>0.21</v>
      </c>
      <c r="C913" s="31">
        <v>0.35599999999999998</v>
      </c>
      <c r="D913" s="31">
        <v>0.502</v>
      </c>
      <c r="E913" s="31">
        <v>2.4710000000000001</v>
      </c>
      <c r="F913" s="31">
        <v>2.9830000000000001</v>
      </c>
      <c r="G913" s="31">
        <v>3.8879999999999999</v>
      </c>
      <c r="H913" s="31">
        <v>4.3540000000000001</v>
      </c>
      <c r="I913" s="31">
        <v>4.6210000000000004</v>
      </c>
      <c r="K913" s="27"/>
      <c r="L913" s="30"/>
      <c r="M913" s="30"/>
      <c r="N913" s="30"/>
      <c r="O913" s="30"/>
      <c r="P913" s="30"/>
      <c r="Q913" s="30"/>
      <c r="R913" s="30"/>
      <c r="S913" s="30"/>
    </row>
    <row r="914" spans="1:19" x14ac:dyDescent="0.25">
      <c r="A914" s="29">
        <v>45307</v>
      </c>
      <c r="B914" s="31">
        <v>0.215</v>
      </c>
      <c r="C914" s="31">
        <v>0.36</v>
      </c>
      <c r="D914" s="31">
        <v>0.50600000000000001</v>
      </c>
      <c r="E914" s="31">
        <v>2.4710000000000001</v>
      </c>
      <c r="F914" s="31">
        <v>2.9830000000000001</v>
      </c>
      <c r="G914" s="31">
        <v>3.8879999999999999</v>
      </c>
      <c r="H914" s="31">
        <v>4.3540000000000001</v>
      </c>
      <c r="I914" s="31">
        <v>4.6210000000000004</v>
      </c>
      <c r="K914" s="27"/>
      <c r="L914" s="30"/>
      <c r="M914" s="30"/>
      <c r="N914" s="30"/>
      <c r="O914" s="30"/>
      <c r="P914" s="30"/>
      <c r="Q914" s="30"/>
      <c r="R914" s="30"/>
      <c r="S914" s="30"/>
    </row>
    <row r="915" spans="1:19" x14ac:dyDescent="0.25">
      <c r="A915" s="29">
        <v>45308</v>
      </c>
      <c r="B915" s="31">
        <v>0.21299999999999999</v>
      </c>
      <c r="C915" s="31">
        <v>0.36299999999999999</v>
      </c>
      <c r="D915" s="31">
        <v>0.51300000000000001</v>
      </c>
      <c r="E915" s="31">
        <v>2.4710000000000001</v>
      </c>
      <c r="F915" s="31">
        <v>2.9830000000000001</v>
      </c>
      <c r="G915" s="31">
        <v>3.8879999999999999</v>
      </c>
      <c r="H915" s="31">
        <v>4.3540000000000001</v>
      </c>
      <c r="I915" s="31">
        <v>4.6210000000000004</v>
      </c>
      <c r="K915" s="27"/>
      <c r="L915" s="30"/>
      <c r="M915" s="30"/>
      <c r="N915" s="30"/>
      <c r="O915" s="30"/>
      <c r="P915" s="30"/>
      <c r="Q915" s="30"/>
      <c r="R915" s="30"/>
      <c r="S915" s="30"/>
    </row>
    <row r="916" spans="1:19" x14ac:dyDescent="0.25">
      <c r="A916" s="29">
        <v>45309</v>
      </c>
      <c r="B916" s="31">
        <v>0.21299999999999999</v>
      </c>
      <c r="C916" s="31">
        <v>0.36099999999999999</v>
      </c>
      <c r="D916" s="31">
        <v>0.51</v>
      </c>
      <c r="E916" s="31">
        <v>2.4710000000000001</v>
      </c>
      <c r="F916" s="31">
        <v>2.9830000000000001</v>
      </c>
      <c r="G916" s="31">
        <v>3.8879999999999999</v>
      </c>
      <c r="H916" s="31">
        <v>4.3540000000000001</v>
      </c>
      <c r="I916" s="31">
        <v>4.6210000000000004</v>
      </c>
      <c r="K916" s="27"/>
      <c r="L916" s="30"/>
      <c r="M916" s="30"/>
      <c r="N916" s="30"/>
      <c r="O916" s="30"/>
      <c r="P916" s="30"/>
      <c r="Q916" s="30"/>
      <c r="R916" s="30"/>
      <c r="S916" s="30"/>
    </row>
    <row r="917" spans="1:19" x14ac:dyDescent="0.25">
      <c r="A917" s="29">
        <v>45310</v>
      </c>
      <c r="B917" s="31">
        <v>0.20399999999999999</v>
      </c>
      <c r="C917" s="31">
        <v>0.35599999999999998</v>
      </c>
      <c r="D917" s="31">
        <v>0.50800000000000001</v>
      </c>
      <c r="E917" s="31">
        <v>2.4710000000000001</v>
      </c>
      <c r="F917" s="31">
        <v>2.9830000000000001</v>
      </c>
      <c r="G917" s="31">
        <v>3.8879999999999999</v>
      </c>
      <c r="H917" s="31">
        <v>4.3540000000000001</v>
      </c>
      <c r="I917" s="31">
        <v>4.6210000000000004</v>
      </c>
      <c r="K917" s="27"/>
      <c r="L917" s="30"/>
      <c r="M917" s="30"/>
      <c r="N917" s="30"/>
      <c r="O917" s="30"/>
      <c r="P917" s="30"/>
      <c r="Q917" s="30"/>
      <c r="R917" s="30"/>
      <c r="S917" s="30"/>
    </row>
    <row r="918" spans="1:19" x14ac:dyDescent="0.25">
      <c r="A918" s="29">
        <v>45313</v>
      </c>
      <c r="B918" s="31">
        <v>0.21299999999999999</v>
      </c>
      <c r="C918" s="31">
        <v>0.35799999999999998</v>
      </c>
      <c r="D918" s="31">
        <v>0.504</v>
      </c>
      <c r="E918" s="31">
        <v>2.4710000000000001</v>
      </c>
      <c r="F918" s="31">
        <v>2.9830000000000001</v>
      </c>
      <c r="G918" s="31">
        <v>3.8879999999999999</v>
      </c>
      <c r="H918" s="31">
        <v>4.3540000000000001</v>
      </c>
      <c r="I918" s="31">
        <v>4.6210000000000004</v>
      </c>
      <c r="K918" s="27"/>
      <c r="L918" s="30"/>
      <c r="M918" s="30"/>
      <c r="N918" s="30"/>
      <c r="O918" s="30"/>
      <c r="P918" s="30"/>
      <c r="Q918" s="30"/>
      <c r="R918" s="30"/>
      <c r="S918" s="30"/>
    </row>
    <row r="919" spans="1:19" x14ac:dyDescent="0.25">
      <c r="A919" s="29">
        <v>45314</v>
      </c>
      <c r="B919" s="31">
        <v>0.19800000000000001</v>
      </c>
      <c r="C919" s="31">
        <v>0.34599999999999997</v>
      </c>
      <c r="D919" s="31">
        <v>0.49399999999999999</v>
      </c>
      <c r="E919" s="31">
        <v>2.4710000000000001</v>
      </c>
      <c r="F919" s="31">
        <v>2.9830000000000001</v>
      </c>
      <c r="G919" s="31">
        <v>3.8879999999999999</v>
      </c>
      <c r="H919" s="31">
        <v>4.3540000000000001</v>
      </c>
      <c r="I919" s="31">
        <v>4.6210000000000004</v>
      </c>
      <c r="K919" s="27"/>
      <c r="L919" s="30"/>
      <c r="M919" s="30"/>
      <c r="N919" s="30"/>
      <c r="O919" s="30"/>
      <c r="P919" s="30"/>
      <c r="Q919" s="30"/>
      <c r="R919" s="30"/>
      <c r="S919" s="30"/>
    </row>
    <row r="920" spans="1:19" x14ac:dyDescent="0.25">
      <c r="A920" s="29">
        <v>45315</v>
      </c>
      <c r="B920" s="31">
        <v>0.27100000000000002</v>
      </c>
      <c r="C920" s="31">
        <v>0.376</v>
      </c>
      <c r="D920" s="31">
        <v>0.48099999999999998</v>
      </c>
      <c r="E920" s="31">
        <v>2.4710000000000001</v>
      </c>
      <c r="F920" s="31">
        <v>2.9830000000000001</v>
      </c>
      <c r="G920" s="31">
        <v>3.8879999999999999</v>
      </c>
      <c r="H920" s="31">
        <v>4.3540000000000001</v>
      </c>
      <c r="I920" s="31">
        <v>4.6210000000000004</v>
      </c>
      <c r="K920" s="27"/>
      <c r="L920" s="30"/>
      <c r="M920" s="30"/>
      <c r="N920" s="30"/>
      <c r="O920" s="30"/>
      <c r="P920" s="30"/>
      <c r="Q920" s="30"/>
      <c r="R920" s="30"/>
      <c r="S920" s="30"/>
    </row>
    <row r="921" spans="1:19" x14ac:dyDescent="0.25">
      <c r="A921" s="29">
        <v>45316</v>
      </c>
      <c r="B921" s="31">
        <v>0.24199999999999999</v>
      </c>
      <c r="C921" s="31">
        <v>0.35799999999999998</v>
      </c>
      <c r="D921" s="31">
        <v>0.47499999999999998</v>
      </c>
      <c r="E921" s="31">
        <v>2.4710000000000001</v>
      </c>
      <c r="F921" s="31">
        <v>2.9830000000000001</v>
      </c>
      <c r="G921" s="31">
        <v>3.871</v>
      </c>
      <c r="H921" s="31">
        <v>4.3540000000000001</v>
      </c>
      <c r="I921" s="31">
        <v>4.6210000000000004</v>
      </c>
      <c r="K921" s="27"/>
      <c r="L921" s="30"/>
      <c r="M921" s="30"/>
      <c r="N921" s="30"/>
      <c r="O921" s="30"/>
      <c r="P921" s="30"/>
      <c r="Q921" s="30"/>
      <c r="R921" s="30"/>
      <c r="S921" s="30"/>
    </row>
    <row r="922" spans="1:19" x14ac:dyDescent="0.25">
      <c r="A922" s="29">
        <v>45317</v>
      </c>
      <c r="B922" s="31">
        <v>0.25</v>
      </c>
      <c r="C922" s="31">
        <v>0.36399999999999999</v>
      </c>
      <c r="D922" s="31">
        <v>0.47699999999999998</v>
      </c>
      <c r="E922" s="31">
        <v>2.4710000000000001</v>
      </c>
      <c r="F922" s="31">
        <v>2.9830000000000001</v>
      </c>
      <c r="G922" s="31">
        <v>3.871</v>
      </c>
      <c r="H922" s="31">
        <v>4.3540000000000001</v>
      </c>
      <c r="I922" s="31">
        <v>4.6210000000000004</v>
      </c>
      <c r="K922" s="27"/>
      <c r="L922" s="30"/>
      <c r="M922" s="30"/>
      <c r="N922" s="30"/>
      <c r="O922" s="30"/>
      <c r="P922" s="30"/>
      <c r="Q922" s="30"/>
      <c r="R922" s="30"/>
      <c r="S922" s="30"/>
    </row>
    <row r="923" spans="1:19" x14ac:dyDescent="0.25">
      <c r="A923" s="29">
        <v>45320</v>
      </c>
      <c r="B923" s="31">
        <v>0.25800000000000001</v>
      </c>
      <c r="C923" s="31">
        <v>0.36699999999999999</v>
      </c>
      <c r="D923" s="31">
        <v>0.47499999999999998</v>
      </c>
      <c r="E923" s="31">
        <v>2.4710000000000001</v>
      </c>
      <c r="F923" s="31">
        <v>2.9830000000000001</v>
      </c>
      <c r="G923" s="31">
        <v>3.871</v>
      </c>
      <c r="H923" s="31">
        <v>4.3540000000000001</v>
      </c>
      <c r="I923" s="31">
        <v>4.6210000000000004</v>
      </c>
      <c r="K923" s="27"/>
      <c r="L923" s="30"/>
      <c r="M923" s="30"/>
      <c r="N923" s="30"/>
      <c r="O923" s="30"/>
      <c r="P923" s="30"/>
      <c r="Q923" s="30"/>
      <c r="R923" s="30"/>
      <c r="S923" s="30"/>
    </row>
    <row r="924" spans="1:19" x14ac:dyDescent="0.25">
      <c r="A924" s="29">
        <v>45321</v>
      </c>
      <c r="B924" s="31">
        <v>0.33800000000000002</v>
      </c>
      <c r="C924" s="31">
        <v>0.46899999999999997</v>
      </c>
      <c r="D924" s="31">
        <v>0.6</v>
      </c>
      <c r="E924" s="31">
        <v>2.4710000000000001</v>
      </c>
      <c r="F924" s="31">
        <v>3.0249999999999999</v>
      </c>
      <c r="G924" s="31">
        <v>3.8959999999999999</v>
      </c>
      <c r="H924" s="31">
        <v>4.3879999999999999</v>
      </c>
      <c r="I924" s="31">
        <v>4.6539999999999999</v>
      </c>
      <c r="K924" s="27"/>
      <c r="L924" s="30"/>
      <c r="M924" s="30"/>
      <c r="N924" s="30"/>
      <c r="O924" s="30"/>
      <c r="P924" s="30"/>
      <c r="Q924" s="30"/>
      <c r="R924" s="30"/>
      <c r="S924" s="30"/>
    </row>
    <row r="925" spans="1:19" x14ac:dyDescent="0.25">
      <c r="A925" s="29">
        <v>45322</v>
      </c>
      <c r="B925" s="31">
        <v>0.629</v>
      </c>
      <c r="C925" s="31">
        <v>0.71499999999999997</v>
      </c>
      <c r="D925" s="31">
        <v>0.8</v>
      </c>
      <c r="E925" s="31">
        <v>2.4710000000000001</v>
      </c>
      <c r="F925" s="31">
        <v>3.0249999999999999</v>
      </c>
      <c r="G925" s="31">
        <v>3.8959999999999999</v>
      </c>
      <c r="H925" s="31">
        <v>4.3879999999999999</v>
      </c>
      <c r="I925" s="31">
        <v>4.6539999999999999</v>
      </c>
      <c r="K925" s="27"/>
      <c r="L925" s="30"/>
      <c r="M925" s="30"/>
      <c r="N925" s="30"/>
      <c r="O925" s="30"/>
      <c r="P925" s="30"/>
      <c r="Q925" s="30"/>
      <c r="R925" s="30"/>
      <c r="S925" s="30"/>
    </row>
    <row r="926" spans="1:19" x14ac:dyDescent="0.25">
      <c r="A926" s="29">
        <v>45323</v>
      </c>
      <c r="B926" s="31">
        <v>1.004</v>
      </c>
      <c r="C926" s="31">
        <v>1.077</v>
      </c>
      <c r="D926" s="31">
        <v>1.1499999999999999</v>
      </c>
      <c r="E926" s="31">
        <v>2.5539999999999998</v>
      </c>
      <c r="F926" s="31">
        <v>3.0329999999999999</v>
      </c>
      <c r="G926" s="31">
        <v>3.9</v>
      </c>
      <c r="H926" s="31">
        <v>4.3920000000000003</v>
      </c>
      <c r="I926" s="31">
        <v>4.6829999999999998</v>
      </c>
      <c r="K926" s="27"/>
      <c r="L926" s="30"/>
      <c r="M926" s="30"/>
      <c r="N926" s="30"/>
      <c r="O926" s="30"/>
      <c r="P926" s="30"/>
      <c r="Q926" s="30"/>
      <c r="R926" s="30"/>
      <c r="S926" s="30"/>
    </row>
    <row r="927" spans="1:19" x14ac:dyDescent="0.25">
      <c r="A927" s="29">
        <v>45324</v>
      </c>
      <c r="B927" s="31">
        <v>1.1830000000000001</v>
      </c>
      <c r="C927" s="31">
        <v>1.254</v>
      </c>
      <c r="D927" s="31">
        <v>1.325</v>
      </c>
      <c r="E927" s="31">
        <v>2.5539999999999998</v>
      </c>
      <c r="F927" s="31">
        <v>3.0329999999999999</v>
      </c>
      <c r="G927" s="31">
        <v>3.9</v>
      </c>
      <c r="H927" s="31">
        <v>4.3920000000000003</v>
      </c>
      <c r="I927" s="31">
        <v>4.6829999999999998</v>
      </c>
      <c r="K927" s="27"/>
      <c r="L927" s="30"/>
      <c r="M927" s="30"/>
      <c r="N927" s="30"/>
      <c r="O927" s="30"/>
      <c r="P927" s="30"/>
      <c r="Q927" s="30"/>
      <c r="R927" s="30"/>
      <c r="S927" s="30"/>
    </row>
    <row r="928" spans="1:19" x14ac:dyDescent="0.25">
      <c r="A928" s="29">
        <v>45327</v>
      </c>
      <c r="B928" s="31">
        <v>1.5229999999999999</v>
      </c>
      <c r="C928" s="31">
        <v>1.607</v>
      </c>
      <c r="D928" s="31">
        <v>1.6919999999999999</v>
      </c>
      <c r="E928" s="31">
        <v>2.5630000000000002</v>
      </c>
      <c r="F928" s="31">
        <v>3.0329999999999999</v>
      </c>
      <c r="G928" s="31">
        <v>3.9</v>
      </c>
      <c r="H928" s="31">
        <v>4.3920000000000003</v>
      </c>
      <c r="I928" s="31">
        <v>4.6829999999999998</v>
      </c>
      <c r="K928" s="27"/>
      <c r="L928" s="30"/>
      <c r="M928" s="30"/>
      <c r="N928" s="30"/>
      <c r="O928" s="30"/>
      <c r="P928" s="30"/>
      <c r="Q928" s="30"/>
      <c r="R928" s="30"/>
      <c r="S928" s="30"/>
    </row>
    <row r="929" spans="1:19" x14ac:dyDescent="0.25">
      <c r="A929" s="29">
        <v>45328</v>
      </c>
      <c r="B929" s="31">
        <v>1.8420000000000001</v>
      </c>
      <c r="C929" s="31">
        <v>1.881</v>
      </c>
      <c r="D929" s="31">
        <v>1.921</v>
      </c>
      <c r="E929" s="31">
        <v>2.5710000000000002</v>
      </c>
      <c r="F929" s="31">
        <v>3.0329999999999999</v>
      </c>
      <c r="G929" s="31">
        <v>3.9</v>
      </c>
      <c r="H929" s="31">
        <v>4.3920000000000003</v>
      </c>
      <c r="I929" s="31">
        <v>4.6829999999999998</v>
      </c>
      <c r="K929" s="27"/>
      <c r="L929" s="30"/>
      <c r="M929" s="30"/>
      <c r="N929" s="30"/>
      <c r="O929" s="30"/>
      <c r="P929" s="30"/>
      <c r="Q929" s="30"/>
      <c r="R929" s="30"/>
      <c r="S929" s="30"/>
    </row>
    <row r="930" spans="1:19" x14ac:dyDescent="0.25">
      <c r="A930" s="29">
        <v>45329</v>
      </c>
      <c r="B930" s="31">
        <v>1.9850000000000001</v>
      </c>
      <c r="C930" s="31">
        <v>1.9670000000000001</v>
      </c>
      <c r="D930" s="31">
        <v>1.948</v>
      </c>
      <c r="E930" s="31">
        <v>2.5710000000000002</v>
      </c>
      <c r="F930" s="31">
        <v>3.0329999999999999</v>
      </c>
      <c r="G930" s="31">
        <v>3.9</v>
      </c>
      <c r="H930" s="31">
        <v>4.3920000000000003</v>
      </c>
      <c r="I930" s="31">
        <v>4.6829999999999998</v>
      </c>
      <c r="K930" s="27"/>
      <c r="L930" s="30"/>
      <c r="M930" s="30"/>
      <c r="N930" s="30"/>
      <c r="O930" s="30"/>
      <c r="P930" s="30"/>
      <c r="Q930" s="30"/>
      <c r="R930" s="30"/>
      <c r="S930" s="30"/>
    </row>
    <row r="931" spans="1:19" x14ac:dyDescent="0.25">
      <c r="A931" s="29">
        <v>45337</v>
      </c>
      <c r="B931" s="31">
        <v>1.446</v>
      </c>
      <c r="C931" s="31">
        <v>1.5169999999999999</v>
      </c>
      <c r="D931" s="31">
        <v>1.5880000000000001</v>
      </c>
      <c r="E931" s="31">
        <v>2.6040000000000001</v>
      </c>
      <c r="F931" s="31">
        <v>3.0329999999999999</v>
      </c>
      <c r="G931" s="31">
        <v>3.9</v>
      </c>
      <c r="H931" s="31">
        <v>4.3920000000000003</v>
      </c>
      <c r="I931" s="31">
        <v>4.6829999999999998</v>
      </c>
      <c r="K931" s="27"/>
      <c r="L931" s="30"/>
      <c r="M931" s="30"/>
      <c r="N931" s="30"/>
      <c r="O931" s="30"/>
      <c r="P931" s="30"/>
      <c r="Q931" s="30"/>
      <c r="R931" s="30"/>
      <c r="S931" s="30"/>
    </row>
    <row r="932" spans="1:19" x14ac:dyDescent="0.25">
      <c r="A932" s="29">
        <v>45338</v>
      </c>
      <c r="B932" s="31">
        <v>0.67100000000000004</v>
      </c>
      <c r="C932" s="31">
        <v>0.69399999999999995</v>
      </c>
      <c r="D932" s="31">
        <v>0.71699999999999997</v>
      </c>
      <c r="E932" s="31">
        <v>2.5790000000000002</v>
      </c>
      <c r="F932" s="31">
        <v>2.996</v>
      </c>
      <c r="G932" s="31">
        <v>3.85</v>
      </c>
      <c r="H932" s="31">
        <v>4.3250000000000002</v>
      </c>
      <c r="I932" s="31">
        <v>4.6459999999999999</v>
      </c>
      <c r="K932" s="27"/>
      <c r="L932" s="30"/>
      <c r="M932" s="30"/>
      <c r="N932" s="30"/>
      <c r="O932" s="30"/>
      <c r="P932" s="30"/>
      <c r="Q932" s="30"/>
      <c r="R932" s="30"/>
      <c r="S932" s="30"/>
    </row>
    <row r="933" spans="1:19" x14ac:dyDescent="0.25">
      <c r="A933" s="29">
        <v>45341</v>
      </c>
      <c r="B933" s="31">
        <v>0.871</v>
      </c>
      <c r="C933" s="31">
        <v>0.93799999999999994</v>
      </c>
      <c r="D933" s="31">
        <v>1.004</v>
      </c>
      <c r="E933" s="31">
        <v>2.5209999999999999</v>
      </c>
      <c r="F933" s="31">
        <v>2.996</v>
      </c>
      <c r="G933" s="31">
        <v>3.85</v>
      </c>
      <c r="H933" s="31">
        <v>4.3250000000000002</v>
      </c>
      <c r="I933" s="31">
        <v>4.6459999999999999</v>
      </c>
      <c r="K933" s="27"/>
      <c r="L933" s="30"/>
      <c r="M933" s="30"/>
      <c r="N933" s="30"/>
      <c r="O933" s="30"/>
      <c r="P933" s="30"/>
      <c r="Q933" s="30"/>
      <c r="R933" s="30"/>
      <c r="S933" s="30"/>
    </row>
    <row r="934" spans="1:19" x14ac:dyDescent="0.25">
      <c r="A934" s="29">
        <v>45342</v>
      </c>
      <c r="B934" s="31">
        <v>1.0960000000000001</v>
      </c>
      <c r="C934" s="31">
        <v>1.119</v>
      </c>
      <c r="D934" s="31">
        <v>1.1419999999999999</v>
      </c>
      <c r="E934" s="31">
        <v>2.5209999999999999</v>
      </c>
      <c r="F934" s="31">
        <v>2.996</v>
      </c>
      <c r="G934" s="31">
        <v>3.85</v>
      </c>
      <c r="H934" s="31">
        <v>4.3250000000000002</v>
      </c>
      <c r="I934" s="31">
        <v>4.6459999999999999</v>
      </c>
      <c r="K934" s="27"/>
      <c r="L934" s="30"/>
      <c r="M934" s="30"/>
      <c r="N934" s="30"/>
      <c r="O934" s="30"/>
      <c r="P934" s="30"/>
      <c r="Q934" s="30"/>
      <c r="R934" s="30"/>
      <c r="S934" s="30"/>
    </row>
    <row r="935" spans="1:19" x14ac:dyDescent="0.25">
      <c r="A935" s="29">
        <v>45343</v>
      </c>
      <c r="B935" s="31">
        <v>2.4</v>
      </c>
      <c r="C935" s="31">
        <v>2.4329999999999998</v>
      </c>
      <c r="D935" s="31">
        <v>2.4670000000000001</v>
      </c>
      <c r="E935" s="31">
        <v>2.6829999999999998</v>
      </c>
      <c r="F935" s="31">
        <v>3.0539999999999998</v>
      </c>
      <c r="G935" s="31">
        <v>3.8079999999999998</v>
      </c>
      <c r="H935" s="31">
        <v>4.258</v>
      </c>
      <c r="I935" s="31">
        <v>4.5629999999999997</v>
      </c>
      <c r="K935" s="27"/>
      <c r="L935" s="30"/>
      <c r="M935" s="30"/>
      <c r="N935" s="30"/>
      <c r="O935" s="30"/>
      <c r="P935" s="30"/>
      <c r="Q935" s="30"/>
      <c r="R935" s="30"/>
      <c r="S935" s="30"/>
    </row>
    <row r="936" spans="1:19" x14ac:dyDescent="0.25">
      <c r="A936" s="29">
        <v>45344</v>
      </c>
      <c r="B936" s="31">
        <v>1.8580000000000001</v>
      </c>
      <c r="C936" s="31">
        <v>1.871</v>
      </c>
      <c r="D936" s="31">
        <v>1.883</v>
      </c>
      <c r="E936" s="31">
        <v>2.6080000000000001</v>
      </c>
      <c r="F936" s="31">
        <v>3.0379999999999998</v>
      </c>
      <c r="G936" s="31">
        <v>3.8079999999999998</v>
      </c>
      <c r="H936" s="31">
        <v>4.258</v>
      </c>
      <c r="I936" s="31">
        <v>4.5629999999999997</v>
      </c>
      <c r="K936" s="27"/>
      <c r="L936" s="30"/>
      <c r="M936" s="30"/>
      <c r="N936" s="30"/>
      <c r="O936" s="30"/>
      <c r="P936" s="30"/>
      <c r="Q936" s="30"/>
      <c r="R936" s="30"/>
      <c r="S936" s="30"/>
    </row>
    <row r="937" spans="1:19" x14ac:dyDescent="0.25">
      <c r="A937" s="29">
        <v>45345</v>
      </c>
      <c r="B937" s="31">
        <v>1.7130000000000001</v>
      </c>
      <c r="C937" s="31">
        <v>1.7350000000000001</v>
      </c>
      <c r="D937" s="31">
        <v>1.758</v>
      </c>
      <c r="E937" s="31">
        <v>2.6</v>
      </c>
      <c r="F937" s="31">
        <v>3.008</v>
      </c>
      <c r="G937" s="31">
        <v>3.7959999999999998</v>
      </c>
      <c r="H937" s="31">
        <v>4.2380000000000004</v>
      </c>
      <c r="I937" s="31">
        <v>4.5380000000000003</v>
      </c>
      <c r="K937" s="27"/>
      <c r="L937" s="30"/>
      <c r="M937" s="30"/>
      <c r="N937" s="30"/>
      <c r="O937" s="30"/>
      <c r="P937" s="30"/>
      <c r="Q937" s="30"/>
      <c r="R937" s="30"/>
      <c r="S937" s="30"/>
    </row>
    <row r="938" spans="1:19" x14ac:dyDescent="0.25">
      <c r="A938" s="29">
        <v>45348</v>
      </c>
      <c r="B938" s="31">
        <v>1.921</v>
      </c>
      <c r="C938" s="31">
        <v>1.923</v>
      </c>
      <c r="D938" s="31">
        <v>1.925</v>
      </c>
      <c r="E938" s="31">
        <v>2.6</v>
      </c>
      <c r="F938" s="31">
        <v>3.008</v>
      </c>
      <c r="G938" s="31">
        <v>3.7959999999999998</v>
      </c>
      <c r="H938" s="31">
        <v>4.25</v>
      </c>
      <c r="I938" s="31">
        <v>4.5380000000000003</v>
      </c>
      <c r="K938" s="27"/>
      <c r="L938" s="30"/>
      <c r="M938" s="30"/>
      <c r="N938" s="30"/>
      <c r="O938" s="30"/>
      <c r="P938" s="30"/>
      <c r="Q938" s="30"/>
      <c r="R938" s="30"/>
      <c r="S938" s="30"/>
    </row>
    <row r="939" spans="1:19" x14ac:dyDescent="0.25">
      <c r="A939" s="29">
        <v>45349</v>
      </c>
      <c r="B939" s="31">
        <v>1.8</v>
      </c>
      <c r="C939" s="31">
        <v>1.8</v>
      </c>
      <c r="D939" s="31">
        <v>1.8</v>
      </c>
      <c r="E939" s="31">
        <v>2.6080000000000001</v>
      </c>
      <c r="F939" s="31">
        <v>3.008</v>
      </c>
      <c r="G939" s="31">
        <v>3.7959999999999998</v>
      </c>
      <c r="H939" s="31">
        <v>4.25</v>
      </c>
      <c r="I939" s="31">
        <v>4.5380000000000003</v>
      </c>
      <c r="K939" s="27"/>
      <c r="L939" s="30"/>
      <c r="M939" s="30"/>
      <c r="N939" s="30"/>
      <c r="O939" s="30"/>
      <c r="P939" s="30"/>
      <c r="Q939" s="30"/>
      <c r="R939" s="30"/>
      <c r="S939" s="30"/>
    </row>
    <row r="940" spans="1:19" x14ac:dyDescent="0.25">
      <c r="A940" s="29">
        <v>45350</v>
      </c>
      <c r="B940" s="31">
        <v>1.5629999999999999</v>
      </c>
      <c r="C940" s="31">
        <v>1.6060000000000001</v>
      </c>
      <c r="D940" s="31">
        <v>1.65</v>
      </c>
      <c r="E940" s="31">
        <v>2.5750000000000002</v>
      </c>
      <c r="F940" s="31">
        <v>2.9750000000000001</v>
      </c>
      <c r="G940" s="31">
        <v>3.7959999999999998</v>
      </c>
      <c r="H940" s="31">
        <v>4.25</v>
      </c>
      <c r="I940" s="31">
        <v>4.5380000000000003</v>
      </c>
      <c r="K940" s="27"/>
      <c r="L940" s="30"/>
      <c r="M940" s="30"/>
      <c r="N940" s="30"/>
      <c r="O940" s="30"/>
      <c r="P940" s="30"/>
      <c r="Q940" s="30"/>
      <c r="R940" s="30"/>
      <c r="S940" s="30"/>
    </row>
    <row r="941" spans="1:19" x14ac:dyDescent="0.25">
      <c r="A941" s="29">
        <v>45351</v>
      </c>
      <c r="B941" s="31">
        <v>1.379</v>
      </c>
      <c r="C941" s="31">
        <v>1.4059999999999999</v>
      </c>
      <c r="D941" s="31">
        <v>1.4330000000000001</v>
      </c>
      <c r="E941" s="31">
        <v>2.5419999999999998</v>
      </c>
      <c r="F941" s="31">
        <v>2.9209999999999998</v>
      </c>
      <c r="G941" s="31">
        <v>3.7959999999999998</v>
      </c>
      <c r="H941" s="31">
        <v>4.2380000000000004</v>
      </c>
      <c r="I941" s="31">
        <v>4.5380000000000003</v>
      </c>
      <c r="K941" s="27"/>
      <c r="L941" s="30"/>
      <c r="M941" s="30"/>
      <c r="N941" s="30"/>
      <c r="O941" s="30"/>
      <c r="P941" s="30"/>
      <c r="Q941" s="30"/>
      <c r="R941" s="30"/>
      <c r="S941" s="30"/>
    </row>
    <row r="942" spans="1:19" x14ac:dyDescent="0.25">
      <c r="A942" s="29">
        <v>45352</v>
      </c>
      <c r="B942" s="31">
        <v>1.254</v>
      </c>
      <c r="C942" s="31">
        <v>1.2829999999999999</v>
      </c>
      <c r="D942" s="31">
        <v>1.3129999999999999</v>
      </c>
      <c r="E942" s="31">
        <v>2.5419999999999998</v>
      </c>
      <c r="F942" s="31">
        <v>2.9209999999999998</v>
      </c>
      <c r="G942" s="31">
        <v>3.7959999999999998</v>
      </c>
      <c r="H942" s="31">
        <v>4.2380000000000004</v>
      </c>
      <c r="I942" s="31">
        <v>4.5380000000000003</v>
      </c>
      <c r="K942" s="27"/>
      <c r="L942" s="30"/>
      <c r="M942" s="30"/>
      <c r="N942" s="30"/>
      <c r="O942" s="30"/>
      <c r="P942" s="30"/>
      <c r="Q942" s="30"/>
      <c r="R942" s="30"/>
      <c r="S942" s="30"/>
    </row>
    <row r="943" spans="1:19" x14ac:dyDescent="0.25">
      <c r="A943" s="29">
        <v>45355</v>
      </c>
      <c r="B943" s="31">
        <v>1.1879999999999999</v>
      </c>
      <c r="C943" s="31">
        <v>1.204</v>
      </c>
      <c r="D943" s="31">
        <v>1.2210000000000001</v>
      </c>
      <c r="E943" s="31">
        <v>2.5419999999999998</v>
      </c>
      <c r="F943" s="31">
        <v>2.9209999999999998</v>
      </c>
      <c r="G943" s="31">
        <v>3.7959999999999998</v>
      </c>
      <c r="H943" s="31">
        <v>4.2380000000000004</v>
      </c>
      <c r="I943" s="31">
        <v>4.5380000000000003</v>
      </c>
      <c r="K943" s="27"/>
      <c r="L943" s="30"/>
      <c r="M943" s="30"/>
      <c r="N943" s="30"/>
      <c r="O943" s="30"/>
      <c r="P943" s="30"/>
      <c r="Q943" s="30"/>
      <c r="R943" s="30"/>
      <c r="S943" s="30"/>
    </row>
    <row r="944" spans="1:19" x14ac:dyDescent="0.25">
      <c r="A944" s="29">
        <v>45356</v>
      </c>
      <c r="B944" s="31">
        <v>1.133</v>
      </c>
      <c r="C944" s="31">
        <v>1.175</v>
      </c>
      <c r="D944" s="31">
        <v>1.2170000000000001</v>
      </c>
      <c r="E944" s="31">
        <v>2.5249999999999999</v>
      </c>
      <c r="F944" s="31">
        <v>2.9129999999999998</v>
      </c>
      <c r="G944" s="31">
        <v>3.7959999999999998</v>
      </c>
      <c r="H944" s="31">
        <v>4.2380000000000004</v>
      </c>
      <c r="I944" s="31">
        <v>4.5380000000000003</v>
      </c>
      <c r="K944" s="27"/>
      <c r="L944" s="30"/>
      <c r="M944" s="30"/>
      <c r="N944" s="30"/>
      <c r="O944" s="30"/>
      <c r="P944" s="30"/>
      <c r="Q944" s="30"/>
      <c r="R944" s="30"/>
      <c r="S944" s="30"/>
    </row>
    <row r="945" spans="1:19" x14ac:dyDescent="0.25">
      <c r="A945" s="29">
        <v>45357</v>
      </c>
      <c r="B945" s="31">
        <v>1.167</v>
      </c>
      <c r="C945" s="31">
        <v>1.206</v>
      </c>
      <c r="D945" s="31">
        <v>1.246</v>
      </c>
      <c r="E945" s="31">
        <v>2.5249999999999999</v>
      </c>
      <c r="F945" s="31">
        <v>2.9129999999999998</v>
      </c>
      <c r="G945" s="31">
        <v>3.7959999999999998</v>
      </c>
      <c r="H945" s="31">
        <v>4.2380000000000004</v>
      </c>
      <c r="I945" s="31">
        <v>4.5380000000000003</v>
      </c>
      <c r="K945" s="27"/>
      <c r="L945" s="30"/>
      <c r="M945" s="30"/>
      <c r="N945" s="30"/>
      <c r="O945" s="30"/>
      <c r="P945" s="30"/>
      <c r="Q945" s="30"/>
      <c r="R945" s="30"/>
      <c r="S945" s="30"/>
    </row>
    <row r="946" spans="1:19" x14ac:dyDescent="0.25">
      <c r="A946" s="29">
        <v>45358</v>
      </c>
      <c r="B946" s="31">
        <v>0.79200000000000004</v>
      </c>
      <c r="C946" s="31">
        <v>0.84</v>
      </c>
      <c r="D946" s="31">
        <v>0.88800000000000001</v>
      </c>
      <c r="E946" s="31">
        <v>2.5249999999999999</v>
      </c>
      <c r="F946" s="31">
        <v>2.9129999999999998</v>
      </c>
      <c r="G946" s="31">
        <v>3.7959999999999998</v>
      </c>
      <c r="H946" s="31">
        <v>4.2380000000000004</v>
      </c>
      <c r="I946" s="31">
        <v>4.5380000000000003</v>
      </c>
      <c r="K946" s="27"/>
      <c r="L946" s="30"/>
      <c r="M946" s="30"/>
      <c r="N946" s="30"/>
      <c r="O946" s="30"/>
      <c r="P946" s="30"/>
      <c r="Q946" s="30"/>
      <c r="R946" s="30"/>
      <c r="S946" s="30"/>
    </row>
    <row r="947" spans="1:19" x14ac:dyDescent="0.25">
      <c r="A947" s="29">
        <v>45359</v>
      </c>
      <c r="B947" s="31">
        <v>0.57299999999999995</v>
      </c>
      <c r="C947" s="31">
        <v>0.623</v>
      </c>
      <c r="D947" s="31">
        <v>0.67300000000000004</v>
      </c>
      <c r="E947" s="31">
        <v>2.5249999999999999</v>
      </c>
      <c r="F947" s="31">
        <v>2.9129999999999998</v>
      </c>
      <c r="G947" s="31">
        <v>3.7959999999999998</v>
      </c>
      <c r="H947" s="31">
        <v>4.2380000000000004</v>
      </c>
      <c r="I947" s="31">
        <v>4.5380000000000003</v>
      </c>
      <c r="K947" s="27"/>
      <c r="L947" s="30"/>
      <c r="M947" s="30"/>
      <c r="N947" s="30"/>
      <c r="O947" s="30"/>
      <c r="P947" s="30"/>
      <c r="Q947" s="30"/>
      <c r="R947" s="30"/>
      <c r="S947" s="30"/>
    </row>
    <row r="948" spans="1:19" x14ac:dyDescent="0.25">
      <c r="A948" s="29">
        <v>45362</v>
      </c>
      <c r="B948" s="31">
        <v>0.83799999999999997</v>
      </c>
      <c r="C948" s="31">
        <v>0.92100000000000004</v>
      </c>
      <c r="D948" s="31">
        <v>1.004</v>
      </c>
      <c r="E948" s="31">
        <v>2.5249999999999999</v>
      </c>
      <c r="F948" s="31">
        <v>2.9129999999999998</v>
      </c>
      <c r="G948" s="31">
        <v>3.7959999999999998</v>
      </c>
      <c r="H948" s="31">
        <v>4.2380000000000004</v>
      </c>
      <c r="I948" s="31">
        <v>4.5380000000000003</v>
      </c>
      <c r="K948" s="27"/>
      <c r="L948" s="30"/>
      <c r="M948" s="30"/>
      <c r="N948" s="30"/>
      <c r="O948" s="30"/>
      <c r="P948" s="30"/>
      <c r="Q948" s="30"/>
      <c r="R948" s="30"/>
      <c r="S948" s="30"/>
    </row>
    <row r="949" spans="1:19" x14ac:dyDescent="0.25">
      <c r="A949" s="29">
        <v>45363</v>
      </c>
      <c r="B949" s="31">
        <v>1.383</v>
      </c>
      <c r="C949" s="31">
        <v>1.4690000000000001</v>
      </c>
      <c r="D949" s="31">
        <v>1.554</v>
      </c>
      <c r="E949" s="31">
        <v>2.5</v>
      </c>
      <c r="F949" s="31">
        <v>2.8460000000000001</v>
      </c>
      <c r="G949" s="31">
        <v>3.754</v>
      </c>
      <c r="H949" s="31">
        <v>4.2380000000000004</v>
      </c>
      <c r="I949" s="31">
        <v>4.5380000000000003</v>
      </c>
      <c r="K949" s="27"/>
      <c r="L949" s="30"/>
      <c r="M949" s="30"/>
      <c r="N949" s="30"/>
      <c r="O949" s="30"/>
      <c r="P949" s="30"/>
      <c r="Q949" s="30"/>
      <c r="R949" s="30"/>
      <c r="S949" s="30"/>
    </row>
    <row r="950" spans="1:19" x14ac:dyDescent="0.25">
      <c r="A950" s="29">
        <v>45364</v>
      </c>
      <c r="B950" s="31">
        <v>1.306</v>
      </c>
      <c r="C950" s="31">
        <v>1.3680000000000001</v>
      </c>
      <c r="D950" s="31">
        <v>1.429</v>
      </c>
      <c r="E950" s="31">
        <v>2.5</v>
      </c>
      <c r="F950" s="31">
        <v>2.8460000000000001</v>
      </c>
      <c r="G950" s="31">
        <v>3.754</v>
      </c>
      <c r="H950" s="31">
        <v>4.2380000000000004</v>
      </c>
      <c r="I950" s="31">
        <v>4.5380000000000003</v>
      </c>
      <c r="K950" s="27"/>
      <c r="L950" s="30"/>
      <c r="M950" s="30"/>
      <c r="N950" s="30"/>
      <c r="O950" s="30"/>
      <c r="P950" s="30"/>
      <c r="Q950" s="30"/>
      <c r="R950" s="30"/>
      <c r="S950" s="30"/>
    </row>
    <row r="951" spans="1:19" x14ac:dyDescent="0.25">
      <c r="A951" s="29">
        <v>45365</v>
      </c>
      <c r="B951" s="31">
        <v>1.2</v>
      </c>
      <c r="C951" s="31">
        <v>1.254</v>
      </c>
      <c r="D951" s="31">
        <v>1.3080000000000001</v>
      </c>
      <c r="E951" s="31">
        <v>2.5</v>
      </c>
      <c r="F951" s="31">
        <v>2.8460000000000001</v>
      </c>
      <c r="G951" s="31">
        <v>3.754</v>
      </c>
      <c r="H951" s="31">
        <v>4.2380000000000004</v>
      </c>
      <c r="I951" s="31">
        <v>4.5380000000000003</v>
      </c>
      <c r="K951" s="27"/>
      <c r="L951" s="30"/>
      <c r="M951" s="30"/>
      <c r="N951" s="30"/>
      <c r="O951" s="30"/>
      <c r="P951" s="30"/>
      <c r="Q951" s="30"/>
      <c r="R951" s="30"/>
      <c r="S951" s="30"/>
    </row>
    <row r="952" spans="1:19" x14ac:dyDescent="0.25">
      <c r="A952" s="29">
        <v>45366</v>
      </c>
      <c r="B952" s="31">
        <v>1.0880000000000001</v>
      </c>
      <c r="C952" s="31">
        <v>1.1479999999999999</v>
      </c>
      <c r="D952" s="31">
        <v>1.208</v>
      </c>
      <c r="E952" s="31">
        <v>2.4830000000000001</v>
      </c>
      <c r="F952" s="31">
        <v>2.8380000000000001</v>
      </c>
      <c r="G952" s="31">
        <v>3.6880000000000002</v>
      </c>
      <c r="H952" s="31">
        <v>4.1040000000000001</v>
      </c>
      <c r="I952" s="31">
        <v>4.4130000000000003</v>
      </c>
      <c r="K952" s="27"/>
      <c r="L952" s="30"/>
      <c r="M952" s="30"/>
      <c r="N952" s="30"/>
      <c r="O952" s="30"/>
      <c r="P952" s="30"/>
      <c r="Q952" s="30"/>
      <c r="R952" s="30"/>
      <c r="S952" s="30"/>
    </row>
    <row r="953" spans="1:19" x14ac:dyDescent="0.25">
      <c r="A953" s="29">
        <v>45369</v>
      </c>
      <c r="B953" s="31">
        <v>0.96699999999999997</v>
      </c>
      <c r="C953" s="31">
        <v>1.0629999999999999</v>
      </c>
      <c r="D953" s="31">
        <v>1.1579999999999999</v>
      </c>
      <c r="E953" s="31">
        <v>2.5</v>
      </c>
      <c r="F953" s="31">
        <v>2.8460000000000001</v>
      </c>
      <c r="G953" s="31">
        <v>3.754</v>
      </c>
      <c r="H953" s="31">
        <v>4.2380000000000004</v>
      </c>
      <c r="I953" s="31">
        <v>4.5380000000000003</v>
      </c>
      <c r="K953" s="27"/>
      <c r="L953" s="30"/>
      <c r="M953" s="30"/>
      <c r="N953" s="30"/>
      <c r="O953" s="30"/>
      <c r="P953" s="30"/>
      <c r="Q953" s="30"/>
      <c r="R953" s="30"/>
      <c r="S953" s="30"/>
    </row>
    <row r="954" spans="1:19" x14ac:dyDescent="0.25">
      <c r="A954" s="29">
        <v>45370</v>
      </c>
      <c r="B954" s="31">
        <v>1.171</v>
      </c>
      <c r="C954" s="31">
        <v>1.2110000000000001</v>
      </c>
      <c r="D954" s="31">
        <v>1.252</v>
      </c>
      <c r="E954" s="31">
        <v>2.5</v>
      </c>
      <c r="F954" s="31">
        <v>2.8460000000000001</v>
      </c>
      <c r="G954" s="31">
        <v>3.754</v>
      </c>
      <c r="H954" s="31">
        <v>4.2380000000000004</v>
      </c>
      <c r="I954" s="31">
        <v>4.5380000000000003</v>
      </c>
      <c r="K954" s="27"/>
      <c r="L954" s="30"/>
      <c r="M954" s="30"/>
      <c r="N954" s="30"/>
      <c r="O954" s="30"/>
      <c r="P954" s="30"/>
      <c r="Q954" s="30"/>
      <c r="R954" s="30"/>
      <c r="S954" s="30"/>
    </row>
    <row r="955" spans="1:19" x14ac:dyDescent="0.25">
      <c r="A955" s="29">
        <v>45371</v>
      </c>
      <c r="B955" s="31">
        <v>1.1000000000000001</v>
      </c>
      <c r="C955" s="31">
        <v>1.1599999999999999</v>
      </c>
      <c r="D955" s="31">
        <v>1.2210000000000001</v>
      </c>
      <c r="E955" s="31">
        <v>2.5</v>
      </c>
      <c r="F955" s="31">
        <v>2.8460000000000001</v>
      </c>
      <c r="G955" s="31">
        <v>3.754</v>
      </c>
      <c r="H955" s="31">
        <v>4.2380000000000004</v>
      </c>
      <c r="I955" s="31">
        <v>4.5380000000000003</v>
      </c>
      <c r="K955" s="27"/>
      <c r="L955" s="30"/>
      <c r="M955" s="30"/>
      <c r="N955" s="30"/>
      <c r="O955" s="30"/>
      <c r="P955" s="30"/>
      <c r="Q955" s="30"/>
      <c r="R955" s="30"/>
      <c r="S955" s="30"/>
    </row>
    <row r="956" spans="1:19" x14ac:dyDescent="0.25">
      <c r="A956" s="29">
        <v>45372</v>
      </c>
      <c r="B956" s="31">
        <v>1.0940000000000001</v>
      </c>
      <c r="C956" s="31">
        <v>1.175</v>
      </c>
      <c r="D956" s="31">
        <v>1.256</v>
      </c>
      <c r="E956" s="31">
        <v>2.5</v>
      </c>
      <c r="F956" s="31">
        <v>2.8330000000000002</v>
      </c>
      <c r="G956" s="31">
        <v>3.7330000000000001</v>
      </c>
      <c r="H956" s="31">
        <v>4.2</v>
      </c>
      <c r="I956" s="31">
        <v>4.492</v>
      </c>
      <c r="K956" s="27"/>
      <c r="L956" s="30"/>
      <c r="M956" s="30"/>
      <c r="N956" s="30"/>
      <c r="O956" s="30"/>
      <c r="P956" s="30"/>
      <c r="Q956" s="30"/>
      <c r="R956" s="30"/>
      <c r="S956" s="30"/>
    </row>
    <row r="957" spans="1:19" x14ac:dyDescent="0.25">
      <c r="A957" s="29">
        <v>45373</v>
      </c>
      <c r="B957" s="31">
        <v>1.113</v>
      </c>
      <c r="C957" s="31">
        <v>1.1859999999999999</v>
      </c>
      <c r="D957" s="31">
        <v>1.26</v>
      </c>
      <c r="E957" s="31">
        <v>2.5</v>
      </c>
      <c r="F957" s="31">
        <v>2.8330000000000002</v>
      </c>
      <c r="G957" s="31">
        <v>3.6749999999999998</v>
      </c>
      <c r="H957" s="31">
        <v>4.0750000000000002</v>
      </c>
      <c r="I957" s="31">
        <v>4.367</v>
      </c>
      <c r="K957" s="27"/>
      <c r="L957" s="30"/>
      <c r="M957" s="30"/>
      <c r="N957" s="30"/>
      <c r="O957" s="30"/>
      <c r="P957" s="30"/>
      <c r="Q957" s="30"/>
      <c r="R957" s="30"/>
      <c r="S957" s="30"/>
    </row>
    <row r="958" spans="1:19" x14ac:dyDescent="0.25">
      <c r="A958" s="29">
        <v>45376</v>
      </c>
      <c r="B958" s="31">
        <v>1.55</v>
      </c>
      <c r="C958" s="31">
        <v>1.5960000000000001</v>
      </c>
      <c r="D958" s="31">
        <v>1.6419999999999999</v>
      </c>
      <c r="E958" s="31">
        <v>2.5209999999999999</v>
      </c>
      <c r="F958" s="31">
        <v>2.8460000000000001</v>
      </c>
      <c r="G958" s="31">
        <v>3.7330000000000001</v>
      </c>
      <c r="H958" s="31">
        <v>4.2</v>
      </c>
      <c r="I958" s="31">
        <v>4.492</v>
      </c>
      <c r="K958" s="27"/>
      <c r="L958" s="30"/>
      <c r="M958" s="30"/>
      <c r="N958" s="30"/>
      <c r="O958" s="30"/>
      <c r="P958" s="30"/>
      <c r="Q958" s="30"/>
      <c r="R958" s="30"/>
      <c r="S958" s="30"/>
    </row>
    <row r="959" spans="1:19" x14ac:dyDescent="0.25">
      <c r="A959" s="29">
        <v>45377</v>
      </c>
      <c r="B959" s="31">
        <v>1.746</v>
      </c>
      <c r="C959" s="31">
        <v>1.754</v>
      </c>
      <c r="D959" s="31">
        <v>1.7629999999999999</v>
      </c>
      <c r="E959" s="31">
        <v>2.5209999999999999</v>
      </c>
      <c r="F959" s="31">
        <v>2.8460000000000001</v>
      </c>
      <c r="G959" s="31">
        <v>3.7330000000000001</v>
      </c>
      <c r="H959" s="31">
        <v>4.2</v>
      </c>
      <c r="I959" s="31">
        <v>4.492</v>
      </c>
      <c r="K959" s="27"/>
      <c r="L959" s="30"/>
      <c r="M959" s="30"/>
      <c r="N959" s="30"/>
      <c r="O959" s="30"/>
      <c r="P959" s="30"/>
      <c r="Q959" s="30"/>
      <c r="R959" s="30"/>
      <c r="S959" s="30"/>
    </row>
    <row r="960" spans="1:19" x14ac:dyDescent="0.25">
      <c r="A960" s="29">
        <v>45378</v>
      </c>
      <c r="B960" s="31">
        <v>1.95</v>
      </c>
      <c r="C960" s="31">
        <v>1.9810000000000001</v>
      </c>
      <c r="D960" s="31">
        <v>2.0129999999999999</v>
      </c>
      <c r="E960" s="31">
        <v>2.5670000000000002</v>
      </c>
      <c r="F960" s="31">
        <v>2.8919999999999999</v>
      </c>
      <c r="G960" s="31">
        <v>3.7290000000000001</v>
      </c>
      <c r="H960" s="31">
        <v>4.2130000000000001</v>
      </c>
      <c r="I960" s="31">
        <v>4.5129999999999999</v>
      </c>
      <c r="K960" s="27"/>
      <c r="L960" s="30"/>
      <c r="M960" s="30"/>
      <c r="N960" s="30"/>
      <c r="O960" s="30"/>
      <c r="P960" s="30"/>
      <c r="Q960" s="30"/>
      <c r="R960" s="30"/>
      <c r="S960" s="30"/>
    </row>
    <row r="961" spans="1:19" x14ac:dyDescent="0.25">
      <c r="A961" s="29">
        <v>45379</v>
      </c>
      <c r="B961" s="31">
        <v>2.238</v>
      </c>
      <c r="C961" s="31">
        <v>2.2599999999999998</v>
      </c>
      <c r="D961" s="31">
        <v>2.2829999999999999</v>
      </c>
      <c r="E961" s="31">
        <v>2.617</v>
      </c>
      <c r="F961" s="31">
        <v>2.9</v>
      </c>
      <c r="G961" s="31">
        <v>3.754</v>
      </c>
      <c r="H961" s="31">
        <v>4.2380000000000004</v>
      </c>
      <c r="I961" s="31">
        <v>4.5129999999999999</v>
      </c>
      <c r="K961" s="27"/>
      <c r="L961" s="30"/>
      <c r="M961" s="30"/>
      <c r="N961" s="30"/>
      <c r="O961" s="30"/>
      <c r="P961" s="30"/>
      <c r="Q961" s="30"/>
      <c r="R961" s="30"/>
      <c r="S961" s="30"/>
    </row>
    <row r="962" spans="1:19" x14ac:dyDescent="0.25">
      <c r="A962" s="29">
        <v>45380</v>
      </c>
      <c r="B962" s="31">
        <v>2.9289999999999998</v>
      </c>
      <c r="C962" s="31">
        <v>2.9289999999999998</v>
      </c>
      <c r="D962" s="31">
        <v>2.9289999999999998</v>
      </c>
      <c r="E962" s="31">
        <v>2.8130000000000002</v>
      </c>
      <c r="F962" s="31">
        <v>3.0379999999999998</v>
      </c>
      <c r="G962" s="31">
        <v>3.7709999999999999</v>
      </c>
      <c r="H962" s="31">
        <v>4.2460000000000004</v>
      </c>
      <c r="I962" s="31">
        <v>4.5129999999999999</v>
      </c>
      <c r="K962" s="27"/>
      <c r="L962" s="30"/>
      <c r="M962" s="30"/>
      <c r="N962" s="30"/>
      <c r="O962" s="30"/>
      <c r="P962" s="30"/>
      <c r="Q962" s="30"/>
      <c r="R962" s="30"/>
      <c r="S962" s="30"/>
    </row>
    <row r="963" spans="1:19" x14ac:dyDescent="0.25">
      <c r="A963" s="29">
        <v>45383</v>
      </c>
      <c r="B963" s="31">
        <v>3.01</v>
      </c>
      <c r="C963" s="31">
        <v>3.0270000000000001</v>
      </c>
      <c r="D963" s="31">
        <v>3.044</v>
      </c>
      <c r="E963" s="31">
        <v>3.1</v>
      </c>
      <c r="F963" s="31">
        <v>3.246</v>
      </c>
      <c r="G963" s="31">
        <v>3.8380000000000001</v>
      </c>
      <c r="H963" s="31">
        <v>4.2629999999999999</v>
      </c>
      <c r="I963" s="31">
        <v>4.5129999999999999</v>
      </c>
      <c r="K963" s="27"/>
      <c r="L963" s="30"/>
      <c r="M963" s="30"/>
      <c r="N963" s="30"/>
      <c r="O963" s="30"/>
      <c r="P963" s="30"/>
      <c r="Q963" s="30"/>
      <c r="R963" s="30"/>
      <c r="S963" s="30"/>
    </row>
    <row r="964" spans="1:19" x14ac:dyDescent="0.25">
      <c r="A964" s="29">
        <v>45384</v>
      </c>
      <c r="B964" s="31">
        <v>3.6829999999999998</v>
      </c>
      <c r="C964" s="31">
        <v>3.706</v>
      </c>
      <c r="D964" s="31">
        <v>3.7290000000000001</v>
      </c>
      <c r="E964" s="31">
        <v>3.25</v>
      </c>
      <c r="F964" s="31">
        <v>3.3540000000000001</v>
      </c>
      <c r="G964" s="31">
        <v>3.8879999999999999</v>
      </c>
      <c r="H964" s="31">
        <v>4.2709999999999999</v>
      </c>
      <c r="I964" s="31">
        <v>4.5209999999999999</v>
      </c>
      <c r="K964" s="27"/>
      <c r="L964" s="30"/>
      <c r="M964" s="30"/>
      <c r="N964" s="30"/>
      <c r="O964" s="30"/>
      <c r="P964" s="30"/>
      <c r="Q964" s="30"/>
      <c r="R964" s="30"/>
      <c r="S964" s="30"/>
    </row>
    <row r="965" spans="1:19" x14ac:dyDescent="0.25">
      <c r="A965" s="29">
        <v>45385</v>
      </c>
      <c r="B965" s="31">
        <v>3.6920000000000002</v>
      </c>
      <c r="C965" s="31">
        <v>3.7290000000000001</v>
      </c>
      <c r="D965" s="31">
        <v>3.7669999999999999</v>
      </c>
      <c r="E965" s="31">
        <v>3.4329999999999998</v>
      </c>
      <c r="F965" s="31">
        <v>3.5289999999999999</v>
      </c>
      <c r="G965" s="31">
        <v>3.9710000000000001</v>
      </c>
      <c r="H965" s="31">
        <v>4.3789999999999996</v>
      </c>
      <c r="I965" s="31">
        <v>4.6079999999999997</v>
      </c>
      <c r="K965" s="27"/>
      <c r="L965" s="30"/>
      <c r="M965" s="30"/>
      <c r="N965" s="30"/>
      <c r="O965" s="30"/>
      <c r="P965" s="30"/>
      <c r="Q965" s="30"/>
      <c r="R965" s="30"/>
      <c r="S965" s="30"/>
    </row>
    <row r="966" spans="1:19" x14ac:dyDescent="0.25">
      <c r="A966" s="29">
        <v>45386</v>
      </c>
      <c r="B966" s="31">
        <v>3.4079999999999999</v>
      </c>
      <c r="C966" s="31">
        <v>3.3980000000000001</v>
      </c>
      <c r="D966" s="31">
        <v>3.3879999999999999</v>
      </c>
      <c r="E966" s="31">
        <v>3.5579999999999998</v>
      </c>
      <c r="F966" s="31">
        <v>3.6579999999999999</v>
      </c>
      <c r="G966" s="31">
        <v>4.0419999999999998</v>
      </c>
      <c r="H966" s="31">
        <v>4.4169999999999998</v>
      </c>
      <c r="I966" s="31">
        <v>4.6289999999999996</v>
      </c>
      <c r="K966" s="27"/>
      <c r="L966" s="30"/>
      <c r="M966" s="30"/>
      <c r="N966" s="30"/>
      <c r="O966" s="30"/>
      <c r="P966" s="30"/>
      <c r="Q966" s="30"/>
      <c r="R966" s="30"/>
      <c r="S966" s="30"/>
    </row>
    <row r="967" spans="1:19" x14ac:dyDescent="0.25">
      <c r="A967" s="29">
        <v>45387</v>
      </c>
      <c r="B967" s="31">
        <v>2.6960000000000002</v>
      </c>
      <c r="C967" s="31">
        <v>2.7189999999999999</v>
      </c>
      <c r="D967" s="31">
        <v>2.742</v>
      </c>
      <c r="E967" s="31">
        <v>3.4580000000000002</v>
      </c>
      <c r="F967" s="31">
        <v>3.633</v>
      </c>
      <c r="G967" s="31">
        <v>4.0419999999999998</v>
      </c>
      <c r="H967" s="31">
        <v>4.4169999999999998</v>
      </c>
      <c r="I967" s="31">
        <v>4.6289999999999996</v>
      </c>
      <c r="K967" s="27"/>
      <c r="L967" s="30"/>
      <c r="M967" s="30"/>
      <c r="N967" s="30"/>
      <c r="O967" s="30"/>
      <c r="P967" s="30"/>
      <c r="Q967" s="30"/>
      <c r="R967" s="30"/>
      <c r="S967" s="30"/>
    </row>
    <row r="968" spans="1:19" x14ac:dyDescent="0.25">
      <c r="A968" s="29">
        <v>45390</v>
      </c>
      <c r="B968" s="31">
        <v>2.867</v>
      </c>
      <c r="C968" s="31">
        <v>2.89</v>
      </c>
      <c r="D968" s="31">
        <v>2.9129999999999998</v>
      </c>
      <c r="E968" s="31">
        <v>3.4329999999999998</v>
      </c>
      <c r="F968" s="31">
        <v>3.5830000000000002</v>
      </c>
      <c r="G968" s="31">
        <v>4.0170000000000003</v>
      </c>
      <c r="H968" s="31">
        <v>4.4749999999999996</v>
      </c>
      <c r="I968" s="31">
        <v>4.7039999999999997</v>
      </c>
      <c r="K968" s="27"/>
      <c r="L968" s="30"/>
      <c r="M968" s="30"/>
      <c r="N968" s="30"/>
      <c r="O968" s="30"/>
      <c r="P968" s="30"/>
      <c r="Q968" s="30"/>
      <c r="R968" s="30"/>
      <c r="S968" s="30"/>
    </row>
    <row r="969" spans="1:19" x14ac:dyDescent="0.25">
      <c r="A969" s="29">
        <v>45391</v>
      </c>
      <c r="B969" s="31">
        <v>3.335</v>
      </c>
      <c r="C969" s="31">
        <v>3.3439999999999999</v>
      </c>
      <c r="D969" s="31">
        <v>3.3519999999999999</v>
      </c>
      <c r="E969" s="31">
        <v>3.4830000000000001</v>
      </c>
      <c r="F969" s="31">
        <v>3.6</v>
      </c>
      <c r="G969" s="31">
        <v>4.0170000000000003</v>
      </c>
      <c r="H969" s="31">
        <v>4.4749999999999996</v>
      </c>
      <c r="I969" s="31">
        <v>4.7039999999999997</v>
      </c>
      <c r="K969" s="27"/>
      <c r="L969" s="30"/>
      <c r="M969" s="30"/>
      <c r="N969" s="30"/>
      <c r="O969" s="30"/>
      <c r="P969" s="30"/>
      <c r="Q969" s="30"/>
      <c r="R969" s="30"/>
      <c r="S969" s="30"/>
    </row>
    <row r="970" spans="1:19" x14ac:dyDescent="0.25">
      <c r="A970" s="29">
        <v>45392</v>
      </c>
      <c r="B970" s="31">
        <v>3.2789999999999999</v>
      </c>
      <c r="C970" s="31">
        <v>3.2879999999999998</v>
      </c>
      <c r="D970" s="31">
        <v>3.2959999999999998</v>
      </c>
      <c r="E970" s="31">
        <v>3.4830000000000001</v>
      </c>
      <c r="F970" s="31">
        <v>3.5880000000000001</v>
      </c>
      <c r="G970" s="31">
        <v>4.0170000000000003</v>
      </c>
      <c r="H970" s="31">
        <v>4.4749999999999996</v>
      </c>
      <c r="I970" s="31">
        <v>4.7039999999999997</v>
      </c>
      <c r="K970" s="27"/>
      <c r="L970" s="30"/>
      <c r="M970" s="30"/>
      <c r="N970" s="30"/>
      <c r="O970" s="30"/>
      <c r="P970" s="30"/>
      <c r="Q970" s="30"/>
      <c r="R970" s="30"/>
      <c r="S970" s="30"/>
    </row>
    <row r="971" spans="1:19" x14ac:dyDescent="0.25">
      <c r="A971" s="29">
        <v>45393</v>
      </c>
      <c r="B971" s="31">
        <v>3.3250000000000002</v>
      </c>
      <c r="C971" s="31">
        <v>3.3250000000000002</v>
      </c>
      <c r="D971" s="31">
        <v>3.3250000000000002</v>
      </c>
      <c r="E971" s="31">
        <v>3.5670000000000002</v>
      </c>
      <c r="F971" s="31">
        <v>3.6709999999999998</v>
      </c>
      <c r="G971" s="31">
        <v>4.0419999999999998</v>
      </c>
      <c r="H971" s="31">
        <v>4.4749999999999996</v>
      </c>
      <c r="I971" s="31">
        <v>4.7039999999999997</v>
      </c>
      <c r="K971" s="27"/>
      <c r="L971" s="30"/>
      <c r="M971" s="30"/>
      <c r="N971" s="30"/>
      <c r="O971" s="30"/>
      <c r="P971" s="30"/>
      <c r="Q971" s="30"/>
      <c r="R971" s="30"/>
      <c r="S971" s="30"/>
    </row>
    <row r="972" spans="1:19" x14ac:dyDescent="0.25">
      <c r="A972" s="29">
        <v>45394</v>
      </c>
      <c r="B972" s="31">
        <v>3.7669999999999999</v>
      </c>
      <c r="C972" s="31">
        <v>3.7879999999999998</v>
      </c>
      <c r="D972" s="31">
        <v>3.8079999999999998</v>
      </c>
      <c r="E972" s="31">
        <v>3.7</v>
      </c>
      <c r="F972" s="31">
        <v>3.7210000000000001</v>
      </c>
      <c r="G972" s="31">
        <v>4.0579999999999998</v>
      </c>
      <c r="H972" s="31">
        <v>4.4749999999999996</v>
      </c>
      <c r="I972" s="31">
        <v>4.7130000000000001</v>
      </c>
      <c r="K972" s="27"/>
      <c r="L972" s="30"/>
      <c r="M972" s="30"/>
      <c r="N972" s="30"/>
      <c r="O972" s="30"/>
      <c r="P972" s="30"/>
      <c r="Q972" s="30"/>
      <c r="R972" s="30"/>
      <c r="S972" s="30"/>
    </row>
    <row r="973" spans="1:19" x14ac:dyDescent="0.25">
      <c r="A973" s="29">
        <v>45397</v>
      </c>
      <c r="B973" s="31">
        <v>3.99</v>
      </c>
      <c r="C973" s="31">
        <v>3.992</v>
      </c>
      <c r="D973" s="31">
        <v>3.9940000000000002</v>
      </c>
      <c r="E973" s="31">
        <v>3.75</v>
      </c>
      <c r="F973" s="31">
        <v>3.7959999999999998</v>
      </c>
      <c r="G973" s="31">
        <v>4.0999999999999996</v>
      </c>
      <c r="H973" s="31">
        <v>4.492</v>
      </c>
      <c r="I973" s="31">
        <v>4.7210000000000001</v>
      </c>
      <c r="K973" s="27"/>
      <c r="L973" s="30"/>
      <c r="M973" s="30"/>
      <c r="N973" s="30"/>
      <c r="O973" s="30"/>
      <c r="P973" s="30"/>
      <c r="Q973" s="30"/>
      <c r="R973" s="30"/>
      <c r="S973" s="30"/>
    </row>
    <row r="974" spans="1:19" x14ac:dyDescent="0.25">
      <c r="A974" s="29">
        <v>45398</v>
      </c>
      <c r="B974" s="31">
        <v>4.1500000000000004</v>
      </c>
      <c r="C974" s="31">
        <v>4.1500000000000004</v>
      </c>
      <c r="D974" s="31">
        <v>4.1500000000000004</v>
      </c>
      <c r="E974" s="31">
        <v>3.9249999999999998</v>
      </c>
      <c r="F974" s="31">
        <v>3.9830000000000001</v>
      </c>
      <c r="G974" s="31">
        <v>4.1829999999999998</v>
      </c>
      <c r="H974" s="31">
        <v>4.4829999999999997</v>
      </c>
      <c r="I974" s="31">
        <v>4.75</v>
      </c>
      <c r="K974" s="27"/>
      <c r="L974" s="30"/>
      <c r="M974" s="30"/>
      <c r="N974" s="30"/>
      <c r="O974" s="30"/>
      <c r="P974" s="30"/>
      <c r="Q974" s="30"/>
      <c r="R974" s="30"/>
      <c r="S974" s="30"/>
    </row>
    <row r="975" spans="1:19" x14ac:dyDescent="0.25">
      <c r="A975" s="29">
        <v>45399</v>
      </c>
      <c r="B975" s="31">
        <v>4.2080000000000002</v>
      </c>
      <c r="C975" s="31">
        <v>4.2080000000000002</v>
      </c>
      <c r="D975" s="31">
        <v>4.2080000000000002</v>
      </c>
      <c r="E975" s="31">
        <v>3.988</v>
      </c>
      <c r="F975" s="31">
        <v>4.0629999999999997</v>
      </c>
      <c r="G975" s="31">
        <v>4.2130000000000001</v>
      </c>
      <c r="H975" s="31">
        <v>4.4960000000000004</v>
      </c>
      <c r="I975" s="31">
        <v>4.7539999999999996</v>
      </c>
      <c r="K975" s="27"/>
      <c r="L975" s="30"/>
      <c r="M975" s="30"/>
      <c r="N975" s="30"/>
      <c r="O975" s="30"/>
      <c r="P975" s="30"/>
      <c r="Q975" s="30"/>
      <c r="R975" s="30"/>
      <c r="S975" s="30"/>
    </row>
    <row r="976" spans="1:19" x14ac:dyDescent="0.25">
      <c r="A976" s="29">
        <v>45401</v>
      </c>
      <c r="B976" s="31">
        <v>3.9420000000000002</v>
      </c>
      <c r="C976" s="31">
        <v>3.95</v>
      </c>
      <c r="D976" s="31">
        <v>3.9580000000000002</v>
      </c>
      <c r="E976" s="31">
        <v>3.9790000000000001</v>
      </c>
      <c r="F976" s="31">
        <v>4.0540000000000003</v>
      </c>
      <c r="G976" s="31">
        <v>4.2210000000000001</v>
      </c>
      <c r="H976" s="31">
        <v>4.4960000000000004</v>
      </c>
      <c r="I976" s="31">
        <v>4.7539999999999996</v>
      </c>
      <c r="K976" s="27"/>
      <c r="L976" s="30"/>
      <c r="M976" s="30"/>
      <c r="N976" s="30"/>
      <c r="O976" s="30"/>
      <c r="P976" s="30"/>
      <c r="Q976" s="30"/>
      <c r="R976" s="30"/>
      <c r="S976" s="30"/>
    </row>
    <row r="977" spans="1:19" x14ac:dyDescent="0.25">
      <c r="A977" s="29">
        <v>45404</v>
      </c>
      <c r="B977" s="31">
        <v>3.96</v>
      </c>
      <c r="C977" s="31">
        <v>3.9689999999999999</v>
      </c>
      <c r="D977" s="31">
        <v>3.9769999999999999</v>
      </c>
      <c r="E977" s="31">
        <v>4.1079999999999997</v>
      </c>
      <c r="F977" s="31">
        <v>4.1879999999999997</v>
      </c>
      <c r="G977" s="31">
        <v>4.3079999999999998</v>
      </c>
      <c r="H977" s="31">
        <v>4.5250000000000004</v>
      </c>
      <c r="I977" s="31">
        <v>4.7670000000000003</v>
      </c>
      <c r="K977" s="27"/>
      <c r="L977" s="30"/>
      <c r="M977" s="30"/>
      <c r="N977" s="30"/>
      <c r="O977" s="30"/>
      <c r="P977" s="30"/>
      <c r="Q977" s="30"/>
      <c r="R977" s="30"/>
      <c r="S977" s="30"/>
    </row>
    <row r="978" spans="1:19" x14ac:dyDescent="0.25">
      <c r="A978" s="29">
        <v>45405</v>
      </c>
      <c r="B978" s="31">
        <v>4.0540000000000003</v>
      </c>
      <c r="C978" s="31">
        <v>4.048</v>
      </c>
      <c r="D978" s="31">
        <v>4.0419999999999998</v>
      </c>
      <c r="E978" s="31">
        <v>4.1669999999999998</v>
      </c>
      <c r="F978" s="31">
        <v>4.2290000000000001</v>
      </c>
      <c r="G978" s="31">
        <v>4.375</v>
      </c>
      <c r="H978" s="31">
        <v>4.55</v>
      </c>
      <c r="I978" s="31">
        <v>4.7919999999999998</v>
      </c>
      <c r="K978" s="27"/>
      <c r="L978" s="30"/>
      <c r="M978" s="30"/>
      <c r="N978" s="30"/>
      <c r="O978" s="30"/>
      <c r="P978" s="30"/>
      <c r="Q978" s="30"/>
      <c r="R978" s="30"/>
      <c r="S978" s="30"/>
    </row>
    <row r="979" spans="1:19" x14ac:dyDescent="0.25">
      <c r="A979" s="29">
        <v>45406</v>
      </c>
      <c r="B979" s="31">
        <v>4.2670000000000003</v>
      </c>
      <c r="C979" s="31">
        <v>4.2690000000000001</v>
      </c>
      <c r="D979" s="31">
        <v>4.2709999999999999</v>
      </c>
      <c r="E979" s="31">
        <v>4.3540000000000001</v>
      </c>
      <c r="F979" s="31">
        <v>4.4290000000000003</v>
      </c>
      <c r="G979" s="31">
        <v>4.5250000000000004</v>
      </c>
      <c r="H979" s="31">
        <v>4.625</v>
      </c>
      <c r="I979" s="31">
        <v>4.8540000000000001</v>
      </c>
      <c r="K979" s="27"/>
      <c r="L979" s="30"/>
      <c r="M979" s="30"/>
      <c r="N979" s="30"/>
      <c r="O979" s="30"/>
      <c r="P979" s="30"/>
      <c r="Q979" s="30"/>
      <c r="R979" s="30"/>
      <c r="S979" s="30"/>
    </row>
    <row r="980" spans="1:19" x14ac:dyDescent="0.25">
      <c r="A980" s="29">
        <v>45407</v>
      </c>
      <c r="B980" s="31">
        <v>4.2249999999999996</v>
      </c>
      <c r="C980" s="31">
        <v>4.2309999999999999</v>
      </c>
      <c r="D980" s="31">
        <v>4.2380000000000004</v>
      </c>
      <c r="E980" s="31">
        <v>4.3710000000000004</v>
      </c>
      <c r="F980" s="31">
        <v>4.4290000000000003</v>
      </c>
      <c r="G980" s="31">
        <v>4.5250000000000004</v>
      </c>
      <c r="H980" s="31">
        <v>4.625</v>
      </c>
      <c r="I980" s="31">
        <v>4.8540000000000001</v>
      </c>
      <c r="K980" s="27"/>
      <c r="L980" s="30"/>
      <c r="M980" s="30"/>
      <c r="N980" s="30"/>
      <c r="O980" s="30"/>
      <c r="P980" s="30"/>
      <c r="Q980" s="30"/>
      <c r="R980" s="30"/>
      <c r="S980" s="30"/>
    </row>
    <row r="981" spans="1:19" x14ac:dyDescent="0.25">
      <c r="A981" s="29">
        <v>45408</v>
      </c>
      <c r="B981" s="31">
        <v>4.2249999999999996</v>
      </c>
      <c r="C981" s="31">
        <v>4.2249999999999996</v>
      </c>
      <c r="D981" s="31">
        <v>4.2249999999999996</v>
      </c>
      <c r="E981" s="31">
        <v>4.3630000000000004</v>
      </c>
      <c r="F981" s="31">
        <v>4.4290000000000003</v>
      </c>
      <c r="G981" s="31">
        <v>4.5250000000000004</v>
      </c>
      <c r="H981" s="31">
        <v>4.625</v>
      </c>
      <c r="I981" s="31">
        <v>4.8540000000000001</v>
      </c>
      <c r="K981" s="27"/>
      <c r="L981" s="30"/>
      <c r="M981" s="30"/>
      <c r="N981" s="30"/>
      <c r="O981" s="30"/>
      <c r="P981" s="30"/>
      <c r="Q981" s="30"/>
      <c r="R981" s="30"/>
      <c r="S981" s="30"/>
    </row>
    <row r="982" spans="1:19" x14ac:dyDescent="0.25">
      <c r="A982" s="29">
        <v>45414</v>
      </c>
      <c r="B982" s="31">
        <v>4.0209999999999999</v>
      </c>
      <c r="C982" s="31">
        <v>4.04</v>
      </c>
      <c r="D982" s="31">
        <v>4.0579999999999998</v>
      </c>
      <c r="E982" s="31">
        <v>4.3540000000000001</v>
      </c>
      <c r="F982" s="31">
        <v>4.4210000000000003</v>
      </c>
      <c r="G982" s="31">
        <v>4.4829999999999997</v>
      </c>
      <c r="H982" s="31">
        <v>4.625</v>
      </c>
      <c r="I982" s="31">
        <v>4.8540000000000001</v>
      </c>
      <c r="K982" s="27"/>
      <c r="L982" s="30"/>
      <c r="M982" s="30"/>
      <c r="N982" s="30"/>
      <c r="O982" s="30"/>
      <c r="P982" s="30"/>
      <c r="Q982" s="30"/>
      <c r="R982" s="30"/>
      <c r="S982" s="30"/>
    </row>
    <row r="983" spans="1:19" x14ac:dyDescent="0.25">
      <c r="A983" s="29">
        <v>45415</v>
      </c>
      <c r="B983" s="31">
        <v>3.9209999999999998</v>
      </c>
      <c r="C983" s="31">
        <v>3.9209999999999998</v>
      </c>
      <c r="D983" s="31">
        <v>3.9209999999999998</v>
      </c>
      <c r="E983" s="31">
        <v>4.3380000000000001</v>
      </c>
      <c r="F983" s="31">
        <v>4.4210000000000003</v>
      </c>
      <c r="G983" s="31">
        <v>4.5</v>
      </c>
      <c r="H983" s="31">
        <v>4.625</v>
      </c>
      <c r="I983" s="31">
        <v>4.8079999999999998</v>
      </c>
      <c r="K983" s="27"/>
      <c r="L983" s="30"/>
      <c r="M983" s="30"/>
      <c r="N983" s="30"/>
      <c r="O983" s="30"/>
      <c r="P983" s="30"/>
      <c r="Q983" s="30"/>
      <c r="R983" s="30"/>
      <c r="S983" s="30"/>
    </row>
    <row r="984" spans="1:19" x14ac:dyDescent="0.25">
      <c r="A984" s="29">
        <v>45418</v>
      </c>
      <c r="B984" s="31">
        <v>3.879</v>
      </c>
      <c r="C984" s="31">
        <v>3.8929999999999998</v>
      </c>
      <c r="D984" s="31">
        <v>3.9060000000000001</v>
      </c>
      <c r="E984" s="31">
        <v>4.3289999999999997</v>
      </c>
      <c r="F984" s="31">
        <v>4.4210000000000003</v>
      </c>
      <c r="G984" s="31">
        <v>4.5</v>
      </c>
      <c r="H984" s="31">
        <v>4.625</v>
      </c>
      <c r="I984" s="31">
        <v>4.8330000000000002</v>
      </c>
      <c r="K984" s="27"/>
      <c r="L984" s="30"/>
      <c r="M984" s="30"/>
      <c r="N984" s="30"/>
      <c r="O984" s="30"/>
      <c r="P984" s="30"/>
      <c r="Q984" s="30"/>
      <c r="R984" s="30"/>
      <c r="S984" s="30"/>
    </row>
    <row r="985" spans="1:19" x14ac:dyDescent="0.25">
      <c r="A985" s="29">
        <v>45419</v>
      </c>
      <c r="B985" s="31">
        <v>3.8519999999999999</v>
      </c>
      <c r="C985" s="31">
        <v>3.86</v>
      </c>
      <c r="D985" s="31">
        <v>3.8690000000000002</v>
      </c>
      <c r="E985" s="31">
        <v>4.3250000000000002</v>
      </c>
      <c r="F985" s="31">
        <v>4.4210000000000003</v>
      </c>
      <c r="G985" s="31">
        <v>4.5</v>
      </c>
      <c r="H985" s="31">
        <v>4.625</v>
      </c>
      <c r="I985" s="31">
        <v>4.8330000000000002</v>
      </c>
      <c r="K985" s="27"/>
      <c r="L985" s="30"/>
      <c r="M985" s="30"/>
      <c r="N985" s="30"/>
      <c r="O985" s="30"/>
      <c r="P985" s="30"/>
      <c r="Q985" s="30"/>
      <c r="R985" s="30"/>
      <c r="S985" s="30"/>
    </row>
    <row r="986" spans="1:19" x14ac:dyDescent="0.25">
      <c r="A986" s="29">
        <v>45420</v>
      </c>
      <c r="B986" s="31">
        <v>3.867</v>
      </c>
      <c r="C986" s="31">
        <v>3.8690000000000002</v>
      </c>
      <c r="D986" s="31">
        <v>3.871</v>
      </c>
      <c r="E986" s="31">
        <v>4.3170000000000002</v>
      </c>
      <c r="F986" s="31">
        <v>4.4210000000000003</v>
      </c>
      <c r="G986" s="31">
        <v>4.5</v>
      </c>
      <c r="H986" s="31">
        <v>4.625</v>
      </c>
      <c r="I986" s="31">
        <v>4.8330000000000002</v>
      </c>
      <c r="K986" s="27"/>
      <c r="L986" s="30"/>
      <c r="M986" s="30"/>
      <c r="N986" s="30"/>
      <c r="O986" s="30"/>
      <c r="P986" s="30"/>
      <c r="Q986" s="30"/>
      <c r="R986" s="30"/>
      <c r="S986" s="30"/>
    </row>
    <row r="987" spans="1:19" x14ac:dyDescent="0.25">
      <c r="A987" s="29">
        <v>45421</v>
      </c>
      <c r="B987" s="31">
        <v>3.8730000000000002</v>
      </c>
      <c r="C987" s="31">
        <v>3.8780000000000001</v>
      </c>
      <c r="D987" s="31">
        <v>3.883</v>
      </c>
      <c r="E987" s="31">
        <v>4.3170000000000002</v>
      </c>
      <c r="F987" s="31">
        <v>4.4210000000000003</v>
      </c>
      <c r="G987" s="31">
        <v>4.5</v>
      </c>
      <c r="H987" s="31">
        <v>4.625</v>
      </c>
      <c r="I987" s="31">
        <v>4.8330000000000002</v>
      </c>
      <c r="K987" s="27"/>
      <c r="L987" s="30"/>
      <c r="M987" s="30"/>
      <c r="N987" s="30"/>
      <c r="O987" s="30"/>
      <c r="P987" s="30"/>
      <c r="Q987" s="30"/>
      <c r="R987" s="30"/>
      <c r="S987" s="30"/>
    </row>
    <row r="988" spans="1:19" x14ac:dyDescent="0.25">
      <c r="A988" s="29">
        <v>45422</v>
      </c>
      <c r="B988" s="31">
        <v>3.944</v>
      </c>
      <c r="C988" s="31">
        <v>3.9510000000000001</v>
      </c>
      <c r="D988" s="31">
        <v>3.9580000000000002</v>
      </c>
      <c r="E988" s="31">
        <v>4.3170000000000002</v>
      </c>
      <c r="F988" s="31">
        <v>4.4210000000000003</v>
      </c>
      <c r="G988" s="31">
        <v>4.5</v>
      </c>
      <c r="H988" s="31">
        <v>4.625</v>
      </c>
      <c r="I988" s="31">
        <v>4.8330000000000002</v>
      </c>
      <c r="K988" s="27"/>
      <c r="L988" s="30"/>
      <c r="M988" s="30"/>
      <c r="N988" s="30"/>
      <c r="O988" s="30"/>
      <c r="P988" s="30"/>
      <c r="Q988" s="30"/>
      <c r="R988" s="30"/>
      <c r="S988" s="30"/>
    </row>
    <row r="989" spans="1:19" x14ac:dyDescent="0.25">
      <c r="A989" s="29">
        <v>45425</v>
      </c>
      <c r="B989" s="31">
        <v>4.1150000000000002</v>
      </c>
      <c r="C989" s="31">
        <v>4.1150000000000002</v>
      </c>
      <c r="D989" s="31">
        <v>4.1150000000000002</v>
      </c>
      <c r="E989" s="31">
        <v>4.3170000000000002</v>
      </c>
      <c r="F989" s="31">
        <v>4.4210000000000003</v>
      </c>
      <c r="G989" s="31">
        <v>4.508</v>
      </c>
      <c r="H989" s="31">
        <v>4.625</v>
      </c>
      <c r="I989" s="31">
        <v>4.8330000000000002</v>
      </c>
      <c r="K989" s="27"/>
      <c r="L989" s="30"/>
      <c r="M989" s="30"/>
      <c r="N989" s="30"/>
      <c r="O989" s="30"/>
      <c r="P989" s="30"/>
      <c r="Q989" s="30"/>
      <c r="R989" s="30"/>
      <c r="S989" s="30"/>
    </row>
    <row r="990" spans="1:19" x14ac:dyDescent="0.25">
      <c r="A990" s="29">
        <v>45426</v>
      </c>
      <c r="B990" s="31">
        <v>4.0940000000000003</v>
      </c>
      <c r="C990" s="31">
        <v>4.0960000000000001</v>
      </c>
      <c r="D990" s="31">
        <v>4.0979999999999999</v>
      </c>
      <c r="E990" s="31">
        <v>4.3250000000000002</v>
      </c>
      <c r="F990" s="31">
        <v>4.4210000000000003</v>
      </c>
      <c r="G990" s="31">
        <v>4.5</v>
      </c>
      <c r="H990" s="31">
        <v>4.625</v>
      </c>
      <c r="I990" s="31">
        <v>4.8330000000000002</v>
      </c>
      <c r="K990" s="27"/>
      <c r="L990" s="30"/>
      <c r="M990" s="30"/>
      <c r="N990" s="30"/>
      <c r="O990" s="30"/>
      <c r="P990" s="30"/>
      <c r="Q990" s="30"/>
      <c r="R990" s="30"/>
      <c r="S990" s="30"/>
    </row>
    <row r="991" spans="1:19" x14ac:dyDescent="0.25">
      <c r="A991" s="29">
        <v>45427</v>
      </c>
      <c r="B991" s="31">
        <v>4.0460000000000003</v>
      </c>
      <c r="C991" s="31">
        <v>4.05</v>
      </c>
      <c r="D991" s="31">
        <v>4.0540000000000003</v>
      </c>
      <c r="E991" s="31">
        <v>4.3250000000000002</v>
      </c>
      <c r="F991" s="31">
        <v>4.4210000000000003</v>
      </c>
      <c r="G991" s="31">
        <v>4.5</v>
      </c>
      <c r="H991" s="31">
        <v>4.625</v>
      </c>
      <c r="I991" s="31">
        <v>4.8330000000000002</v>
      </c>
      <c r="K991" s="27"/>
      <c r="L991" s="30"/>
      <c r="M991" s="30"/>
      <c r="N991" s="30"/>
      <c r="O991" s="30"/>
      <c r="P991" s="30"/>
      <c r="Q991" s="30"/>
      <c r="R991" s="30"/>
      <c r="S991" s="30"/>
    </row>
    <row r="992" spans="1:19" x14ac:dyDescent="0.25">
      <c r="A992" s="29">
        <v>45428</v>
      </c>
      <c r="B992" s="31">
        <v>3.95</v>
      </c>
      <c r="C992" s="31">
        <v>3.9630000000000001</v>
      </c>
      <c r="D992" s="31">
        <v>3.9750000000000001</v>
      </c>
      <c r="E992" s="31">
        <v>4.3250000000000002</v>
      </c>
      <c r="F992" s="31">
        <v>4.4210000000000003</v>
      </c>
      <c r="G992" s="31">
        <v>4.5</v>
      </c>
      <c r="H992" s="31">
        <v>4.625</v>
      </c>
      <c r="I992" s="31">
        <v>4.8330000000000002</v>
      </c>
      <c r="K992" s="27"/>
      <c r="L992" s="30"/>
      <c r="M992" s="30"/>
      <c r="N992" s="30"/>
      <c r="O992" s="30"/>
      <c r="P992" s="30"/>
      <c r="Q992" s="30"/>
      <c r="R992" s="30"/>
      <c r="S992" s="30"/>
    </row>
    <row r="993" spans="1:19" x14ac:dyDescent="0.25">
      <c r="A993" s="29">
        <v>45429</v>
      </c>
      <c r="B993" s="31">
        <v>3.9580000000000002</v>
      </c>
      <c r="C993" s="31">
        <v>3.9630000000000001</v>
      </c>
      <c r="D993" s="31">
        <v>3.9670000000000001</v>
      </c>
      <c r="E993" s="31">
        <v>4.3170000000000002</v>
      </c>
      <c r="F993" s="31">
        <v>4.4210000000000003</v>
      </c>
      <c r="G993" s="31">
        <v>4.5</v>
      </c>
      <c r="H993" s="31">
        <v>4.625</v>
      </c>
      <c r="I993" s="31">
        <v>4.8330000000000002</v>
      </c>
      <c r="K993" s="27"/>
      <c r="L993" s="30"/>
      <c r="M993" s="30"/>
      <c r="N993" s="30"/>
      <c r="O993" s="30"/>
      <c r="P993" s="30"/>
      <c r="Q993" s="30"/>
      <c r="R993" s="30"/>
      <c r="S993" s="30"/>
    </row>
    <row r="994" spans="1:19" x14ac:dyDescent="0.25">
      <c r="A994" s="29">
        <v>45432</v>
      </c>
      <c r="B994" s="31">
        <v>3.988</v>
      </c>
      <c r="C994" s="31">
        <v>3.996</v>
      </c>
      <c r="D994" s="31">
        <v>4.0039999999999996</v>
      </c>
      <c r="E994" s="31">
        <v>4.3289999999999997</v>
      </c>
      <c r="F994" s="31">
        <v>4.4080000000000004</v>
      </c>
      <c r="G994" s="31">
        <v>4.4960000000000004</v>
      </c>
      <c r="H994" s="31">
        <v>4.6130000000000004</v>
      </c>
      <c r="I994" s="31">
        <v>4.8129999999999997</v>
      </c>
      <c r="K994" s="27"/>
      <c r="L994" s="30"/>
      <c r="M994" s="30"/>
      <c r="N994" s="30"/>
      <c r="O994" s="30"/>
      <c r="P994" s="30"/>
      <c r="Q994" s="30"/>
      <c r="R994" s="30"/>
      <c r="S994" s="30"/>
    </row>
    <row r="995" spans="1:19" x14ac:dyDescent="0.25">
      <c r="A995" s="29">
        <v>45433</v>
      </c>
      <c r="B995" s="31">
        <v>4.1020000000000003</v>
      </c>
      <c r="C995" s="31">
        <v>4.1040000000000001</v>
      </c>
      <c r="D995" s="31">
        <v>4.1059999999999999</v>
      </c>
      <c r="E995" s="31">
        <v>4.3380000000000001</v>
      </c>
      <c r="F995" s="31">
        <v>4.4080000000000004</v>
      </c>
      <c r="G995" s="31">
        <v>4.4960000000000004</v>
      </c>
      <c r="H995" s="31">
        <v>4.6130000000000004</v>
      </c>
      <c r="I995" s="31">
        <v>4.8129999999999997</v>
      </c>
      <c r="K995" s="27"/>
      <c r="L995" s="30"/>
      <c r="M995" s="30"/>
      <c r="N995" s="30"/>
      <c r="O995" s="30"/>
      <c r="P995" s="30"/>
      <c r="Q995" s="30"/>
      <c r="R995" s="30"/>
      <c r="S995" s="30"/>
    </row>
    <row r="996" spans="1:19" x14ac:dyDescent="0.25">
      <c r="A996" s="29">
        <v>45434</v>
      </c>
      <c r="B996" s="31">
        <v>4.3540000000000001</v>
      </c>
      <c r="C996" s="31">
        <v>4.3540000000000001</v>
      </c>
      <c r="D996" s="31">
        <v>4.3540000000000001</v>
      </c>
      <c r="E996" s="31">
        <v>4.3540000000000001</v>
      </c>
      <c r="F996" s="31">
        <v>4.4210000000000003</v>
      </c>
      <c r="G996" s="31">
        <v>4.5039999999999996</v>
      </c>
      <c r="H996" s="31">
        <v>4.6210000000000004</v>
      </c>
      <c r="I996" s="31">
        <v>4.8129999999999997</v>
      </c>
      <c r="K996" s="27"/>
      <c r="L996" s="30"/>
      <c r="M996" s="30"/>
      <c r="N996" s="30"/>
      <c r="O996" s="30"/>
      <c r="P996" s="30"/>
      <c r="Q996" s="30"/>
      <c r="R996" s="30"/>
      <c r="S996" s="30"/>
    </row>
    <row r="997" spans="1:19" x14ac:dyDescent="0.25">
      <c r="A997" s="29">
        <v>45435</v>
      </c>
      <c r="B997" s="31">
        <v>4.6289999999999996</v>
      </c>
      <c r="C997" s="31">
        <v>4.6289999999999996</v>
      </c>
      <c r="D997" s="31">
        <v>4.6289999999999996</v>
      </c>
      <c r="E997" s="31">
        <v>4.4459999999999997</v>
      </c>
      <c r="F997" s="31">
        <v>4.4960000000000004</v>
      </c>
      <c r="G997" s="31">
        <v>4.6079999999999997</v>
      </c>
      <c r="H997" s="31">
        <v>4.742</v>
      </c>
      <c r="I997" s="31">
        <v>4.8920000000000003</v>
      </c>
      <c r="K997" s="27"/>
      <c r="L997" s="30"/>
      <c r="M997" s="30"/>
      <c r="N997" s="30"/>
      <c r="O997" s="30"/>
      <c r="P997" s="30"/>
      <c r="Q997" s="30"/>
      <c r="R997" s="30"/>
      <c r="S997" s="30"/>
    </row>
    <row r="998" spans="1:19" x14ac:dyDescent="0.25">
      <c r="A998" s="29">
        <v>45436</v>
      </c>
      <c r="B998" s="31">
        <v>4.6289999999999996</v>
      </c>
      <c r="C998" s="31">
        <v>4.6289999999999996</v>
      </c>
      <c r="D998" s="31">
        <v>4.6289999999999996</v>
      </c>
      <c r="E998" s="31">
        <v>4.5330000000000004</v>
      </c>
      <c r="F998" s="31">
        <v>4.5830000000000002</v>
      </c>
      <c r="G998" s="31">
        <v>4.6630000000000003</v>
      </c>
      <c r="H998" s="31">
        <v>4.8</v>
      </c>
      <c r="I998" s="31">
        <v>4.9169999999999998</v>
      </c>
      <c r="K998" s="27"/>
      <c r="L998" s="30"/>
      <c r="M998" s="30"/>
      <c r="N998" s="30"/>
      <c r="O998" s="30"/>
      <c r="P998" s="30"/>
      <c r="Q998" s="30"/>
      <c r="R998" s="30"/>
      <c r="S998" s="30"/>
    </row>
    <row r="999" spans="1:19" x14ac:dyDescent="0.25">
      <c r="A999" s="29">
        <v>45439</v>
      </c>
      <c r="B999" s="31">
        <v>4.633</v>
      </c>
      <c r="C999" s="31">
        <v>4.6379999999999999</v>
      </c>
      <c r="D999" s="31">
        <v>4.6420000000000003</v>
      </c>
      <c r="E999" s="31">
        <v>4.633</v>
      </c>
      <c r="F999" s="31">
        <v>4.6920000000000002</v>
      </c>
      <c r="G999" s="31">
        <v>4.7880000000000003</v>
      </c>
      <c r="H999" s="31">
        <v>4.9130000000000003</v>
      </c>
      <c r="I999" s="31">
        <v>5.0209999999999999</v>
      </c>
      <c r="K999" s="27"/>
      <c r="L999" s="30"/>
      <c r="M999" s="30"/>
      <c r="N999" s="30"/>
      <c r="O999" s="30"/>
      <c r="P999" s="30"/>
      <c r="Q999" s="30"/>
      <c r="R999" s="30"/>
      <c r="S999" s="30"/>
    </row>
    <row r="1000" spans="1:19" x14ac:dyDescent="0.25">
      <c r="A1000" s="29">
        <v>45440</v>
      </c>
      <c r="B1000" s="31">
        <v>4.569</v>
      </c>
      <c r="C1000" s="31">
        <v>4.5629999999999997</v>
      </c>
      <c r="D1000" s="31">
        <v>4.556</v>
      </c>
      <c r="E1000" s="31">
        <v>4.625</v>
      </c>
      <c r="F1000" s="31">
        <v>4.6920000000000002</v>
      </c>
      <c r="G1000" s="31">
        <v>4.7880000000000003</v>
      </c>
      <c r="H1000" s="31">
        <v>4.9130000000000003</v>
      </c>
      <c r="I1000" s="31">
        <v>5.0209999999999999</v>
      </c>
      <c r="K1000" s="27"/>
      <c r="L1000" s="30"/>
      <c r="M1000" s="30"/>
      <c r="N1000" s="30"/>
      <c r="O1000" s="30"/>
      <c r="P1000" s="30"/>
      <c r="Q1000" s="30"/>
      <c r="R1000" s="30"/>
      <c r="S1000" s="30"/>
    </row>
    <row r="1001" spans="1:19" x14ac:dyDescent="0.25">
      <c r="A1001" s="29">
        <v>45441</v>
      </c>
      <c r="B1001" s="31">
        <v>4.335</v>
      </c>
      <c r="C1001" s="31">
        <v>4.3540000000000001</v>
      </c>
      <c r="D1001" s="31">
        <v>4.3730000000000002</v>
      </c>
      <c r="E1001" s="31">
        <v>4.5999999999999996</v>
      </c>
      <c r="F1001" s="31">
        <v>4.6580000000000004</v>
      </c>
      <c r="G1001" s="31">
        <v>4.7460000000000004</v>
      </c>
      <c r="H1001" s="31">
        <v>4.8959999999999999</v>
      </c>
      <c r="I1001" s="31">
        <v>4.9880000000000004</v>
      </c>
      <c r="K1001" s="27"/>
      <c r="L1001" s="30"/>
      <c r="M1001" s="30"/>
      <c r="N1001" s="30"/>
      <c r="O1001" s="30"/>
      <c r="P1001" s="30"/>
      <c r="Q1001" s="30"/>
      <c r="R1001" s="30"/>
      <c r="S1001" s="30"/>
    </row>
    <row r="1002" spans="1:19" x14ac:dyDescent="0.25">
      <c r="A1002" s="29">
        <v>45442</v>
      </c>
      <c r="B1002" s="31">
        <v>4.3499999999999996</v>
      </c>
      <c r="C1002" s="31">
        <v>4.3579999999999997</v>
      </c>
      <c r="D1002" s="31">
        <v>4.367</v>
      </c>
      <c r="E1002" s="31">
        <v>4.5419999999999998</v>
      </c>
      <c r="F1002" s="31">
        <v>4.617</v>
      </c>
      <c r="G1002" s="31">
        <v>4.7380000000000004</v>
      </c>
      <c r="H1002" s="31">
        <v>4.8789999999999996</v>
      </c>
      <c r="I1002" s="31">
        <v>4.9880000000000004</v>
      </c>
      <c r="K1002" s="27"/>
      <c r="L1002" s="30"/>
      <c r="M1002" s="30"/>
      <c r="N1002" s="30"/>
      <c r="O1002" s="30"/>
      <c r="P1002" s="30"/>
      <c r="Q1002" s="30"/>
      <c r="R1002" s="30"/>
      <c r="S1002" s="30"/>
    </row>
    <row r="1003" spans="1:19" x14ac:dyDescent="0.25">
      <c r="A1003" s="29">
        <v>45443</v>
      </c>
      <c r="B1003" s="31">
        <v>4.3380000000000001</v>
      </c>
      <c r="C1003" s="31">
        <v>4.3449999999999998</v>
      </c>
      <c r="D1003" s="31">
        <v>4.3520000000000003</v>
      </c>
      <c r="E1003" s="31">
        <v>4.5579999999999998</v>
      </c>
      <c r="F1003" s="31">
        <v>4.617</v>
      </c>
      <c r="G1003" s="31">
        <v>4.7460000000000004</v>
      </c>
      <c r="H1003" s="31">
        <v>4.8879999999999999</v>
      </c>
      <c r="I1003" s="31">
        <v>4.9880000000000004</v>
      </c>
      <c r="K1003" s="27"/>
      <c r="L1003" s="30"/>
      <c r="M1003" s="30"/>
      <c r="N1003" s="30"/>
      <c r="O1003" s="30"/>
      <c r="P1003" s="30"/>
      <c r="Q1003" s="30"/>
      <c r="R1003" s="30"/>
      <c r="S1003" s="30"/>
    </row>
    <row r="1004" spans="1:19" x14ac:dyDescent="0.25">
      <c r="A1004" s="29">
        <v>45446</v>
      </c>
      <c r="B1004" s="31">
        <v>4.3150000000000004</v>
      </c>
      <c r="C1004" s="31">
        <v>4.3170000000000002</v>
      </c>
      <c r="D1004" s="31">
        <v>4.319</v>
      </c>
      <c r="E1004" s="31">
        <v>4.55</v>
      </c>
      <c r="F1004" s="31">
        <v>4.617</v>
      </c>
      <c r="G1004" s="31">
        <v>4.7539999999999996</v>
      </c>
      <c r="H1004" s="31">
        <v>4.9210000000000003</v>
      </c>
      <c r="I1004" s="31">
        <v>5.0289999999999999</v>
      </c>
      <c r="K1004" s="27"/>
      <c r="L1004" s="30"/>
      <c r="M1004" s="30"/>
      <c r="N1004" s="30"/>
      <c r="O1004" s="30"/>
      <c r="P1004" s="30"/>
      <c r="Q1004" s="30"/>
      <c r="R1004" s="30"/>
      <c r="S1004" s="30"/>
    </row>
    <row r="1005" spans="1:19" x14ac:dyDescent="0.25">
      <c r="A1005" s="29">
        <v>45447</v>
      </c>
      <c r="B1005" s="31">
        <v>4.3040000000000003</v>
      </c>
      <c r="C1005" s="31">
        <v>4.3140000000000001</v>
      </c>
      <c r="D1005" s="31">
        <v>4.3230000000000004</v>
      </c>
      <c r="E1005" s="31">
        <v>4.5419999999999998</v>
      </c>
      <c r="F1005" s="31">
        <v>4.617</v>
      </c>
      <c r="G1005" s="31">
        <v>4.7539999999999996</v>
      </c>
      <c r="H1005" s="31">
        <v>4.9210000000000003</v>
      </c>
      <c r="I1005" s="31">
        <v>5.0289999999999999</v>
      </c>
      <c r="K1005" s="27"/>
      <c r="L1005" s="30"/>
      <c r="M1005" s="30"/>
      <c r="N1005" s="30"/>
      <c r="O1005" s="30"/>
      <c r="P1005" s="30"/>
      <c r="Q1005" s="30"/>
      <c r="R1005" s="30"/>
      <c r="S1005" s="30"/>
    </row>
    <row r="1006" spans="1:19" x14ac:dyDescent="0.25">
      <c r="A1006" s="29">
        <v>45448</v>
      </c>
      <c r="B1006" s="31">
        <v>4.2770000000000001</v>
      </c>
      <c r="C1006" s="31">
        <v>4.2960000000000003</v>
      </c>
      <c r="D1006" s="31">
        <v>4.3150000000000004</v>
      </c>
      <c r="E1006" s="31">
        <v>4.5419999999999998</v>
      </c>
      <c r="F1006" s="31">
        <v>4.617</v>
      </c>
      <c r="G1006" s="31">
        <v>4.7539999999999996</v>
      </c>
      <c r="H1006" s="31">
        <v>4.9210000000000003</v>
      </c>
      <c r="I1006" s="31">
        <v>5.0289999999999999</v>
      </c>
      <c r="K1006" s="27"/>
      <c r="L1006" s="30"/>
      <c r="M1006" s="30"/>
      <c r="N1006" s="30"/>
      <c r="O1006" s="30"/>
      <c r="P1006" s="30"/>
      <c r="Q1006" s="30"/>
      <c r="R1006" s="30"/>
      <c r="S1006" s="30"/>
    </row>
    <row r="1007" spans="1:19" x14ac:dyDescent="0.25">
      <c r="A1007" s="29">
        <v>45449</v>
      </c>
      <c r="B1007" s="31">
        <v>4.3099999999999996</v>
      </c>
      <c r="C1007" s="31">
        <v>4.3150000000000004</v>
      </c>
      <c r="D1007" s="31">
        <v>4.319</v>
      </c>
      <c r="E1007" s="31">
        <v>4.5419999999999998</v>
      </c>
      <c r="F1007" s="31">
        <v>4.617</v>
      </c>
      <c r="G1007" s="31">
        <v>4.7539999999999996</v>
      </c>
      <c r="H1007" s="31">
        <v>4.9210000000000003</v>
      </c>
      <c r="I1007" s="31">
        <v>5.0289999999999999</v>
      </c>
      <c r="K1007" s="27"/>
      <c r="L1007" s="30"/>
      <c r="M1007" s="30"/>
      <c r="N1007" s="30"/>
      <c r="O1007" s="30"/>
      <c r="P1007" s="30"/>
      <c r="Q1007" s="30"/>
      <c r="R1007" s="30"/>
      <c r="S1007" s="30"/>
    </row>
    <row r="1008" spans="1:19" x14ac:dyDescent="0.25">
      <c r="A1008" s="29">
        <v>45450</v>
      </c>
      <c r="B1008" s="31">
        <v>4.2919999999999998</v>
      </c>
      <c r="C1008" s="31">
        <v>4.298</v>
      </c>
      <c r="D1008" s="31">
        <v>4.3040000000000003</v>
      </c>
      <c r="E1008" s="31">
        <v>4.5419999999999998</v>
      </c>
      <c r="F1008" s="31">
        <v>4.617</v>
      </c>
      <c r="G1008" s="31">
        <v>4.7539999999999996</v>
      </c>
      <c r="H1008" s="31">
        <v>4.9210000000000003</v>
      </c>
      <c r="I1008" s="31">
        <v>5.0289999999999999</v>
      </c>
      <c r="K1008" s="27"/>
      <c r="L1008" s="30"/>
      <c r="M1008" s="30"/>
      <c r="N1008" s="30"/>
      <c r="O1008" s="30"/>
      <c r="P1008" s="30"/>
      <c r="Q1008" s="30"/>
      <c r="R1008" s="30"/>
      <c r="S1008" s="30"/>
    </row>
    <row r="1009" spans="1:19" x14ac:dyDescent="0.25">
      <c r="A1009" s="29">
        <v>45453</v>
      </c>
      <c r="B1009" s="31">
        <v>4.34</v>
      </c>
      <c r="C1009" s="31">
        <v>4.3440000000000003</v>
      </c>
      <c r="D1009" s="31">
        <v>4.3479999999999999</v>
      </c>
      <c r="E1009" s="31">
        <v>4.55</v>
      </c>
      <c r="F1009" s="31">
        <v>4.617</v>
      </c>
      <c r="G1009" s="31">
        <v>4.7539999999999996</v>
      </c>
      <c r="H1009" s="31">
        <v>4.9210000000000003</v>
      </c>
      <c r="I1009" s="31">
        <v>5.0289999999999999</v>
      </c>
      <c r="K1009" s="27"/>
      <c r="L1009" s="30"/>
      <c r="M1009" s="30"/>
      <c r="N1009" s="30"/>
      <c r="O1009" s="30"/>
      <c r="P1009" s="30"/>
      <c r="Q1009" s="30"/>
      <c r="R1009" s="30"/>
      <c r="S1009" s="30"/>
    </row>
    <row r="1010" spans="1:19" x14ac:dyDescent="0.25">
      <c r="A1010" s="29">
        <v>45454</v>
      </c>
      <c r="B1010" s="31">
        <v>4.3899999999999997</v>
      </c>
      <c r="C1010" s="31">
        <v>4.3899999999999997</v>
      </c>
      <c r="D1010" s="31">
        <v>4.3899999999999997</v>
      </c>
      <c r="E1010" s="31">
        <v>4.5540000000000003</v>
      </c>
      <c r="F1010" s="31">
        <v>4.6210000000000004</v>
      </c>
      <c r="G1010" s="31">
        <v>4.7670000000000003</v>
      </c>
      <c r="H1010" s="31">
        <v>4.9210000000000003</v>
      </c>
      <c r="I1010" s="31">
        <v>5.0289999999999999</v>
      </c>
      <c r="K1010" s="27"/>
      <c r="L1010" s="30"/>
      <c r="M1010" s="30"/>
      <c r="N1010" s="30"/>
      <c r="O1010" s="30"/>
      <c r="P1010" s="30"/>
      <c r="Q1010" s="30"/>
      <c r="R1010" s="30"/>
      <c r="S1010" s="30"/>
    </row>
    <row r="1011" spans="1:19" x14ac:dyDescent="0.25">
      <c r="A1011" s="29">
        <v>45455</v>
      </c>
      <c r="B1011" s="31">
        <v>4.4539999999999997</v>
      </c>
      <c r="C1011" s="31">
        <v>4.452</v>
      </c>
      <c r="D1011" s="31">
        <v>4.45</v>
      </c>
      <c r="E1011" s="31">
        <v>4.5540000000000003</v>
      </c>
      <c r="F1011" s="31">
        <v>4.6210000000000004</v>
      </c>
      <c r="G1011" s="31">
        <v>4.7670000000000003</v>
      </c>
      <c r="H1011" s="31">
        <v>4.9210000000000003</v>
      </c>
      <c r="I1011" s="31">
        <v>5.0289999999999999</v>
      </c>
      <c r="K1011" s="27"/>
      <c r="L1011" s="30"/>
      <c r="M1011" s="30"/>
      <c r="N1011" s="30"/>
      <c r="O1011" s="30"/>
      <c r="P1011" s="30"/>
      <c r="Q1011" s="30"/>
      <c r="R1011" s="30"/>
      <c r="S1011" s="30"/>
    </row>
    <row r="1012" spans="1:19" x14ac:dyDescent="0.25">
      <c r="A1012" s="29">
        <v>45456</v>
      </c>
      <c r="B1012" s="31">
        <v>4.3979999999999997</v>
      </c>
      <c r="C1012" s="31">
        <v>4.4039999999999999</v>
      </c>
      <c r="D1012" s="31">
        <v>4.41</v>
      </c>
      <c r="E1012" s="31">
        <v>4.5540000000000003</v>
      </c>
      <c r="F1012" s="31">
        <v>4.6210000000000004</v>
      </c>
      <c r="G1012" s="31">
        <v>4.7709999999999999</v>
      </c>
      <c r="H1012" s="31">
        <v>4.9210000000000003</v>
      </c>
      <c r="I1012" s="31">
        <v>5.0289999999999999</v>
      </c>
      <c r="K1012" s="27"/>
      <c r="L1012" s="30"/>
      <c r="M1012" s="30"/>
      <c r="N1012" s="30"/>
      <c r="O1012" s="30"/>
      <c r="P1012" s="30"/>
      <c r="Q1012" s="30"/>
      <c r="R1012" s="30"/>
      <c r="S1012" s="30"/>
    </row>
    <row r="1013" spans="1:19" x14ac:dyDescent="0.25">
      <c r="A1013" s="29">
        <v>45457</v>
      </c>
      <c r="B1013" s="31">
        <v>4.3979999999999997</v>
      </c>
      <c r="C1013" s="31">
        <v>4.4050000000000002</v>
      </c>
      <c r="D1013" s="31">
        <v>4.4130000000000003</v>
      </c>
      <c r="E1013" s="31">
        <v>4.5540000000000003</v>
      </c>
      <c r="F1013" s="31">
        <v>4.6210000000000004</v>
      </c>
      <c r="G1013" s="31">
        <v>4.7709999999999999</v>
      </c>
      <c r="H1013" s="31">
        <v>4.9210000000000003</v>
      </c>
      <c r="I1013" s="31">
        <v>5.0289999999999999</v>
      </c>
      <c r="K1013" s="27"/>
      <c r="L1013" s="30"/>
      <c r="M1013" s="30"/>
      <c r="N1013" s="30"/>
      <c r="O1013" s="30"/>
      <c r="P1013" s="30"/>
      <c r="Q1013" s="30"/>
      <c r="R1013" s="30"/>
      <c r="S1013" s="30"/>
    </row>
    <row r="1014" spans="1:19" x14ac:dyDescent="0.25">
      <c r="A1014" s="29">
        <v>45460</v>
      </c>
      <c r="B1014" s="31">
        <v>4.4059999999999997</v>
      </c>
      <c r="C1014" s="31">
        <v>4.4089999999999998</v>
      </c>
      <c r="D1014" s="31">
        <v>4.4130000000000003</v>
      </c>
      <c r="E1014" s="31">
        <v>4.5540000000000003</v>
      </c>
      <c r="F1014" s="31">
        <v>4.6210000000000004</v>
      </c>
      <c r="G1014" s="31">
        <v>4.7709999999999999</v>
      </c>
      <c r="H1014" s="31">
        <v>4.9210000000000003</v>
      </c>
      <c r="I1014" s="31">
        <v>5.0289999999999999</v>
      </c>
      <c r="K1014" s="27"/>
      <c r="L1014" s="30"/>
      <c r="M1014" s="30"/>
      <c r="N1014" s="30"/>
      <c r="O1014" s="30"/>
      <c r="P1014" s="30"/>
      <c r="Q1014" s="30"/>
      <c r="R1014" s="30"/>
      <c r="S1014" s="30"/>
    </row>
    <row r="1015" spans="1:19" x14ac:dyDescent="0.25">
      <c r="A1015" s="29">
        <v>45461</v>
      </c>
      <c r="B1015" s="31">
        <v>4.3959999999999999</v>
      </c>
      <c r="C1015" s="31">
        <v>4.4160000000000004</v>
      </c>
      <c r="D1015" s="31">
        <v>4.4349999999999996</v>
      </c>
      <c r="E1015" s="31">
        <v>4.5540000000000003</v>
      </c>
      <c r="F1015" s="31">
        <v>4.6210000000000004</v>
      </c>
      <c r="G1015" s="31">
        <v>4.7709999999999999</v>
      </c>
      <c r="H1015" s="31">
        <v>4.9210000000000003</v>
      </c>
      <c r="I1015" s="31">
        <v>5.0289999999999999</v>
      </c>
      <c r="K1015" s="27"/>
      <c r="L1015" s="30"/>
      <c r="M1015" s="30"/>
      <c r="N1015" s="30"/>
      <c r="O1015" s="30"/>
      <c r="P1015" s="30"/>
      <c r="Q1015" s="30"/>
      <c r="R1015" s="30"/>
      <c r="S1015" s="30"/>
    </row>
    <row r="1016" spans="1:19" x14ac:dyDescent="0.25">
      <c r="A1016" s="29">
        <v>45462</v>
      </c>
      <c r="B1016" s="31">
        <v>4.3579999999999997</v>
      </c>
      <c r="C1016" s="31">
        <v>4.3780000000000001</v>
      </c>
      <c r="D1016" s="31">
        <v>4.3979999999999997</v>
      </c>
      <c r="E1016" s="31">
        <v>4.5540000000000003</v>
      </c>
      <c r="F1016" s="31">
        <v>4.6210000000000004</v>
      </c>
      <c r="G1016" s="31">
        <v>4.7709999999999999</v>
      </c>
      <c r="H1016" s="31">
        <v>4.9210000000000003</v>
      </c>
      <c r="I1016" s="31">
        <v>5.0289999999999999</v>
      </c>
      <c r="K1016" s="27"/>
      <c r="L1016" s="30"/>
      <c r="M1016" s="30"/>
      <c r="N1016" s="30"/>
      <c r="O1016" s="30"/>
      <c r="P1016" s="30"/>
      <c r="Q1016" s="30"/>
      <c r="R1016" s="30"/>
      <c r="S1016" s="30"/>
    </row>
    <row r="1017" spans="1:19" x14ac:dyDescent="0.25">
      <c r="A1017" s="29">
        <v>45463</v>
      </c>
      <c r="B1017" s="31">
        <v>4.258</v>
      </c>
      <c r="C1017" s="31">
        <v>4.306</v>
      </c>
      <c r="D1017" s="31">
        <v>4.3540000000000001</v>
      </c>
      <c r="E1017" s="31">
        <v>4.5540000000000003</v>
      </c>
      <c r="F1017" s="31">
        <v>4.6210000000000004</v>
      </c>
      <c r="G1017" s="31">
        <v>4.7709999999999999</v>
      </c>
      <c r="H1017" s="31">
        <v>4.9210000000000003</v>
      </c>
      <c r="I1017" s="31">
        <v>5.0289999999999999</v>
      </c>
      <c r="K1017" s="27"/>
      <c r="L1017" s="30"/>
      <c r="M1017" s="30"/>
      <c r="N1017" s="30"/>
      <c r="O1017" s="30"/>
      <c r="P1017" s="30"/>
      <c r="Q1017" s="30"/>
      <c r="R1017" s="30"/>
      <c r="S1017" s="30"/>
    </row>
    <row r="1018" spans="1:19" x14ac:dyDescent="0.25">
      <c r="A1018" s="29">
        <v>45464</v>
      </c>
      <c r="B1018" s="31">
        <v>4.2439999999999998</v>
      </c>
      <c r="C1018" s="31">
        <v>4.2839999999999998</v>
      </c>
      <c r="D1018" s="31">
        <v>4.3250000000000002</v>
      </c>
      <c r="E1018" s="31">
        <v>4.5460000000000003</v>
      </c>
      <c r="F1018" s="31">
        <v>4.6130000000000004</v>
      </c>
      <c r="G1018" s="31">
        <v>4.7709999999999999</v>
      </c>
      <c r="H1018" s="31">
        <v>4.9210000000000003</v>
      </c>
      <c r="I1018" s="31">
        <v>5.0289999999999999</v>
      </c>
      <c r="K1018" s="27"/>
      <c r="L1018" s="30"/>
      <c r="M1018" s="30"/>
      <c r="N1018" s="30"/>
      <c r="O1018" s="30"/>
      <c r="P1018" s="30"/>
      <c r="Q1018" s="30"/>
      <c r="R1018" s="30"/>
      <c r="S1018" s="30"/>
    </row>
    <row r="1019" spans="1:19" x14ac:dyDescent="0.25">
      <c r="A1019" s="29">
        <v>45467</v>
      </c>
      <c r="B1019" s="31">
        <v>4.3289999999999997</v>
      </c>
      <c r="C1019" s="31">
        <v>4.3310000000000004</v>
      </c>
      <c r="D1019" s="31">
        <v>4.3330000000000002</v>
      </c>
      <c r="E1019" s="31">
        <v>4.5460000000000003</v>
      </c>
      <c r="F1019" s="31">
        <v>4.6130000000000004</v>
      </c>
      <c r="G1019" s="31">
        <v>4.7709999999999999</v>
      </c>
      <c r="H1019" s="31">
        <v>4.9210000000000003</v>
      </c>
      <c r="I1019" s="31">
        <v>5.0289999999999999</v>
      </c>
      <c r="K1019" s="27"/>
      <c r="L1019" s="30"/>
      <c r="M1019" s="30"/>
      <c r="N1019" s="30"/>
      <c r="O1019" s="30"/>
      <c r="P1019" s="30"/>
      <c r="Q1019" s="30"/>
      <c r="R1019" s="30"/>
      <c r="S1019" s="30"/>
    </row>
    <row r="1020" spans="1:19" x14ac:dyDescent="0.25">
      <c r="A1020" s="29">
        <v>45468</v>
      </c>
      <c r="B1020" s="31">
        <v>4.319</v>
      </c>
      <c r="C1020" s="31">
        <v>4.3239999999999998</v>
      </c>
      <c r="D1020" s="31">
        <v>4.3289999999999997</v>
      </c>
      <c r="E1020" s="31">
        <v>4.5460000000000003</v>
      </c>
      <c r="F1020" s="31">
        <v>4.6130000000000004</v>
      </c>
      <c r="G1020" s="31">
        <v>4.7709999999999999</v>
      </c>
      <c r="H1020" s="31">
        <v>4.9210000000000003</v>
      </c>
      <c r="I1020" s="31">
        <v>5.0289999999999999</v>
      </c>
      <c r="K1020" s="27"/>
      <c r="L1020" s="30"/>
      <c r="M1020" s="30"/>
      <c r="N1020" s="30"/>
      <c r="O1020" s="30"/>
      <c r="P1020" s="30"/>
      <c r="Q1020" s="30"/>
      <c r="R1020" s="30"/>
      <c r="S1020" s="30"/>
    </row>
    <row r="1021" spans="1:19" x14ac:dyDescent="0.25">
      <c r="A1021" s="29">
        <v>45469</v>
      </c>
      <c r="B1021" s="31">
        <v>4.3579999999999997</v>
      </c>
      <c r="C1021" s="31">
        <v>4.375</v>
      </c>
      <c r="D1021" s="31">
        <v>4.3920000000000003</v>
      </c>
      <c r="E1021" s="31">
        <v>4.5460000000000003</v>
      </c>
      <c r="F1021" s="31">
        <v>4.6130000000000004</v>
      </c>
      <c r="G1021" s="31">
        <v>4.7709999999999999</v>
      </c>
      <c r="H1021" s="31">
        <v>4.9210000000000003</v>
      </c>
      <c r="I1021" s="31">
        <v>5.0289999999999999</v>
      </c>
      <c r="K1021" s="27"/>
      <c r="L1021" s="30"/>
      <c r="M1021" s="30"/>
      <c r="N1021" s="30"/>
      <c r="O1021" s="30"/>
      <c r="P1021" s="30"/>
      <c r="Q1021" s="30"/>
      <c r="R1021" s="30"/>
      <c r="S1021" s="30"/>
    </row>
    <row r="1022" spans="1:19" x14ac:dyDescent="0.25">
      <c r="A1022" s="29">
        <v>45470</v>
      </c>
      <c r="B1022" s="31">
        <v>4.4850000000000003</v>
      </c>
      <c r="C1022" s="31">
        <v>4.5</v>
      </c>
      <c r="D1022" s="31">
        <v>4.5149999999999997</v>
      </c>
      <c r="E1022" s="31">
        <v>4.6040000000000001</v>
      </c>
      <c r="F1022" s="31">
        <v>4.6539999999999999</v>
      </c>
      <c r="G1022" s="31">
        <v>4.7960000000000003</v>
      </c>
      <c r="H1022" s="31">
        <v>4.9459999999999997</v>
      </c>
      <c r="I1022" s="31">
        <v>5.0460000000000003</v>
      </c>
      <c r="K1022" s="27"/>
      <c r="L1022" s="30"/>
      <c r="M1022" s="30"/>
      <c r="N1022" s="30"/>
      <c r="O1022" s="30"/>
      <c r="P1022" s="30"/>
      <c r="Q1022" s="30"/>
      <c r="R1022" s="30"/>
      <c r="S1022" s="30"/>
    </row>
    <row r="1023" spans="1:19" x14ac:dyDescent="0.25">
      <c r="A1023" s="29">
        <v>45471</v>
      </c>
      <c r="B1023" s="31">
        <v>4.5789999999999997</v>
      </c>
      <c r="C1023" s="31">
        <v>4.5810000000000004</v>
      </c>
      <c r="D1023" s="31">
        <v>4.5830000000000002</v>
      </c>
      <c r="E1023" s="31">
        <v>4.6040000000000001</v>
      </c>
      <c r="F1023" s="31">
        <v>4.6539999999999999</v>
      </c>
      <c r="G1023" s="31">
        <v>4.7960000000000003</v>
      </c>
      <c r="H1023" s="31">
        <v>4.9459999999999997</v>
      </c>
      <c r="I1023" s="31">
        <v>5.0460000000000003</v>
      </c>
      <c r="K1023" s="27"/>
      <c r="L1023" s="30"/>
      <c r="M1023" s="30"/>
      <c r="N1023" s="30"/>
      <c r="O1023" s="30"/>
      <c r="P1023" s="30"/>
      <c r="Q1023" s="30"/>
      <c r="R1023" s="30"/>
      <c r="S1023" s="30"/>
    </row>
    <row r="1024" spans="1:19" x14ac:dyDescent="0.25">
      <c r="A1024" s="29">
        <v>45474</v>
      </c>
      <c r="B1024" s="31">
        <v>4.5540000000000003</v>
      </c>
      <c r="C1024" s="31">
        <v>4.5540000000000003</v>
      </c>
      <c r="D1024" s="31">
        <v>4.5540000000000003</v>
      </c>
      <c r="E1024" s="31">
        <v>4.6130000000000004</v>
      </c>
      <c r="F1024" s="31">
        <v>4.6630000000000003</v>
      </c>
      <c r="G1024" s="31">
        <v>4.8040000000000003</v>
      </c>
      <c r="H1024" s="31">
        <v>4.9459999999999997</v>
      </c>
      <c r="I1024" s="31">
        <v>5.0460000000000003</v>
      </c>
      <c r="K1024" s="27"/>
      <c r="L1024" s="30"/>
      <c r="M1024" s="30"/>
      <c r="N1024" s="30"/>
      <c r="O1024" s="30"/>
      <c r="P1024" s="30"/>
      <c r="Q1024" s="30"/>
      <c r="R1024" s="30"/>
      <c r="S1024" s="30"/>
    </row>
    <row r="1025" spans="1:19" x14ac:dyDescent="0.25">
      <c r="A1025" s="29">
        <v>45475</v>
      </c>
      <c r="B1025" s="31">
        <v>4.5289999999999999</v>
      </c>
      <c r="C1025" s="31">
        <v>4.5350000000000001</v>
      </c>
      <c r="D1025" s="31">
        <v>4.5419999999999998</v>
      </c>
      <c r="E1025" s="31">
        <v>4.6130000000000004</v>
      </c>
      <c r="F1025" s="31">
        <v>4.6630000000000003</v>
      </c>
      <c r="G1025" s="31">
        <v>4.8040000000000003</v>
      </c>
      <c r="H1025" s="31">
        <v>4.9459999999999997</v>
      </c>
      <c r="I1025" s="31">
        <v>5.0460000000000003</v>
      </c>
      <c r="K1025" s="27"/>
      <c r="L1025" s="30"/>
      <c r="M1025" s="30"/>
      <c r="N1025" s="30"/>
      <c r="O1025" s="30"/>
      <c r="P1025" s="30"/>
      <c r="Q1025" s="30"/>
      <c r="R1025" s="30"/>
      <c r="S1025" s="30"/>
    </row>
    <row r="1026" spans="1:19" x14ac:dyDescent="0.25">
      <c r="A1026" s="29">
        <v>45476</v>
      </c>
      <c r="B1026" s="31">
        <v>4.5149999999999997</v>
      </c>
      <c r="C1026" s="31">
        <v>4.5279999999999996</v>
      </c>
      <c r="D1026" s="31">
        <v>4.5419999999999998</v>
      </c>
      <c r="E1026" s="31">
        <v>4.6130000000000004</v>
      </c>
      <c r="F1026" s="31">
        <v>4.6630000000000003</v>
      </c>
      <c r="G1026" s="31">
        <v>4.8040000000000003</v>
      </c>
      <c r="H1026" s="31">
        <v>4.9459999999999997</v>
      </c>
      <c r="I1026" s="31">
        <v>5.0460000000000003</v>
      </c>
      <c r="K1026" s="27"/>
      <c r="L1026" s="30"/>
      <c r="M1026" s="30"/>
      <c r="N1026" s="30"/>
      <c r="O1026" s="30"/>
      <c r="P1026" s="30"/>
      <c r="Q1026" s="30"/>
      <c r="R1026" s="30"/>
      <c r="S1026" s="30"/>
    </row>
    <row r="1027" spans="1:19" x14ac:dyDescent="0.25">
      <c r="A1027" s="29">
        <v>45477</v>
      </c>
      <c r="B1027" s="31">
        <v>4.5170000000000003</v>
      </c>
      <c r="C1027" s="31">
        <v>4.5359999999999996</v>
      </c>
      <c r="D1027" s="31">
        <v>4.556</v>
      </c>
      <c r="E1027" s="31">
        <v>4.6379999999999999</v>
      </c>
      <c r="F1027" s="31">
        <v>4.6879999999999997</v>
      </c>
      <c r="G1027" s="31">
        <v>4.8289999999999997</v>
      </c>
      <c r="H1027" s="31">
        <v>4.9459999999999997</v>
      </c>
      <c r="I1027" s="31">
        <v>5.0460000000000003</v>
      </c>
      <c r="K1027" s="27"/>
      <c r="L1027" s="30"/>
      <c r="M1027" s="30"/>
      <c r="N1027" s="30"/>
      <c r="O1027" s="30"/>
      <c r="P1027" s="30"/>
      <c r="Q1027" s="30"/>
      <c r="R1027" s="30"/>
      <c r="S1027" s="30"/>
    </row>
    <row r="1028" spans="1:19" x14ac:dyDescent="0.25">
      <c r="A1028" s="29">
        <v>45478</v>
      </c>
      <c r="B1028" s="31">
        <v>4.5380000000000003</v>
      </c>
      <c r="C1028" s="31">
        <v>4.5519999999999996</v>
      </c>
      <c r="D1028" s="31">
        <v>4.5670000000000002</v>
      </c>
      <c r="E1028" s="31">
        <v>4.6289999999999996</v>
      </c>
      <c r="F1028" s="31">
        <v>4.6790000000000003</v>
      </c>
      <c r="G1028" s="31">
        <v>4.8289999999999997</v>
      </c>
      <c r="H1028" s="31">
        <v>4.9459999999999997</v>
      </c>
      <c r="I1028" s="31">
        <v>5.0460000000000003</v>
      </c>
      <c r="K1028" s="27"/>
      <c r="L1028" s="30"/>
      <c r="M1028" s="30"/>
      <c r="N1028" s="30"/>
      <c r="O1028" s="30"/>
      <c r="P1028" s="30"/>
      <c r="Q1028" s="30"/>
      <c r="R1028" s="30"/>
      <c r="S1028" s="30"/>
    </row>
    <row r="1029" spans="1:19" x14ac:dyDescent="0.25">
      <c r="A1029" s="29">
        <v>45481</v>
      </c>
      <c r="B1029" s="31">
        <v>4.5650000000000004</v>
      </c>
      <c r="C1029" s="31">
        <v>4.5819999999999999</v>
      </c>
      <c r="D1029" s="31">
        <v>4.5999999999999996</v>
      </c>
      <c r="E1029" s="31">
        <v>4.6289999999999996</v>
      </c>
      <c r="F1029" s="31">
        <v>4.6790000000000003</v>
      </c>
      <c r="G1029" s="31">
        <v>4.8289999999999997</v>
      </c>
      <c r="H1029" s="31">
        <v>4.9459999999999997</v>
      </c>
      <c r="I1029" s="31">
        <v>5.0460000000000003</v>
      </c>
      <c r="K1029" s="27"/>
      <c r="L1029" s="30"/>
      <c r="M1029" s="30"/>
      <c r="N1029" s="30"/>
      <c r="O1029" s="30"/>
      <c r="P1029" s="30"/>
      <c r="Q1029" s="30"/>
      <c r="R1029" s="30"/>
      <c r="S1029" s="30"/>
    </row>
    <row r="1030" spans="1:19" x14ac:dyDescent="0.25">
      <c r="A1030" s="29">
        <v>45482</v>
      </c>
      <c r="B1030" s="31">
        <v>4.5940000000000003</v>
      </c>
      <c r="C1030" s="31">
        <v>4.6059999999999999</v>
      </c>
      <c r="D1030" s="31">
        <v>4.6189999999999998</v>
      </c>
      <c r="E1030" s="31">
        <v>4.6289999999999996</v>
      </c>
      <c r="F1030" s="31">
        <v>4.6790000000000003</v>
      </c>
      <c r="G1030" s="31">
        <v>4.8289999999999997</v>
      </c>
      <c r="H1030" s="31">
        <v>4.9459999999999997</v>
      </c>
      <c r="I1030" s="31">
        <v>5.0460000000000003</v>
      </c>
      <c r="K1030" s="27"/>
      <c r="L1030" s="30"/>
      <c r="M1030" s="30"/>
      <c r="N1030" s="30"/>
      <c r="O1030" s="30"/>
      <c r="P1030" s="30"/>
      <c r="Q1030" s="30"/>
      <c r="R1030" s="30"/>
      <c r="S1030" s="30"/>
    </row>
    <row r="1031" spans="1:19" x14ac:dyDescent="0.25">
      <c r="A1031" s="29">
        <v>45483</v>
      </c>
      <c r="B1031" s="31">
        <v>4.59</v>
      </c>
      <c r="C1031" s="31">
        <v>4.6040000000000001</v>
      </c>
      <c r="D1031" s="31">
        <v>4.6189999999999998</v>
      </c>
      <c r="E1031" s="31">
        <v>4.6289999999999996</v>
      </c>
      <c r="F1031" s="31">
        <v>4.6790000000000003</v>
      </c>
      <c r="G1031" s="31">
        <v>4.8289999999999997</v>
      </c>
      <c r="H1031" s="31">
        <v>4.9459999999999997</v>
      </c>
      <c r="I1031" s="31">
        <v>5.0460000000000003</v>
      </c>
      <c r="K1031" s="27"/>
      <c r="L1031" s="30"/>
      <c r="M1031" s="30"/>
      <c r="N1031" s="30"/>
      <c r="O1031" s="30"/>
      <c r="P1031" s="30"/>
      <c r="Q1031" s="30"/>
      <c r="R1031" s="30"/>
      <c r="S1031" s="30"/>
    </row>
    <row r="1032" spans="1:19" x14ac:dyDescent="0.25">
      <c r="A1032" s="29">
        <v>45484</v>
      </c>
      <c r="B1032" s="31">
        <v>4.5599999999999996</v>
      </c>
      <c r="C1032" s="31">
        <v>4.5789999999999997</v>
      </c>
      <c r="D1032" s="31">
        <v>4.5979999999999999</v>
      </c>
      <c r="E1032" s="31">
        <v>4.6310000000000002</v>
      </c>
      <c r="F1032" s="31">
        <v>4.681</v>
      </c>
      <c r="G1032" s="31">
        <v>4.8310000000000004</v>
      </c>
      <c r="H1032" s="31">
        <v>4.9480000000000004</v>
      </c>
      <c r="I1032" s="31">
        <v>5.048</v>
      </c>
      <c r="K1032" s="27"/>
      <c r="L1032" s="30"/>
      <c r="M1032" s="30"/>
      <c r="N1032" s="30"/>
      <c r="O1032" s="30"/>
      <c r="P1032" s="30"/>
      <c r="Q1032" s="30"/>
      <c r="R1032" s="30"/>
      <c r="S1032" s="30"/>
    </row>
    <row r="1033" spans="1:19" x14ac:dyDescent="0.25">
      <c r="A1033" s="29">
        <v>45485</v>
      </c>
      <c r="B1033" s="31">
        <v>4.5289999999999999</v>
      </c>
      <c r="C1033" s="31">
        <v>4.55</v>
      </c>
      <c r="D1033" s="31">
        <v>4.5709999999999997</v>
      </c>
      <c r="E1033" s="31">
        <v>4.6310000000000002</v>
      </c>
      <c r="F1033" s="31">
        <v>4.681</v>
      </c>
      <c r="G1033" s="31">
        <v>4.8310000000000004</v>
      </c>
      <c r="H1033" s="31">
        <v>4.9480000000000004</v>
      </c>
      <c r="I1033" s="31">
        <v>5.048</v>
      </c>
      <c r="K1033" s="27"/>
      <c r="L1033" s="30"/>
      <c r="M1033" s="30"/>
      <c r="N1033" s="30"/>
      <c r="O1033" s="30"/>
      <c r="P1033" s="30"/>
      <c r="Q1033" s="30"/>
      <c r="R1033" s="30"/>
      <c r="S1033" s="30"/>
    </row>
    <row r="1034" spans="1:19" x14ac:dyDescent="0.25">
      <c r="A1034" s="29">
        <v>45488</v>
      </c>
      <c r="B1034" s="31">
        <v>4.5250000000000004</v>
      </c>
      <c r="C1034" s="31">
        <v>4.5449999999999999</v>
      </c>
      <c r="D1034" s="31">
        <v>4.5650000000000004</v>
      </c>
      <c r="E1034" s="31">
        <v>4.6459999999999999</v>
      </c>
      <c r="F1034" s="31">
        <v>4.681</v>
      </c>
      <c r="G1034" s="31">
        <v>4.8310000000000004</v>
      </c>
      <c r="H1034" s="31">
        <v>4.9480000000000004</v>
      </c>
      <c r="I1034" s="31">
        <v>5.048</v>
      </c>
      <c r="K1034" s="27"/>
      <c r="L1034" s="30"/>
      <c r="M1034" s="30"/>
      <c r="N1034" s="30"/>
      <c r="O1034" s="30"/>
      <c r="P1034" s="30"/>
      <c r="Q1034" s="30"/>
      <c r="R1034" s="30"/>
      <c r="S1034" s="30"/>
    </row>
    <row r="1035" spans="1:19" x14ac:dyDescent="0.25">
      <c r="A1035" s="29">
        <v>45489</v>
      </c>
      <c r="B1035" s="31">
        <v>4.5190000000000001</v>
      </c>
      <c r="C1035" s="31">
        <v>4.5389999999999997</v>
      </c>
      <c r="D1035" s="31">
        <v>4.5579999999999998</v>
      </c>
      <c r="E1035" s="31">
        <v>4.6459999999999999</v>
      </c>
      <c r="F1035" s="31">
        <v>4.681</v>
      </c>
      <c r="G1035" s="31">
        <v>4.8310000000000004</v>
      </c>
      <c r="H1035" s="31">
        <v>4.9480000000000004</v>
      </c>
      <c r="I1035" s="31">
        <v>5.048</v>
      </c>
      <c r="K1035" s="27"/>
      <c r="L1035" s="30"/>
      <c r="M1035" s="30"/>
      <c r="N1035" s="30"/>
      <c r="O1035" s="30"/>
      <c r="P1035" s="30"/>
      <c r="Q1035" s="30"/>
      <c r="R1035" s="30"/>
      <c r="S1035" s="30"/>
    </row>
    <row r="1036" spans="1:19" x14ac:dyDescent="0.25">
      <c r="A1036" s="29">
        <v>45490</v>
      </c>
      <c r="B1036" s="31">
        <v>4.5250000000000004</v>
      </c>
      <c r="C1036" s="31">
        <v>4.54</v>
      </c>
      <c r="D1036" s="31">
        <v>4.5540000000000003</v>
      </c>
      <c r="E1036" s="31">
        <v>4.6459999999999999</v>
      </c>
      <c r="F1036" s="31">
        <v>4.681</v>
      </c>
      <c r="G1036" s="31">
        <v>4.8310000000000004</v>
      </c>
      <c r="H1036" s="31">
        <v>4.9480000000000004</v>
      </c>
      <c r="I1036" s="31">
        <v>5.048</v>
      </c>
      <c r="K1036" s="27"/>
      <c r="L1036" s="30"/>
      <c r="M1036" s="30"/>
      <c r="N1036" s="30"/>
      <c r="O1036" s="30"/>
      <c r="P1036" s="30"/>
      <c r="Q1036" s="30"/>
      <c r="R1036" s="30"/>
      <c r="S1036" s="30"/>
    </row>
    <row r="1037" spans="1:19" x14ac:dyDescent="0.25">
      <c r="A1037" s="29">
        <v>45491</v>
      </c>
      <c r="B1037" s="31">
        <v>4.4649999999999999</v>
      </c>
      <c r="C1037" s="31">
        <v>4.468</v>
      </c>
      <c r="D1037" s="31">
        <v>4.4710000000000001</v>
      </c>
      <c r="E1037" s="31">
        <v>4.6459999999999999</v>
      </c>
      <c r="F1037" s="31">
        <v>4.681</v>
      </c>
      <c r="G1037" s="31">
        <v>4.8310000000000004</v>
      </c>
      <c r="H1037" s="31">
        <v>4.9480000000000004</v>
      </c>
      <c r="I1037" s="31">
        <v>5.048</v>
      </c>
      <c r="K1037" s="27"/>
      <c r="L1037" s="30"/>
      <c r="M1037" s="30"/>
      <c r="N1037" s="30"/>
      <c r="O1037" s="30"/>
      <c r="P1037" s="30"/>
      <c r="Q1037" s="30"/>
      <c r="R1037" s="30"/>
      <c r="S1037" s="30"/>
    </row>
    <row r="1038" spans="1:19" x14ac:dyDescent="0.25">
      <c r="A1038" s="29">
        <v>45492</v>
      </c>
      <c r="B1038" s="31">
        <v>4.4749999999999996</v>
      </c>
      <c r="C1038" s="31">
        <v>4.49</v>
      </c>
      <c r="D1038" s="31">
        <v>4.5039999999999996</v>
      </c>
      <c r="E1038" s="31">
        <v>4.6459999999999999</v>
      </c>
      <c r="F1038" s="31">
        <v>4.681</v>
      </c>
      <c r="G1038" s="31">
        <v>4.8310000000000004</v>
      </c>
      <c r="H1038" s="31">
        <v>4.9480000000000004</v>
      </c>
      <c r="I1038" s="31">
        <v>5.048</v>
      </c>
      <c r="K1038" s="27"/>
      <c r="L1038" s="30"/>
      <c r="M1038" s="30"/>
      <c r="N1038" s="30"/>
      <c r="O1038" s="30"/>
      <c r="P1038" s="30"/>
      <c r="Q1038" s="30"/>
      <c r="R1038" s="30"/>
      <c r="S1038" s="30"/>
    </row>
    <row r="1039" spans="1:19" x14ac:dyDescent="0.25">
      <c r="A1039" s="29">
        <v>45495</v>
      </c>
      <c r="B1039" s="31">
        <v>4.4749999999999996</v>
      </c>
      <c r="C1039" s="31">
        <v>4.484</v>
      </c>
      <c r="D1039" s="31">
        <v>4.4939999999999998</v>
      </c>
      <c r="E1039" s="31">
        <v>4.6459999999999999</v>
      </c>
      <c r="F1039" s="31">
        <v>4.681</v>
      </c>
      <c r="G1039" s="31">
        <v>4.8310000000000004</v>
      </c>
      <c r="H1039" s="31">
        <v>4.9480000000000004</v>
      </c>
      <c r="I1039" s="31">
        <v>5.048</v>
      </c>
      <c r="K1039" s="27"/>
      <c r="L1039" s="30"/>
      <c r="M1039" s="30"/>
      <c r="N1039" s="30"/>
      <c r="O1039" s="30"/>
      <c r="P1039" s="30"/>
      <c r="Q1039" s="30"/>
      <c r="R1039" s="30"/>
      <c r="S1039" s="30"/>
    </row>
    <row r="1040" spans="1:19" x14ac:dyDescent="0.25">
      <c r="A1040" s="29">
        <v>45496</v>
      </c>
      <c r="B1040" s="31">
        <v>4.4710000000000001</v>
      </c>
      <c r="C1040" s="31">
        <v>4.4850000000000003</v>
      </c>
      <c r="D1040" s="31">
        <v>4.5</v>
      </c>
      <c r="E1040" s="31">
        <v>4.6459999999999999</v>
      </c>
      <c r="F1040" s="31">
        <v>4.681</v>
      </c>
      <c r="G1040" s="31">
        <v>4.8310000000000004</v>
      </c>
      <c r="H1040" s="31">
        <v>4.9480000000000004</v>
      </c>
      <c r="I1040" s="31">
        <v>5.048</v>
      </c>
      <c r="K1040" s="27"/>
      <c r="L1040" s="30"/>
      <c r="M1040" s="30"/>
      <c r="N1040" s="30"/>
      <c r="O1040" s="30"/>
      <c r="P1040" s="30"/>
      <c r="Q1040" s="30"/>
      <c r="R1040" s="30"/>
      <c r="S1040" s="30"/>
    </row>
    <row r="1041" spans="1:19" x14ac:dyDescent="0.25">
      <c r="A1041" s="29">
        <v>45497</v>
      </c>
      <c r="B1041" s="31">
        <v>4.51</v>
      </c>
      <c r="C1041" s="31">
        <v>4.5209999999999999</v>
      </c>
      <c r="D1041" s="31">
        <v>4.5309999999999997</v>
      </c>
      <c r="E1041" s="31">
        <v>4.6459999999999999</v>
      </c>
      <c r="F1041" s="31">
        <v>4.681</v>
      </c>
      <c r="G1041" s="31">
        <v>4.8310000000000004</v>
      </c>
      <c r="H1041" s="31">
        <v>4.9480000000000004</v>
      </c>
      <c r="I1041" s="31">
        <v>5.048</v>
      </c>
      <c r="K1041" s="27"/>
      <c r="L1041" s="30"/>
      <c r="M1041" s="30"/>
      <c r="N1041" s="30"/>
      <c r="O1041" s="30"/>
      <c r="P1041" s="30"/>
      <c r="Q1041" s="30"/>
      <c r="R1041" s="30"/>
      <c r="S1041" s="30"/>
    </row>
    <row r="1042" spans="1:19" x14ac:dyDescent="0.25">
      <c r="A1042" s="29">
        <v>45498</v>
      </c>
      <c r="B1042" s="31">
        <v>4.5209999999999999</v>
      </c>
      <c r="C1042" s="31">
        <v>4.532</v>
      </c>
      <c r="D1042" s="31">
        <v>4.5439999999999996</v>
      </c>
      <c r="E1042" s="31">
        <v>4.6459999999999999</v>
      </c>
      <c r="F1042" s="31">
        <v>4.681</v>
      </c>
      <c r="G1042" s="31">
        <v>4.8310000000000004</v>
      </c>
      <c r="H1042" s="31">
        <v>4.9480000000000004</v>
      </c>
      <c r="I1042" s="31">
        <v>5.048</v>
      </c>
      <c r="K1042" s="27"/>
      <c r="L1042" s="30"/>
      <c r="M1042" s="30"/>
      <c r="N1042" s="30"/>
      <c r="O1042" s="30"/>
      <c r="P1042" s="30"/>
      <c r="Q1042" s="30"/>
      <c r="R1042" s="30"/>
      <c r="S1042" s="30"/>
    </row>
    <row r="1043" spans="1:19" x14ac:dyDescent="0.25">
      <c r="A1043" s="29">
        <v>45499</v>
      </c>
      <c r="B1043" s="31">
        <v>4.5350000000000001</v>
      </c>
      <c r="C1043" s="31">
        <v>4.5410000000000004</v>
      </c>
      <c r="D1043" s="31">
        <v>4.5460000000000003</v>
      </c>
      <c r="E1043" s="31">
        <v>4.6459999999999999</v>
      </c>
      <c r="F1043" s="31">
        <v>4.681</v>
      </c>
      <c r="G1043" s="31">
        <v>4.8310000000000004</v>
      </c>
      <c r="H1043" s="31">
        <v>4.9480000000000004</v>
      </c>
      <c r="I1043" s="31">
        <v>5.048</v>
      </c>
      <c r="K1043" s="27"/>
      <c r="L1043" s="30"/>
      <c r="M1043" s="30"/>
      <c r="N1043" s="30"/>
      <c r="O1043" s="30"/>
      <c r="P1043" s="30"/>
      <c r="Q1043" s="30"/>
      <c r="R1043" s="30"/>
      <c r="S1043" s="30"/>
    </row>
    <row r="1044" spans="1:19" x14ac:dyDescent="0.25">
      <c r="A1044" s="29">
        <v>45502</v>
      </c>
      <c r="B1044" s="31">
        <v>4.5039999999999996</v>
      </c>
      <c r="C1044" s="31">
        <v>4.5279999999999996</v>
      </c>
      <c r="D1044" s="31">
        <v>4.5519999999999996</v>
      </c>
      <c r="E1044" s="31">
        <v>4.6459999999999999</v>
      </c>
      <c r="F1044" s="31">
        <v>4.681</v>
      </c>
      <c r="G1044" s="31">
        <v>4.8310000000000004</v>
      </c>
      <c r="H1044" s="31">
        <v>4.9480000000000004</v>
      </c>
      <c r="I1044" s="31">
        <v>5.048</v>
      </c>
      <c r="K1044" s="27"/>
      <c r="L1044" s="30"/>
      <c r="M1044" s="30"/>
      <c r="N1044" s="30"/>
      <c r="O1044" s="30"/>
      <c r="P1044" s="30"/>
      <c r="Q1044" s="30"/>
      <c r="R1044" s="30"/>
      <c r="S1044" s="30"/>
    </row>
    <row r="1045" spans="1:19" x14ac:dyDescent="0.25">
      <c r="A1045" s="29">
        <v>45503</v>
      </c>
      <c r="B1045" s="31">
        <v>4.5039999999999996</v>
      </c>
      <c r="C1045" s="31">
        <v>4.5250000000000004</v>
      </c>
      <c r="D1045" s="31">
        <v>4.5460000000000003</v>
      </c>
      <c r="E1045" s="31">
        <v>4.6459999999999999</v>
      </c>
      <c r="F1045" s="31">
        <v>4.681</v>
      </c>
      <c r="G1045" s="31">
        <v>4.8310000000000004</v>
      </c>
      <c r="H1045" s="31">
        <v>4.9480000000000004</v>
      </c>
      <c r="I1045" s="31">
        <v>5.048</v>
      </c>
      <c r="K1045" s="27"/>
      <c r="L1045" s="30"/>
      <c r="M1045" s="30"/>
      <c r="N1045" s="30"/>
      <c r="O1045" s="30"/>
      <c r="P1045" s="30"/>
      <c r="Q1045" s="30"/>
      <c r="R1045" s="30"/>
      <c r="S1045" s="30"/>
    </row>
    <row r="1046" spans="1:19" x14ac:dyDescent="0.25">
      <c r="A1046" s="29">
        <v>45504</v>
      </c>
      <c r="B1046" s="31">
        <v>4.4749999999999996</v>
      </c>
      <c r="C1046" s="31">
        <v>4.5039999999999996</v>
      </c>
      <c r="D1046" s="31">
        <v>4.5330000000000004</v>
      </c>
      <c r="E1046" s="31">
        <v>4.6349999999999998</v>
      </c>
      <c r="F1046" s="31">
        <v>4.6790000000000003</v>
      </c>
      <c r="G1046" s="31">
        <v>4.8289999999999997</v>
      </c>
      <c r="H1046" s="31">
        <v>4.9459999999999997</v>
      </c>
      <c r="I1046" s="31">
        <v>5.0460000000000003</v>
      </c>
      <c r="K1046" s="27"/>
      <c r="L1046" s="30"/>
      <c r="M1046" s="30"/>
      <c r="N1046" s="30"/>
      <c r="O1046" s="30"/>
      <c r="P1046" s="30"/>
      <c r="Q1046" s="30"/>
      <c r="R1046" s="30"/>
      <c r="S1046" s="30"/>
    </row>
    <row r="1047" spans="1:19" x14ac:dyDescent="0.25">
      <c r="A1047" s="29">
        <v>45505</v>
      </c>
      <c r="B1047" s="31">
        <v>4.492</v>
      </c>
      <c r="C1047" s="31">
        <v>4.5019999999999998</v>
      </c>
      <c r="D1047" s="31">
        <v>4.5129999999999999</v>
      </c>
      <c r="E1047" s="31">
        <v>4.6349999999999998</v>
      </c>
      <c r="F1047" s="31">
        <v>4.6790000000000003</v>
      </c>
      <c r="G1047" s="31">
        <v>4.8289999999999997</v>
      </c>
      <c r="H1047" s="31">
        <v>4.9459999999999997</v>
      </c>
      <c r="I1047" s="31">
        <v>5.0460000000000003</v>
      </c>
      <c r="K1047" s="27"/>
      <c r="L1047" s="30"/>
      <c r="M1047" s="30"/>
      <c r="N1047" s="30"/>
      <c r="O1047" s="30"/>
      <c r="P1047" s="30"/>
      <c r="Q1047" s="30"/>
      <c r="R1047" s="30"/>
      <c r="S1047" s="30"/>
    </row>
    <row r="1048" spans="1:19" x14ac:dyDescent="0.25">
      <c r="A1048" s="29">
        <v>45506</v>
      </c>
      <c r="B1048" s="31">
        <v>4.492</v>
      </c>
      <c r="C1048" s="31">
        <v>4.4960000000000004</v>
      </c>
      <c r="D1048" s="31">
        <v>4.5</v>
      </c>
      <c r="E1048" s="31">
        <v>4.6349999999999998</v>
      </c>
      <c r="F1048" s="31">
        <v>4.6790000000000003</v>
      </c>
      <c r="G1048" s="31">
        <v>4.8289999999999997</v>
      </c>
      <c r="H1048" s="31">
        <v>4.9459999999999997</v>
      </c>
      <c r="I1048" s="31">
        <v>5.0460000000000003</v>
      </c>
      <c r="K1048" s="27"/>
      <c r="L1048" s="30"/>
      <c r="M1048" s="30"/>
      <c r="N1048" s="30"/>
      <c r="O1048" s="30"/>
      <c r="P1048" s="30"/>
      <c r="Q1048" s="30"/>
      <c r="R1048" s="30"/>
      <c r="S1048" s="30"/>
    </row>
    <row r="1049" spans="1:19" x14ac:dyDescent="0.25">
      <c r="A1049" s="29">
        <v>45509</v>
      </c>
      <c r="B1049" s="31">
        <v>4.5330000000000004</v>
      </c>
      <c r="C1049" s="31">
        <v>4.5380000000000003</v>
      </c>
      <c r="D1049" s="31">
        <v>4.5419999999999998</v>
      </c>
      <c r="E1049" s="31">
        <v>4.6349999999999998</v>
      </c>
      <c r="F1049" s="31">
        <v>4.6790000000000003</v>
      </c>
      <c r="G1049" s="31">
        <v>4.8289999999999997</v>
      </c>
      <c r="H1049" s="31">
        <v>4.9459999999999997</v>
      </c>
      <c r="I1049" s="31">
        <v>5.0460000000000003</v>
      </c>
      <c r="K1049" s="27"/>
      <c r="L1049" s="30"/>
      <c r="M1049" s="30"/>
      <c r="N1049" s="30"/>
      <c r="O1049" s="30"/>
      <c r="P1049" s="30"/>
      <c r="Q1049" s="30"/>
      <c r="R1049" s="30"/>
      <c r="S1049" s="30"/>
    </row>
    <row r="1050" spans="1:19" x14ac:dyDescent="0.25">
      <c r="A1050" s="29">
        <v>45510</v>
      </c>
      <c r="B1050" s="31">
        <v>4.3710000000000004</v>
      </c>
      <c r="C1050" s="31">
        <v>4.3710000000000004</v>
      </c>
      <c r="D1050" s="31">
        <v>4.3710000000000004</v>
      </c>
      <c r="E1050" s="31">
        <v>4.5979999999999999</v>
      </c>
      <c r="F1050" s="31">
        <v>4.633</v>
      </c>
      <c r="G1050" s="31">
        <v>4.7750000000000004</v>
      </c>
      <c r="H1050" s="31">
        <v>4.9169999999999998</v>
      </c>
      <c r="I1050" s="31">
        <v>5.0209999999999999</v>
      </c>
      <c r="K1050" s="27"/>
      <c r="L1050" s="30"/>
      <c r="M1050" s="30"/>
      <c r="N1050" s="30"/>
      <c r="O1050" s="30"/>
      <c r="P1050" s="30"/>
      <c r="Q1050" s="30"/>
      <c r="R1050" s="30"/>
      <c r="S1050" s="30"/>
    </row>
    <row r="1051" spans="1:19" x14ac:dyDescent="0.25">
      <c r="A1051" s="29">
        <v>45511</v>
      </c>
      <c r="B1051" s="31">
        <v>4.319</v>
      </c>
      <c r="C1051" s="31">
        <v>4.3259999999999996</v>
      </c>
      <c r="D1051" s="31">
        <v>4.3330000000000002</v>
      </c>
      <c r="E1051" s="31">
        <v>4.6059999999999999</v>
      </c>
      <c r="F1051" s="31">
        <v>4.633</v>
      </c>
      <c r="G1051" s="31">
        <v>4.7830000000000004</v>
      </c>
      <c r="H1051" s="31">
        <v>4.9249999999999998</v>
      </c>
      <c r="I1051" s="31">
        <v>5.0289999999999999</v>
      </c>
      <c r="K1051" s="27"/>
      <c r="L1051" s="30"/>
      <c r="M1051" s="30"/>
      <c r="N1051" s="30"/>
      <c r="O1051" s="30"/>
      <c r="P1051" s="30"/>
      <c r="Q1051" s="30"/>
      <c r="R1051" s="30"/>
      <c r="S1051" s="30"/>
    </row>
    <row r="1052" spans="1:19" x14ac:dyDescent="0.25">
      <c r="A1052" s="29">
        <v>45512</v>
      </c>
      <c r="B1052" s="31">
        <v>4.2830000000000004</v>
      </c>
      <c r="C1052" s="31">
        <v>4.2880000000000003</v>
      </c>
      <c r="D1052" s="31">
        <v>4.2919999999999998</v>
      </c>
      <c r="E1052" s="31">
        <v>4.59</v>
      </c>
      <c r="F1052" s="31">
        <v>4.617</v>
      </c>
      <c r="G1052" s="31">
        <v>4.758</v>
      </c>
      <c r="H1052" s="31">
        <v>4.9000000000000004</v>
      </c>
      <c r="I1052" s="31">
        <v>5.0039999999999996</v>
      </c>
      <c r="K1052" s="27"/>
      <c r="L1052" s="30"/>
      <c r="M1052" s="30"/>
      <c r="N1052" s="30"/>
      <c r="O1052" s="30"/>
      <c r="P1052" s="30"/>
      <c r="Q1052" s="30"/>
      <c r="R1052" s="30"/>
      <c r="S1052" s="30"/>
    </row>
    <row r="1053" spans="1:19" x14ac:dyDescent="0.25">
      <c r="A1053" s="29">
        <v>45513</v>
      </c>
      <c r="B1053" s="31">
        <v>4.2750000000000004</v>
      </c>
      <c r="C1053" s="31">
        <v>4.2770000000000001</v>
      </c>
      <c r="D1053" s="31">
        <v>4.2789999999999999</v>
      </c>
      <c r="E1053" s="31">
        <v>4.5650000000000004</v>
      </c>
      <c r="F1053" s="31">
        <v>4.5999999999999996</v>
      </c>
      <c r="G1053" s="31">
        <v>4.75</v>
      </c>
      <c r="H1053" s="31">
        <v>4.9000000000000004</v>
      </c>
      <c r="I1053" s="31">
        <v>5.0039999999999996</v>
      </c>
      <c r="K1053" s="27"/>
      <c r="L1053" s="30"/>
      <c r="M1053" s="30"/>
      <c r="N1053" s="30"/>
      <c r="O1053" s="30"/>
      <c r="P1053" s="30"/>
      <c r="Q1053" s="30"/>
      <c r="R1053" s="30"/>
      <c r="S1053" s="30"/>
    </row>
    <row r="1054" spans="1:19" x14ac:dyDescent="0.25">
      <c r="A1054" s="29">
        <v>45516</v>
      </c>
      <c r="B1054" s="31">
        <v>4.2750000000000004</v>
      </c>
      <c r="C1054" s="31">
        <v>4.2770000000000001</v>
      </c>
      <c r="D1054" s="31">
        <v>4.2789999999999999</v>
      </c>
      <c r="E1054" s="31">
        <v>4.59</v>
      </c>
      <c r="F1054" s="31">
        <v>4.617</v>
      </c>
      <c r="G1054" s="31">
        <v>4.758</v>
      </c>
      <c r="H1054" s="31">
        <v>4.9000000000000004</v>
      </c>
      <c r="I1054" s="31">
        <v>5.0039999999999996</v>
      </c>
      <c r="K1054" s="27"/>
      <c r="L1054" s="30"/>
      <c r="M1054" s="30"/>
      <c r="N1054" s="30"/>
      <c r="O1054" s="30"/>
      <c r="P1054" s="30"/>
      <c r="Q1054" s="30"/>
      <c r="R1054" s="30"/>
      <c r="S1054" s="30"/>
    </row>
    <row r="1055" spans="1:19" x14ac:dyDescent="0.25">
      <c r="A1055" s="29">
        <v>45517</v>
      </c>
      <c r="B1055" s="31">
        <v>4.2750000000000004</v>
      </c>
      <c r="C1055" s="31">
        <v>4.274</v>
      </c>
      <c r="D1055" s="31">
        <v>4.2729999999999997</v>
      </c>
      <c r="E1055" s="31">
        <v>4.59</v>
      </c>
      <c r="F1055" s="31">
        <v>4.617</v>
      </c>
      <c r="G1055" s="31">
        <v>4.758</v>
      </c>
      <c r="H1055" s="31">
        <v>4.9000000000000004</v>
      </c>
      <c r="I1055" s="31">
        <v>5.0039999999999996</v>
      </c>
      <c r="K1055" s="27"/>
      <c r="L1055" s="30"/>
      <c r="M1055" s="30"/>
      <c r="N1055" s="30"/>
      <c r="O1055" s="30"/>
      <c r="P1055" s="30"/>
      <c r="Q1055" s="30"/>
      <c r="R1055" s="30"/>
      <c r="S1055" s="30"/>
    </row>
    <row r="1056" spans="1:19" x14ac:dyDescent="0.25">
      <c r="A1056" s="29">
        <v>45518</v>
      </c>
      <c r="B1056" s="31">
        <v>4.2629999999999999</v>
      </c>
      <c r="C1056" s="31">
        <v>4.2649999999999997</v>
      </c>
      <c r="D1056" s="31">
        <v>4.2670000000000003</v>
      </c>
      <c r="E1056" s="31">
        <v>4.5730000000000004</v>
      </c>
      <c r="F1056" s="31">
        <v>4.6079999999999997</v>
      </c>
      <c r="G1056" s="31">
        <v>4.758</v>
      </c>
      <c r="H1056" s="31">
        <v>4.9000000000000004</v>
      </c>
      <c r="I1056" s="31">
        <v>5.0039999999999996</v>
      </c>
      <c r="K1056" s="27"/>
      <c r="L1056" s="30"/>
      <c r="M1056" s="30"/>
      <c r="N1056" s="30"/>
      <c r="O1056" s="30"/>
      <c r="P1056" s="30"/>
      <c r="Q1056" s="30"/>
      <c r="R1056" s="30"/>
      <c r="S1056" s="30"/>
    </row>
    <row r="1057" spans="1:19" x14ac:dyDescent="0.25">
      <c r="A1057" s="29">
        <v>45519</v>
      </c>
      <c r="B1057" s="31">
        <v>4.2649999999999997</v>
      </c>
      <c r="C1057" s="31">
        <v>4.2670000000000003</v>
      </c>
      <c r="D1057" s="31">
        <v>4.2690000000000001</v>
      </c>
      <c r="E1057" s="31">
        <v>4.5730000000000004</v>
      </c>
      <c r="F1057" s="31">
        <v>4.6079999999999997</v>
      </c>
      <c r="G1057" s="31">
        <v>4.758</v>
      </c>
      <c r="H1057" s="31">
        <v>4.9000000000000004</v>
      </c>
      <c r="I1057" s="31">
        <v>5.0039999999999996</v>
      </c>
      <c r="K1057" s="27"/>
      <c r="L1057" s="30"/>
      <c r="M1057" s="30"/>
      <c r="N1057" s="30"/>
      <c r="O1057" s="30"/>
      <c r="P1057" s="30"/>
      <c r="Q1057" s="30"/>
      <c r="R1057" s="30"/>
      <c r="S1057" s="30"/>
    </row>
    <row r="1058" spans="1:19" x14ac:dyDescent="0.25">
      <c r="A1058" s="29">
        <v>45520</v>
      </c>
      <c r="B1058" s="31">
        <v>4.258</v>
      </c>
      <c r="C1058" s="31">
        <v>4.2629999999999999</v>
      </c>
      <c r="D1058" s="31">
        <v>4.2670000000000003</v>
      </c>
      <c r="E1058" s="31">
        <v>4.585</v>
      </c>
      <c r="F1058" s="31">
        <v>4.6130000000000004</v>
      </c>
      <c r="G1058" s="31">
        <v>4.7539999999999996</v>
      </c>
      <c r="H1058" s="31">
        <v>4.8959999999999999</v>
      </c>
      <c r="I1058" s="31">
        <v>5.0039999999999996</v>
      </c>
      <c r="K1058" s="27"/>
      <c r="L1058" s="30"/>
      <c r="M1058" s="30"/>
      <c r="N1058" s="30"/>
      <c r="O1058" s="30"/>
      <c r="P1058" s="30"/>
      <c r="Q1058" s="30"/>
      <c r="R1058" s="30"/>
      <c r="S1058" s="30"/>
    </row>
    <row r="1059" spans="1:19" x14ac:dyDescent="0.25">
      <c r="A1059" s="29">
        <v>45523</v>
      </c>
      <c r="B1059" s="31">
        <v>4.242</v>
      </c>
      <c r="C1059" s="31">
        <v>4.2460000000000004</v>
      </c>
      <c r="D1059" s="31">
        <v>4.25</v>
      </c>
      <c r="E1059" s="31">
        <v>4.585</v>
      </c>
      <c r="F1059" s="31">
        <v>4.6130000000000004</v>
      </c>
      <c r="G1059" s="31">
        <v>4.7539999999999996</v>
      </c>
      <c r="H1059" s="31">
        <v>4.8959999999999999</v>
      </c>
      <c r="I1059" s="31">
        <v>5.0039999999999996</v>
      </c>
      <c r="K1059" s="27"/>
      <c r="L1059" s="30"/>
      <c r="M1059" s="30"/>
      <c r="N1059" s="30"/>
      <c r="O1059" s="30"/>
      <c r="P1059" s="30"/>
      <c r="Q1059" s="30"/>
      <c r="R1059" s="30"/>
      <c r="S1059" s="30"/>
    </row>
    <row r="1060" spans="1:19" x14ac:dyDescent="0.25">
      <c r="A1060" s="29">
        <v>45524</v>
      </c>
      <c r="B1060" s="31">
        <v>4.25</v>
      </c>
      <c r="C1060" s="31">
        <v>4.25</v>
      </c>
      <c r="D1060" s="31">
        <v>4.25</v>
      </c>
      <c r="E1060" s="31">
        <v>4.585</v>
      </c>
      <c r="F1060" s="31">
        <v>4.6130000000000004</v>
      </c>
      <c r="G1060" s="31">
        <v>4.7539999999999996</v>
      </c>
      <c r="H1060" s="31">
        <v>4.8959999999999999</v>
      </c>
      <c r="I1060" s="31">
        <v>5.0039999999999996</v>
      </c>
      <c r="K1060" s="27"/>
      <c r="L1060" s="30"/>
      <c r="M1060" s="30"/>
      <c r="N1060" s="30"/>
      <c r="O1060" s="30"/>
      <c r="P1060" s="30"/>
      <c r="Q1060" s="30"/>
      <c r="R1060" s="30"/>
      <c r="S1060" s="30"/>
    </row>
    <row r="1061" spans="1:19" x14ac:dyDescent="0.25">
      <c r="A1061" s="29">
        <v>45525</v>
      </c>
      <c r="B1061" s="31">
        <v>4.1710000000000003</v>
      </c>
      <c r="C1061" s="31">
        <v>4.1790000000000003</v>
      </c>
      <c r="D1061" s="31">
        <v>4.1879999999999997</v>
      </c>
      <c r="E1061" s="31">
        <v>4.5039999999999996</v>
      </c>
      <c r="F1061" s="31">
        <v>4.5380000000000003</v>
      </c>
      <c r="G1061" s="31">
        <v>4.7130000000000001</v>
      </c>
      <c r="H1061" s="31">
        <v>4.8540000000000001</v>
      </c>
      <c r="I1061" s="31">
        <v>4.9630000000000001</v>
      </c>
      <c r="K1061" s="27"/>
      <c r="L1061" s="30"/>
      <c r="M1061" s="30"/>
      <c r="N1061" s="30"/>
      <c r="O1061" s="30"/>
      <c r="P1061" s="30"/>
      <c r="Q1061" s="30"/>
      <c r="R1061" s="30"/>
      <c r="S1061" s="30"/>
    </row>
    <row r="1062" spans="1:19" x14ac:dyDescent="0.25">
      <c r="A1062" s="29">
        <v>45526</v>
      </c>
      <c r="B1062" s="31">
        <v>4.1669999999999998</v>
      </c>
      <c r="C1062" s="31">
        <v>4.1769999999999996</v>
      </c>
      <c r="D1062" s="31">
        <v>4.1879999999999997</v>
      </c>
      <c r="E1062" s="31">
        <v>4.4669999999999996</v>
      </c>
      <c r="F1062" s="31">
        <v>4.5</v>
      </c>
      <c r="G1062" s="31">
        <v>4.6920000000000002</v>
      </c>
      <c r="H1062" s="31">
        <v>4.8380000000000001</v>
      </c>
      <c r="I1062" s="31">
        <v>4.9459999999999997</v>
      </c>
      <c r="K1062" s="27"/>
      <c r="L1062" s="30"/>
      <c r="M1062" s="30"/>
      <c r="N1062" s="30"/>
      <c r="O1062" s="30"/>
      <c r="P1062" s="30"/>
      <c r="Q1062" s="30"/>
      <c r="R1062" s="30"/>
      <c r="S1062" s="30"/>
    </row>
    <row r="1063" spans="1:19" x14ac:dyDescent="0.25">
      <c r="A1063" s="29">
        <v>45527</v>
      </c>
      <c r="B1063" s="31">
        <v>4.165</v>
      </c>
      <c r="C1063" s="31">
        <v>4.1790000000000003</v>
      </c>
      <c r="D1063" s="31">
        <v>4.194</v>
      </c>
      <c r="E1063" s="31">
        <v>4.45</v>
      </c>
      <c r="F1063" s="31">
        <v>4.5</v>
      </c>
      <c r="G1063" s="31">
        <v>4.6920000000000002</v>
      </c>
      <c r="H1063" s="31">
        <v>4.8380000000000001</v>
      </c>
      <c r="I1063" s="31">
        <v>4.9459999999999997</v>
      </c>
      <c r="K1063" s="27"/>
      <c r="L1063" s="30"/>
      <c r="M1063" s="30"/>
      <c r="N1063" s="30"/>
      <c r="O1063" s="30"/>
      <c r="P1063" s="30"/>
      <c r="Q1063" s="30"/>
      <c r="R1063" s="30"/>
      <c r="S1063" s="30"/>
    </row>
    <row r="1064" spans="1:19" x14ac:dyDescent="0.25">
      <c r="A1064" s="29">
        <v>45530</v>
      </c>
      <c r="B1064" s="31">
        <v>4.1749999999999998</v>
      </c>
      <c r="C1064" s="31">
        <v>4.1959999999999997</v>
      </c>
      <c r="D1064" s="31">
        <v>4.2169999999999996</v>
      </c>
      <c r="E1064" s="31">
        <v>4.4329999999999998</v>
      </c>
      <c r="F1064" s="31">
        <v>4.492</v>
      </c>
      <c r="G1064" s="31">
        <v>4.6920000000000002</v>
      </c>
      <c r="H1064" s="31">
        <v>4.8380000000000001</v>
      </c>
      <c r="I1064" s="31">
        <v>4.9459999999999997</v>
      </c>
      <c r="K1064" s="27"/>
      <c r="L1064" s="30"/>
      <c r="M1064" s="30"/>
      <c r="N1064" s="30"/>
      <c r="O1064" s="30"/>
      <c r="P1064" s="30"/>
      <c r="Q1064" s="30"/>
      <c r="R1064" s="30"/>
      <c r="S1064" s="30"/>
    </row>
    <row r="1065" spans="1:19" x14ac:dyDescent="0.25">
      <c r="A1065" s="29">
        <v>45531</v>
      </c>
      <c r="B1065" s="31">
        <v>4.1749999999999998</v>
      </c>
      <c r="C1065" s="31">
        <v>4.1920000000000002</v>
      </c>
      <c r="D1065" s="31">
        <v>4.2080000000000002</v>
      </c>
      <c r="E1065" s="31">
        <v>4.4420000000000002</v>
      </c>
      <c r="F1065" s="31">
        <v>4.5</v>
      </c>
      <c r="G1065" s="31">
        <v>4.6920000000000002</v>
      </c>
      <c r="H1065" s="31">
        <v>4.8380000000000001</v>
      </c>
      <c r="I1065" s="31">
        <v>4.9459999999999997</v>
      </c>
      <c r="K1065" s="27"/>
      <c r="L1065" s="30"/>
      <c r="M1065" s="30"/>
      <c r="N1065" s="30"/>
      <c r="O1065" s="30"/>
      <c r="P1065" s="30"/>
      <c r="Q1065" s="30"/>
      <c r="R1065" s="30"/>
      <c r="S1065" s="30"/>
    </row>
    <row r="1066" spans="1:19" x14ac:dyDescent="0.25">
      <c r="A1066" s="29">
        <v>45532</v>
      </c>
      <c r="B1066" s="31">
        <v>4.1539999999999999</v>
      </c>
      <c r="C1066" s="31">
        <v>4.1710000000000003</v>
      </c>
      <c r="D1066" s="31">
        <v>4.1879999999999997</v>
      </c>
      <c r="E1066" s="31">
        <v>4.4420000000000002</v>
      </c>
      <c r="F1066" s="31">
        <v>4.5</v>
      </c>
      <c r="G1066" s="31">
        <v>4.6920000000000002</v>
      </c>
      <c r="H1066" s="31">
        <v>4.8380000000000001</v>
      </c>
      <c r="I1066" s="31">
        <v>4.9459999999999997</v>
      </c>
      <c r="K1066" s="27"/>
      <c r="L1066" s="30"/>
      <c r="M1066" s="30"/>
      <c r="N1066" s="30"/>
      <c r="O1066" s="30"/>
      <c r="P1066" s="30"/>
      <c r="Q1066" s="30"/>
      <c r="R1066" s="30"/>
      <c r="S1066" s="30"/>
    </row>
    <row r="1067" spans="1:19" x14ac:dyDescent="0.25">
      <c r="A1067" s="29">
        <v>45533</v>
      </c>
      <c r="B1067" s="31">
        <v>4.1459999999999999</v>
      </c>
      <c r="C1067" s="31">
        <v>4.16</v>
      </c>
      <c r="D1067" s="31">
        <v>4.1749999999999998</v>
      </c>
      <c r="E1067" s="31">
        <v>4.4420000000000002</v>
      </c>
      <c r="F1067" s="31">
        <v>4.5</v>
      </c>
      <c r="G1067" s="31">
        <v>4.6920000000000002</v>
      </c>
      <c r="H1067" s="31">
        <v>4.8380000000000001</v>
      </c>
      <c r="I1067" s="31">
        <v>4.9290000000000003</v>
      </c>
      <c r="K1067" s="27"/>
      <c r="L1067" s="30"/>
      <c r="M1067" s="30"/>
      <c r="N1067" s="30"/>
      <c r="O1067" s="30"/>
      <c r="P1067" s="30"/>
      <c r="Q1067" s="30"/>
      <c r="R1067" s="30"/>
      <c r="S1067" s="30"/>
    </row>
    <row r="1068" spans="1:19" x14ac:dyDescent="0.25">
      <c r="A1068" s="29">
        <v>45534</v>
      </c>
      <c r="B1068" s="31">
        <v>4.1079999999999997</v>
      </c>
      <c r="C1068" s="31">
        <v>4.1360000000000001</v>
      </c>
      <c r="D1068" s="31">
        <v>4.165</v>
      </c>
      <c r="E1068" s="31">
        <v>4.4420000000000002</v>
      </c>
      <c r="F1068" s="31">
        <v>4.5</v>
      </c>
      <c r="G1068" s="31">
        <v>4.6920000000000002</v>
      </c>
      <c r="H1068" s="31">
        <v>4.8380000000000001</v>
      </c>
      <c r="I1068" s="31">
        <v>4.9290000000000003</v>
      </c>
      <c r="K1068" s="27"/>
      <c r="L1068" s="30"/>
      <c r="M1068" s="30"/>
      <c r="N1068" s="30"/>
      <c r="O1068" s="30"/>
      <c r="P1068" s="30"/>
      <c r="Q1068" s="30"/>
      <c r="R1068" s="30"/>
      <c r="S1068" s="30"/>
    </row>
    <row r="1069" spans="1:19" x14ac:dyDescent="0.25">
      <c r="A1069" s="29">
        <v>45539</v>
      </c>
      <c r="B1069" s="31">
        <v>4.1079999999999997</v>
      </c>
      <c r="C1069" s="31">
        <v>4.1280000000000001</v>
      </c>
      <c r="D1069" s="31">
        <v>4.1479999999999997</v>
      </c>
      <c r="E1069" s="31">
        <v>4.4400000000000004</v>
      </c>
      <c r="F1069" s="31">
        <v>4.492</v>
      </c>
      <c r="G1069" s="31">
        <v>4.6829999999999998</v>
      </c>
      <c r="H1069" s="31">
        <v>4.8380000000000001</v>
      </c>
      <c r="I1069" s="31">
        <v>4.9459999999999997</v>
      </c>
      <c r="K1069" s="27"/>
      <c r="L1069" s="30"/>
      <c r="M1069" s="30"/>
      <c r="N1069" s="30"/>
      <c r="O1069" s="30"/>
      <c r="P1069" s="30"/>
      <c r="Q1069" s="30"/>
      <c r="R1069" s="30"/>
      <c r="S1069" s="30"/>
    </row>
    <row r="1070" spans="1:19" x14ac:dyDescent="0.25">
      <c r="A1070" s="29">
        <v>45540</v>
      </c>
      <c r="B1070" s="31">
        <v>4.085</v>
      </c>
      <c r="C1070" s="31">
        <v>4.1139999999999999</v>
      </c>
      <c r="D1070" s="31">
        <v>4.1420000000000003</v>
      </c>
      <c r="E1070" s="31">
        <v>4.4400000000000004</v>
      </c>
      <c r="F1070" s="31">
        <v>4.492</v>
      </c>
      <c r="G1070" s="31">
        <v>4.6829999999999998</v>
      </c>
      <c r="H1070" s="31">
        <v>4.8380000000000001</v>
      </c>
      <c r="I1070" s="31">
        <v>4.9459999999999997</v>
      </c>
      <c r="K1070" s="27"/>
      <c r="L1070" s="30"/>
      <c r="M1070" s="30"/>
      <c r="N1070" s="30"/>
      <c r="O1070" s="30"/>
      <c r="P1070" s="30"/>
      <c r="Q1070" s="30"/>
      <c r="R1070" s="30"/>
      <c r="S1070" s="30"/>
    </row>
    <row r="1071" spans="1:19" x14ac:dyDescent="0.25">
      <c r="A1071" s="29">
        <v>45541</v>
      </c>
      <c r="B1071" s="31">
        <v>4.0819999999999999</v>
      </c>
      <c r="C1071" s="31">
        <v>4.1059999999999999</v>
      </c>
      <c r="D1071" s="31">
        <v>4.13</v>
      </c>
      <c r="E1071" s="31">
        <v>4.45</v>
      </c>
      <c r="F1071" s="31">
        <v>4.4950000000000001</v>
      </c>
      <c r="G1071" s="31">
        <v>4.6859999999999999</v>
      </c>
      <c r="H1071" s="31">
        <v>4.8550000000000004</v>
      </c>
      <c r="I1071" s="31">
        <v>4.9550000000000001</v>
      </c>
      <c r="K1071" s="27"/>
      <c r="L1071" s="30"/>
      <c r="M1071" s="30"/>
      <c r="N1071" s="30"/>
      <c r="O1071" s="30"/>
      <c r="P1071" s="30"/>
      <c r="Q1071" s="30"/>
      <c r="R1071" s="30"/>
      <c r="S1071" s="30"/>
    </row>
    <row r="1072" spans="1:19" x14ac:dyDescent="0.25">
      <c r="A1072" s="29">
        <v>45544</v>
      </c>
      <c r="B1072" s="31">
        <v>4.077</v>
      </c>
      <c r="C1072" s="31">
        <v>4.1029999999999998</v>
      </c>
      <c r="D1072" s="31">
        <v>4.13</v>
      </c>
      <c r="E1072" s="31">
        <v>4.4409999999999998</v>
      </c>
      <c r="F1072" s="31">
        <v>4.4950000000000001</v>
      </c>
      <c r="G1072" s="31">
        <v>4.6859999999999999</v>
      </c>
      <c r="H1072" s="31">
        <v>4.8449999999999998</v>
      </c>
      <c r="I1072" s="31">
        <v>4.9359999999999999</v>
      </c>
      <c r="K1072" s="27"/>
      <c r="L1072" s="30"/>
      <c r="M1072" s="30"/>
      <c r="N1072" s="30"/>
      <c r="O1072" s="30"/>
      <c r="P1072" s="30"/>
      <c r="Q1072" s="30"/>
      <c r="R1072" s="30"/>
      <c r="S1072" s="30"/>
    </row>
    <row r="1073" spans="1:19" x14ac:dyDescent="0.25">
      <c r="A1073" s="29">
        <v>45545</v>
      </c>
      <c r="B1073" s="31">
        <v>4.077</v>
      </c>
      <c r="C1073" s="31">
        <v>4.101</v>
      </c>
      <c r="D1073" s="31">
        <v>4.125</v>
      </c>
      <c r="E1073" s="31">
        <v>4.4409999999999998</v>
      </c>
      <c r="F1073" s="31">
        <v>4.4950000000000001</v>
      </c>
      <c r="G1073" s="31">
        <v>4.6859999999999999</v>
      </c>
      <c r="H1073" s="31">
        <v>4.8449999999999998</v>
      </c>
      <c r="I1073" s="31">
        <v>4.9359999999999999</v>
      </c>
      <c r="K1073" s="27"/>
      <c r="L1073" s="30"/>
      <c r="M1073" s="30"/>
      <c r="N1073" s="30"/>
      <c r="O1073" s="30"/>
      <c r="P1073" s="30"/>
      <c r="Q1073" s="30"/>
      <c r="R1073" s="30"/>
      <c r="S1073" s="30"/>
    </row>
    <row r="1074" spans="1:19" x14ac:dyDescent="0.25">
      <c r="A1074" s="29">
        <v>45546</v>
      </c>
      <c r="B1074" s="31">
        <v>4.0839999999999996</v>
      </c>
      <c r="C1074" s="31">
        <v>4.0990000000000002</v>
      </c>
      <c r="D1074" s="31">
        <v>4.1139999999999999</v>
      </c>
      <c r="E1074" s="31">
        <v>4.4409999999999998</v>
      </c>
      <c r="F1074" s="31">
        <v>4.4950000000000001</v>
      </c>
      <c r="G1074" s="31">
        <v>4.6859999999999999</v>
      </c>
      <c r="H1074" s="31">
        <v>4.8449999999999998</v>
      </c>
      <c r="I1074" s="31">
        <v>4.9269999999999996</v>
      </c>
      <c r="K1074" s="27"/>
      <c r="L1074" s="30"/>
      <c r="M1074" s="30"/>
      <c r="N1074" s="30"/>
      <c r="O1074" s="30"/>
      <c r="P1074" s="30"/>
      <c r="Q1074" s="30"/>
      <c r="R1074" s="30"/>
      <c r="S1074" s="30"/>
    </row>
    <row r="1075" spans="1:19" x14ac:dyDescent="0.25">
      <c r="A1075" s="29">
        <v>45547</v>
      </c>
      <c r="B1075" s="31">
        <v>3.9590000000000001</v>
      </c>
      <c r="C1075" s="31">
        <v>3.9820000000000002</v>
      </c>
      <c r="D1075" s="31">
        <v>4.0049999999999999</v>
      </c>
      <c r="E1075" s="31">
        <v>4.423</v>
      </c>
      <c r="F1075" s="31">
        <v>4.4859999999999998</v>
      </c>
      <c r="G1075" s="31">
        <v>4.6820000000000004</v>
      </c>
      <c r="H1075" s="31">
        <v>4.8410000000000002</v>
      </c>
      <c r="I1075" s="31">
        <v>4.923</v>
      </c>
      <c r="K1075" s="27"/>
      <c r="L1075" s="30"/>
      <c r="M1075" s="30"/>
      <c r="N1075" s="30"/>
      <c r="O1075" s="30"/>
      <c r="P1075" s="30"/>
      <c r="Q1075" s="30"/>
      <c r="R1075" s="30"/>
      <c r="S1075" s="30"/>
    </row>
    <row r="1076" spans="1:19" x14ac:dyDescent="0.25">
      <c r="A1076" s="29">
        <v>45548</v>
      </c>
      <c r="B1076" s="31">
        <v>3.6480000000000001</v>
      </c>
      <c r="C1076" s="31">
        <v>3.7069999999999999</v>
      </c>
      <c r="D1076" s="31">
        <v>3.766</v>
      </c>
      <c r="E1076" s="31">
        <v>4.3179999999999996</v>
      </c>
      <c r="F1076" s="31">
        <v>4.4139999999999997</v>
      </c>
      <c r="G1076" s="31">
        <v>4.5999999999999996</v>
      </c>
      <c r="H1076" s="31">
        <v>4.7140000000000004</v>
      </c>
      <c r="I1076" s="31">
        <v>4.7949999999999999</v>
      </c>
      <c r="K1076" s="27"/>
      <c r="L1076" s="30"/>
      <c r="M1076" s="30"/>
      <c r="N1076" s="30"/>
      <c r="O1076" s="30"/>
      <c r="P1076" s="30"/>
      <c r="Q1076" s="30"/>
      <c r="R1076" s="30"/>
      <c r="S1076" s="30"/>
    </row>
    <row r="1077" spans="1:19" x14ac:dyDescent="0.25">
      <c r="A1077" s="29">
        <v>45551</v>
      </c>
      <c r="B1077" s="31">
        <v>3.3359999999999999</v>
      </c>
      <c r="C1077" s="31">
        <v>3.427</v>
      </c>
      <c r="D1077" s="31">
        <v>3.5179999999999998</v>
      </c>
      <c r="E1077" s="31">
        <v>4.327</v>
      </c>
      <c r="F1077" s="31">
        <v>4.4359999999999999</v>
      </c>
      <c r="G1077" s="31">
        <v>4.6230000000000002</v>
      </c>
      <c r="H1077" s="31">
        <v>4.7270000000000003</v>
      </c>
      <c r="I1077" s="31">
        <v>4.8090000000000002</v>
      </c>
      <c r="K1077" s="27"/>
      <c r="L1077" s="30"/>
      <c r="M1077" s="30"/>
      <c r="N1077" s="30"/>
      <c r="O1077" s="30"/>
      <c r="P1077" s="30"/>
      <c r="Q1077" s="30"/>
      <c r="R1077" s="30"/>
      <c r="S1077" s="30"/>
    </row>
    <row r="1078" spans="1:19" x14ac:dyDescent="0.25">
      <c r="A1078" s="29">
        <v>45552</v>
      </c>
      <c r="B1078" s="31">
        <v>3.2360000000000002</v>
      </c>
      <c r="C1078" s="31">
        <v>3.29</v>
      </c>
      <c r="D1078" s="31">
        <v>3.343</v>
      </c>
      <c r="E1078" s="31">
        <v>4.3090000000000002</v>
      </c>
      <c r="F1078" s="31">
        <v>4.4359999999999999</v>
      </c>
      <c r="G1078" s="31">
        <v>4.6230000000000002</v>
      </c>
      <c r="H1078" s="31">
        <v>4.7270000000000003</v>
      </c>
      <c r="I1078" s="31">
        <v>4.8090000000000002</v>
      </c>
      <c r="K1078" s="27"/>
      <c r="L1078" s="30"/>
      <c r="M1078" s="30"/>
      <c r="N1078" s="30"/>
      <c r="O1078" s="30"/>
      <c r="P1078" s="30"/>
      <c r="Q1078" s="30"/>
      <c r="R1078" s="30"/>
      <c r="S1078" s="30"/>
    </row>
    <row r="1079" spans="1:19" x14ac:dyDescent="0.25">
      <c r="A1079" s="29">
        <v>45553</v>
      </c>
      <c r="B1079" s="31">
        <v>3.2770000000000001</v>
      </c>
      <c r="C1079" s="31">
        <v>3.3380000000000001</v>
      </c>
      <c r="D1079" s="31">
        <v>3.3980000000000001</v>
      </c>
      <c r="E1079" s="31">
        <v>4.3</v>
      </c>
      <c r="F1079" s="31">
        <v>4.4359999999999999</v>
      </c>
      <c r="G1079" s="31">
        <v>4.6050000000000004</v>
      </c>
      <c r="H1079" s="31">
        <v>4.7089999999999996</v>
      </c>
      <c r="I1079" s="31">
        <v>4.8</v>
      </c>
      <c r="K1079" s="27"/>
      <c r="L1079" s="30"/>
      <c r="M1079" s="30"/>
      <c r="N1079" s="30"/>
      <c r="O1079" s="30"/>
      <c r="P1079" s="30"/>
      <c r="Q1079" s="30"/>
      <c r="R1079" s="30"/>
      <c r="S1079" s="30"/>
    </row>
    <row r="1080" spans="1:19" x14ac:dyDescent="0.25">
      <c r="A1080" s="29">
        <v>45554</v>
      </c>
      <c r="B1080" s="31">
        <v>3.3410000000000002</v>
      </c>
      <c r="C1080" s="31">
        <v>3.3969999999999998</v>
      </c>
      <c r="D1080" s="31">
        <v>3.452</v>
      </c>
      <c r="E1080" s="31">
        <v>4.3</v>
      </c>
      <c r="F1080" s="31">
        <v>4.4359999999999999</v>
      </c>
      <c r="G1080" s="31">
        <v>4.5999999999999996</v>
      </c>
      <c r="H1080" s="31">
        <v>4.7050000000000001</v>
      </c>
      <c r="I1080" s="31">
        <v>4.7949999999999999</v>
      </c>
      <c r="K1080" s="27"/>
      <c r="L1080" s="30"/>
      <c r="M1080" s="30"/>
      <c r="N1080" s="30"/>
      <c r="O1080" s="30"/>
      <c r="P1080" s="30"/>
      <c r="Q1080" s="30"/>
      <c r="R1080" s="30"/>
      <c r="S1080" s="30"/>
    </row>
    <row r="1081" spans="1:19" x14ac:dyDescent="0.25">
      <c r="A1081" s="29">
        <v>45555</v>
      </c>
      <c r="B1081" s="31">
        <v>3.63</v>
      </c>
      <c r="C1081" s="31">
        <v>3.63</v>
      </c>
      <c r="D1081" s="31">
        <v>3.63</v>
      </c>
      <c r="E1081" s="31">
        <v>4.2770000000000001</v>
      </c>
      <c r="F1081" s="31">
        <v>4.4180000000000001</v>
      </c>
      <c r="G1081" s="31">
        <v>4.5999999999999996</v>
      </c>
      <c r="H1081" s="31">
        <v>4.7140000000000004</v>
      </c>
      <c r="I1081" s="31">
        <v>4.7859999999999996</v>
      </c>
      <c r="K1081" s="27"/>
      <c r="L1081" s="30"/>
      <c r="M1081" s="30"/>
      <c r="N1081" s="30"/>
      <c r="O1081" s="30"/>
      <c r="P1081" s="30"/>
      <c r="Q1081" s="30"/>
      <c r="R1081" s="30"/>
      <c r="S1081" s="30"/>
    </row>
    <row r="1082" spans="1:19" x14ac:dyDescent="0.25">
      <c r="A1082" s="29">
        <v>45558</v>
      </c>
      <c r="B1082" s="31">
        <v>3.7570000000000001</v>
      </c>
      <c r="C1082" s="31">
        <v>3.7639999999999998</v>
      </c>
      <c r="D1082" s="31">
        <v>3.77</v>
      </c>
      <c r="E1082" s="31">
        <v>4.3049999999999997</v>
      </c>
      <c r="F1082" s="31">
        <v>4.4359999999999999</v>
      </c>
      <c r="G1082" s="31">
        <v>4.609</v>
      </c>
      <c r="H1082" s="31">
        <v>4.7050000000000001</v>
      </c>
      <c r="I1082" s="31">
        <v>4.7859999999999996</v>
      </c>
      <c r="K1082" s="27"/>
      <c r="L1082" s="30"/>
      <c r="M1082" s="30"/>
      <c r="N1082" s="30"/>
      <c r="O1082" s="30"/>
      <c r="P1082" s="30"/>
      <c r="Q1082" s="30"/>
      <c r="R1082" s="30"/>
      <c r="S1082" s="30"/>
    </row>
    <row r="1083" spans="1:19" x14ac:dyDescent="0.25">
      <c r="A1083" s="29">
        <v>45559</v>
      </c>
      <c r="B1083" s="31">
        <v>3.895</v>
      </c>
      <c r="C1083" s="31">
        <v>3.9319999999999999</v>
      </c>
      <c r="D1083" s="31">
        <v>3.968</v>
      </c>
      <c r="E1083" s="31">
        <v>4.3140000000000001</v>
      </c>
      <c r="F1083" s="31">
        <v>4.4359999999999999</v>
      </c>
      <c r="G1083" s="31">
        <v>4.609</v>
      </c>
      <c r="H1083" s="31">
        <v>4.7050000000000001</v>
      </c>
      <c r="I1083" s="31">
        <v>4.7859999999999996</v>
      </c>
      <c r="K1083" s="27"/>
      <c r="L1083" s="30"/>
      <c r="M1083" s="30"/>
      <c r="N1083" s="30"/>
      <c r="O1083" s="30"/>
      <c r="P1083" s="30"/>
      <c r="Q1083" s="30"/>
      <c r="R1083" s="30"/>
      <c r="S1083" s="30"/>
    </row>
    <row r="1084" spans="1:19" x14ac:dyDescent="0.25">
      <c r="A1084" s="29">
        <v>45560</v>
      </c>
      <c r="B1084" s="31">
        <v>3.9409999999999998</v>
      </c>
      <c r="C1084" s="31">
        <v>3.9449999999999998</v>
      </c>
      <c r="D1084" s="31">
        <v>3.95</v>
      </c>
      <c r="E1084" s="31">
        <v>4.3360000000000003</v>
      </c>
      <c r="F1084" s="31">
        <v>4.4409999999999998</v>
      </c>
      <c r="G1084" s="31">
        <v>4.6139999999999999</v>
      </c>
      <c r="H1084" s="31">
        <v>4.7089999999999996</v>
      </c>
      <c r="I1084" s="31">
        <v>4.7910000000000004</v>
      </c>
      <c r="K1084" s="27"/>
      <c r="L1084" s="30"/>
      <c r="M1084" s="30"/>
      <c r="N1084" s="30"/>
      <c r="O1084" s="30"/>
      <c r="P1084" s="30"/>
      <c r="Q1084" s="30"/>
      <c r="R1084" s="30"/>
      <c r="S1084" s="30"/>
    </row>
    <row r="1085" spans="1:19" x14ac:dyDescent="0.25">
      <c r="A1085" s="29">
        <v>45561</v>
      </c>
      <c r="B1085" s="31">
        <v>3.911</v>
      </c>
      <c r="C1085" s="31">
        <v>3.9180000000000001</v>
      </c>
      <c r="D1085" s="31">
        <v>3.9249999999999998</v>
      </c>
      <c r="E1085" s="31">
        <v>4.327</v>
      </c>
      <c r="F1085" s="31">
        <v>4.4320000000000004</v>
      </c>
      <c r="G1085" s="31">
        <v>4.6139999999999999</v>
      </c>
      <c r="H1085" s="31">
        <v>4.7089999999999996</v>
      </c>
      <c r="I1085" s="31">
        <v>4.7910000000000004</v>
      </c>
      <c r="K1085" s="27"/>
      <c r="L1085" s="30"/>
      <c r="M1085" s="30"/>
      <c r="N1085" s="30"/>
      <c r="O1085" s="30"/>
      <c r="P1085" s="30"/>
      <c r="Q1085" s="30"/>
      <c r="R1085" s="30"/>
      <c r="S1085" s="30"/>
    </row>
    <row r="1086" spans="1:19" x14ac:dyDescent="0.25">
      <c r="A1086" s="29">
        <v>45562</v>
      </c>
      <c r="B1086" s="31">
        <v>3.891</v>
      </c>
      <c r="C1086" s="31">
        <v>3.8980000000000001</v>
      </c>
      <c r="D1086" s="31">
        <v>3.9049999999999998</v>
      </c>
      <c r="E1086" s="31">
        <v>4.327</v>
      </c>
      <c r="F1086" s="31">
        <v>4.4320000000000004</v>
      </c>
      <c r="G1086" s="31">
        <v>4.6139999999999999</v>
      </c>
      <c r="H1086" s="31">
        <v>4.7089999999999996</v>
      </c>
      <c r="I1086" s="31">
        <v>4.7910000000000004</v>
      </c>
      <c r="K1086" s="27"/>
      <c r="L1086" s="30"/>
      <c r="M1086" s="30"/>
      <c r="N1086" s="30"/>
      <c r="O1086" s="30"/>
      <c r="P1086" s="30"/>
      <c r="Q1086" s="30"/>
      <c r="R1086" s="30"/>
      <c r="S1086" s="30"/>
    </row>
    <row r="1087" spans="1:19" x14ac:dyDescent="0.25">
      <c r="A1087" s="29">
        <v>45565</v>
      </c>
      <c r="B1087" s="31">
        <v>3.907</v>
      </c>
      <c r="C1087" s="31">
        <v>3.915</v>
      </c>
      <c r="D1087" s="31">
        <v>3.923</v>
      </c>
      <c r="E1087" s="31">
        <v>4.327</v>
      </c>
      <c r="F1087" s="31">
        <v>4.4320000000000004</v>
      </c>
      <c r="G1087" s="31">
        <v>4.6139999999999999</v>
      </c>
      <c r="H1087" s="31">
        <v>4.7089999999999996</v>
      </c>
      <c r="I1087" s="31">
        <v>4.7910000000000004</v>
      </c>
      <c r="K1087" s="27"/>
      <c r="L1087" s="30"/>
      <c r="M1087" s="30"/>
      <c r="N1087" s="30"/>
      <c r="O1087" s="30"/>
      <c r="P1087" s="30"/>
      <c r="Q1087" s="30"/>
      <c r="R1087" s="30"/>
      <c r="S1087" s="30"/>
    </row>
    <row r="1088" spans="1:19" x14ac:dyDescent="0.25">
      <c r="A1088" s="29">
        <v>45566</v>
      </c>
      <c r="B1088" s="31">
        <v>3.9</v>
      </c>
      <c r="C1088" s="31">
        <v>3.9089999999999998</v>
      </c>
      <c r="D1088" s="31">
        <v>3.9180000000000001</v>
      </c>
      <c r="E1088" s="31">
        <v>4.327</v>
      </c>
      <c r="F1088" s="31">
        <v>4.4320000000000004</v>
      </c>
      <c r="G1088" s="31">
        <v>4.6139999999999999</v>
      </c>
      <c r="H1088" s="31">
        <v>4.7089999999999996</v>
      </c>
      <c r="I1088" s="31">
        <v>4.7910000000000004</v>
      </c>
      <c r="K1088" s="27"/>
      <c r="L1088" s="30"/>
      <c r="M1088" s="30"/>
      <c r="N1088" s="30"/>
      <c r="O1088" s="30"/>
      <c r="P1088" s="30"/>
      <c r="Q1088" s="30"/>
      <c r="R1088" s="30"/>
      <c r="S1088" s="30"/>
    </row>
    <row r="1089" spans="1:19" x14ac:dyDescent="0.25">
      <c r="A1089" s="29">
        <v>45567</v>
      </c>
      <c r="B1089" s="31">
        <v>3.802</v>
      </c>
      <c r="C1089" s="31">
        <v>3.8140000000000001</v>
      </c>
      <c r="D1089" s="31">
        <v>3.8250000000000002</v>
      </c>
      <c r="E1089" s="31">
        <v>4.327</v>
      </c>
      <c r="F1089" s="31">
        <v>4.4320000000000004</v>
      </c>
      <c r="G1089" s="31">
        <v>4.6139999999999999</v>
      </c>
      <c r="H1089" s="31">
        <v>4.7089999999999996</v>
      </c>
      <c r="I1089" s="31">
        <v>4.7910000000000004</v>
      </c>
      <c r="K1089" s="27"/>
      <c r="L1089" s="30"/>
      <c r="M1089" s="30"/>
      <c r="N1089" s="30"/>
      <c r="O1089" s="30"/>
      <c r="P1089" s="30"/>
      <c r="Q1089" s="30"/>
      <c r="R1089" s="30"/>
      <c r="S1089" s="30"/>
    </row>
    <row r="1090" spans="1:19" x14ac:dyDescent="0.25">
      <c r="A1090" s="29">
        <v>45568</v>
      </c>
      <c r="B1090" s="31">
        <v>3.6040000000000001</v>
      </c>
      <c r="C1090" s="31">
        <v>3.6579999999999999</v>
      </c>
      <c r="D1090" s="31">
        <v>3.7130000000000001</v>
      </c>
      <c r="E1090" s="31">
        <v>4.2629999999999999</v>
      </c>
      <c r="F1090" s="31">
        <v>4.375</v>
      </c>
      <c r="G1090" s="31">
        <v>4.5750000000000002</v>
      </c>
      <c r="H1090" s="31">
        <v>4.6879999999999997</v>
      </c>
      <c r="I1090" s="31">
        <v>4.7539999999999996</v>
      </c>
      <c r="K1090" s="27"/>
      <c r="L1090" s="30"/>
      <c r="M1090" s="30"/>
      <c r="N1090" s="30"/>
      <c r="O1090" s="30"/>
      <c r="P1090" s="30"/>
      <c r="Q1090" s="30"/>
      <c r="R1090" s="30"/>
      <c r="S1090" s="30"/>
    </row>
    <row r="1091" spans="1:19" x14ac:dyDescent="0.25">
      <c r="A1091" s="29">
        <v>45569</v>
      </c>
      <c r="B1091" s="31">
        <v>3.4289999999999998</v>
      </c>
      <c r="C1091" s="31">
        <v>3.492</v>
      </c>
      <c r="D1091" s="31">
        <v>3.5539999999999998</v>
      </c>
      <c r="E1091" s="31">
        <v>4.2380000000000004</v>
      </c>
      <c r="F1091" s="31">
        <v>4.375</v>
      </c>
      <c r="G1091" s="31">
        <v>4.5670000000000002</v>
      </c>
      <c r="H1091" s="31">
        <v>4.6630000000000003</v>
      </c>
      <c r="I1091" s="31">
        <v>4.7130000000000001</v>
      </c>
      <c r="K1091" s="27"/>
      <c r="L1091" s="30"/>
      <c r="M1091" s="30"/>
      <c r="N1091" s="30"/>
      <c r="O1091" s="30"/>
      <c r="P1091" s="30"/>
      <c r="Q1091" s="30"/>
      <c r="R1091" s="30"/>
      <c r="S1091" s="30"/>
    </row>
    <row r="1092" spans="1:19" x14ac:dyDescent="0.25">
      <c r="A1092" s="29">
        <v>45572</v>
      </c>
      <c r="B1092" s="31">
        <v>3.4329999999999998</v>
      </c>
      <c r="C1092" s="31">
        <v>3.452</v>
      </c>
      <c r="D1092" s="31">
        <v>3.4710000000000001</v>
      </c>
      <c r="E1092" s="31">
        <v>4.2290000000000001</v>
      </c>
      <c r="F1092" s="31">
        <v>4.367</v>
      </c>
      <c r="G1092" s="31">
        <v>4.5579999999999998</v>
      </c>
      <c r="H1092" s="31">
        <v>4.6630000000000003</v>
      </c>
      <c r="I1092" s="31">
        <v>4.7130000000000001</v>
      </c>
      <c r="K1092" s="27"/>
      <c r="L1092" s="30"/>
      <c r="M1092" s="30"/>
      <c r="N1092" s="30"/>
      <c r="O1092" s="30"/>
      <c r="P1092" s="30"/>
      <c r="Q1092" s="30"/>
      <c r="R1092" s="30"/>
      <c r="S1092" s="30"/>
    </row>
    <row r="1093" spans="1:19" x14ac:dyDescent="0.25">
      <c r="A1093" s="29">
        <v>45573</v>
      </c>
      <c r="B1093" s="31">
        <v>3.3650000000000002</v>
      </c>
      <c r="C1093" s="31">
        <v>3.4020000000000001</v>
      </c>
      <c r="D1093" s="31">
        <v>3.44</v>
      </c>
      <c r="E1093" s="31">
        <v>4.2210000000000001</v>
      </c>
      <c r="F1093" s="31">
        <v>4.367</v>
      </c>
      <c r="G1093" s="31">
        <v>4.5579999999999998</v>
      </c>
      <c r="H1093" s="31">
        <v>4.6630000000000003</v>
      </c>
      <c r="I1093" s="31">
        <v>4.7130000000000001</v>
      </c>
      <c r="K1093" s="27"/>
      <c r="L1093" s="30"/>
      <c r="M1093" s="30"/>
      <c r="N1093" s="30"/>
      <c r="O1093" s="30"/>
      <c r="P1093" s="30"/>
      <c r="Q1093" s="30"/>
      <c r="R1093" s="30"/>
      <c r="S1093" s="30"/>
    </row>
    <row r="1094" spans="1:19" x14ac:dyDescent="0.25">
      <c r="A1094" s="29">
        <v>45574</v>
      </c>
      <c r="B1094" s="31">
        <v>3.3439999999999999</v>
      </c>
      <c r="C1094" s="31">
        <v>3.3849999999999998</v>
      </c>
      <c r="D1094" s="31">
        <v>3.427</v>
      </c>
      <c r="E1094" s="31">
        <v>4.2210000000000001</v>
      </c>
      <c r="F1094" s="31">
        <v>4.367</v>
      </c>
      <c r="G1094" s="31">
        <v>4.5579999999999998</v>
      </c>
      <c r="H1094" s="31">
        <v>4.6630000000000003</v>
      </c>
      <c r="I1094" s="31">
        <v>4.7130000000000001</v>
      </c>
      <c r="K1094" s="27"/>
      <c r="L1094" s="30"/>
      <c r="M1094" s="30"/>
      <c r="N1094" s="30"/>
      <c r="O1094" s="30"/>
      <c r="P1094" s="30"/>
      <c r="Q1094" s="30"/>
      <c r="R1094" s="30"/>
      <c r="S1094" s="30"/>
    </row>
    <row r="1095" spans="1:19" x14ac:dyDescent="0.25">
      <c r="A1095" s="29">
        <v>45575</v>
      </c>
      <c r="B1095" s="31">
        <v>3.323</v>
      </c>
      <c r="C1095" s="31">
        <v>3.355</v>
      </c>
      <c r="D1095" s="31">
        <v>3.3879999999999999</v>
      </c>
      <c r="E1095" s="31">
        <v>4.2210000000000001</v>
      </c>
      <c r="F1095" s="31">
        <v>4.367</v>
      </c>
      <c r="G1095" s="31">
        <v>4.5579999999999998</v>
      </c>
      <c r="H1095" s="31">
        <v>4.6630000000000003</v>
      </c>
      <c r="I1095" s="31">
        <v>4.7130000000000001</v>
      </c>
      <c r="K1095" s="27"/>
      <c r="L1095" s="30"/>
      <c r="M1095" s="30"/>
      <c r="N1095" s="30"/>
      <c r="O1095" s="30"/>
      <c r="P1095" s="30"/>
      <c r="Q1095" s="30"/>
      <c r="R1095" s="30"/>
      <c r="S1095" s="30"/>
    </row>
    <row r="1096" spans="1:19" x14ac:dyDescent="0.25">
      <c r="A1096" s="29">
        <v>45576</v>
      </c>
      <c r="B1096" s="31">
        <v>3.2789999999999999</v>
      </c>
      <c r="C1096" s="31">
        <v>3.3029999999999999</v>
      </c>
      <c r="D1096" s="31">
        <v>3.327</v>
      </c>
      <c r="E1096" s="31">
        <v>4.1959999999999997</v>
      </c>
      <c r="F1096" s="31">
        <v>4.3209999999999997</v>
      </c>
      <c r="G1096" s="31">
        <v>4.5129999999999999</v>
      </c>
      <c r="H1096" s="31">
        <v>4.6040000000000001</v>
      </c>
      <c r="I1096" s="31">
        <v>4.6749999999999998</v>
      </c>
      <c r="K1096" s="27"/>
      <c r="L1096" s="30"/>
      <c r="M1096" s="30"/>
      <c r="N1096" s="30"/>
      <c r="O1096" s="30"/>
      <c r="P1096" s="30"/>
      <c r="Q1096" s="30"/>
      <c r="R1096" s="30"/>
      <c r="S1096" s="30"/>
    </row>
    <row r="1097" spans="1:19" x14ac:dyDescent="0.25">
      <c r="A1097" s="29">
        <v>45579</v>
      </c>
      <c r="B1097" s="31">
        <v>3.2</v>
      </c>
      <c r="C1097" s="31">
        <v>3.23</v>
      </c>
      <c r="D1097" s="31">
        <v>3.26</v>
      </c>
      <c r="E1097" s="31">
        <v>4.2039999999999997</v>
      </c>
      <c r="F1097" s="31">
        <v>4.3209999999999997</v>
      </c>
      <c r="G1097" s="31">
        <v>4.5209999999999999</v>
      </c>
      <c r="H1097" s="31">
        <v>4.6130000000000004</v>
      </c>
      <c r="I1097" s="31">
        <v>4.6920000000000002</v>
      </c>
      <c r="K1097" s="27"/>
      <c r="L1097" s="30"/>
      <c r="M1097" s="30"/>
      <c r="N1097" s="30"/>
      <c r="O1097" s="30"/>
      <c r="P1097" s="30"/>
      <c r="Q1097" s="30"/>
      <c r="R1097" s="30"/>
      <c r="S1097" s="30"/>
    </row>
    <row r="1098" spans="1:19" x14ac:dyDescent="0.25">
      <c r="A1098" s="29">
        <v>45580</v>
      </c>
      <c r="B1098" s="31">
        <v>3.129</v>
      </c>
      <c r="C1098" s="31">
        <v>3.1560000000000001</v>
      </c>
      <c r="D1098" s="31">
        <v>3.1829999999999998</v>
      </c>
      <c r="E1098" s="31">
        <v>4.1790000000000003</v>
      </c>
      <c r="F1098" s="31">
        <v>4.2789999999999999</v>
      </c>
      <c r="G1098" s="31">
        <v>4.5129999999999999</v>
      </c>
      <c r="H1098" s="31">
        <v>4.6130000000000004</v>
      </c>
      <c r="I1098" s="31">
        <v>4.6920000000000002</v>
      </c>
      <c r="K1098" s="27"/>
      <c r="L1098" s="30"/>
      <c r="M1098" s="30"/>
      <c r="N1098" s="30"/>
      <c r="O1098" s="30"/>
      <c r="P1098" s="30"/>
      <c r="Q1098" s="30"/>
      <c r="R1098" s="30"/>
      <c r="S1098" s="30"/>
    </row>
    <row r="1099" spans="1:19" x14ac:dyDescent="0.25">
      <c r="A1099" s="29">
        <v>45581</v>
      </c>
      <c r="B1099" s="31">
        <v>2.8479999999999999</v>
      </c>
      <c r="C1099" s="31">
        <v>2.9009999999999998</v>
      </c>
      <c r="D1099" s="31">
        <v>2.9540000000000002</v>
      </c>
      <c r="E1099" s="31">
        <v>4.1379999999999999</v>
      </c>
      <c r="F1099" s="31">
        <v>4.2539999999999996</v>
      </c>
      <c r="G1099" s="31">
        <v>4.4630000000000001</v>
      </c>
      <c r="H1099" s="31">
        <v>4.5540000000000003</v>
      </c>
      <c r="I1099" s="31">
        <v>4.633</v>
      </c>
      <c r="K1099" s="27"/>
      <c r="L1099" s="30"/>
      <c r="M1099" s="30"/>
      <c r="N1099" s="30"/>
      <c r="O1099" s="30"/>
      <c r="P1099" s="30"/>
      <c r="Q1099" s="30"/>
      <c r="R1099" s="30"/>
      <c r="S1099" s="30"/>
    </row>
    <row r="1100" spans="1:19" x14ac:dyDescent="0.25">
      <c r="A1100" s="29">
        <v>45582</v>
      </c>
      <c r="B1100" s="31">
        <v>2.9580000000000002</v>
      </c>
      <c r="C1100" s="31">
        <v>3.0070000000000001</v>
      </c>
      <c r="D1100" s="31">
        <v>3.056</v>
      </c>
      <c r="E1100" s="31">
        <v>4.0960000000000001</v>
      </c>
      <c r="F1100" s="31">
        <v>4.2130000000000001</v>
      </c>
      <c r="G1100" s="31">
        <v>4.4960000000000004</v>
      </c>
      <c r="H1100" s="31">
        <v>4.5880000000000001</v>
      </c>
      <c r="I1100" s="31">
        <v>4.6669999999999998</v>
      </c>
      <c r="K1100" s="27"/>
      <c r="L1100" s="30"/>
      <c r="M1100" s="30"/>
      <c r="N1100" s="30"/>
      <c r="O1100" s="30"/>
      <c r="P1100" s="30"/>
      <c r="Q1100" s="30"/>
      <c r="R1100" s="30"/>
      <c r="S1100" s="30"/>
    </row>
    <row r="1101" spans="1:19" x14ac:dyDescent="0.25">
      <c r="A1101" s="29">
        <v>45583</v>
      </c>
      <c r="B1101" s="31">
        <v>3.1629999999999998</v>
      </c>
      <c r="C1101" s="31">
        <v>3.1989999999999998</v>
      </c>
      <c r="D1101" s="31">
        <v>3.2349999999999999</v>
      </c>
      <c r="E1101" s="31">
        <v>4.0960000000000001</v>
      </c>
      <c r="F1101" s="31">
        <v>4.2130000000000001</v>
      </c>
      <c r="G1101" s="31">
        <v>4.4960000000000004</v>
      </c>
      <c r="H1101" s="31">
        <v>4.5880000000000001</v>
      </c>
      <c r="I1101" s="31">
        <v>4.6669999999999998</v>
      </c>
      <c r="K1101" s="27"/>
      <c r="L1101" s="30"/>
      <c r="M1101" s="30"/>
      <c r="N1101" s="30"/>
      <c r="O1101" s="30"/>
      <c r="P1101" s="30"/>
      <c r="Q1101" s="30"/>
      <c r="R1101" s="30"/>
      <c r="S1101" s="30"/>
    </row>
    <row r="1102" spans="1:19" x14ac:dyDescent="0.25">
      <c r="A1102" s="29">
        <v>45586</v>
      </c>
      <c r="B1102" s="31">
        <v>3.8690000000000002</v>
      </c>
      <c r="C1102" s="31">
        <v>3.8769999999999998</v>
      </c>
      <c r="D1102" s="31">
        <v>3.8849999999999998</v>
      </c>
      <c r="E1102" s="31">
        <v>4.1710000000000003</v>
      </c>
      <c r="F1102" s="31">
        <v>4.2789999999999999</v>
      </c>
      <c r="G1102" s="31">
        <v>4.5039999999999996</v>
      </c>
      <c r="H1102" s="31">
        <v>4.5960000000000001</v>
      </c>
      <c r="I1102" s="31">
        <v>4.6669999999999998</v>
      </c>
      <c r="K1102" s="27"/>
      <c r="L1102" s="30"/>
      <c r="M1102" s="30"/>
      <c r="N1102" s="30"/>
      <c r="O1102" s="30"/>
      <c r="P1102" s="30"/>
      <c r="Q1102" s="30"/>
      <c r="R1102" s="30"/>
      <c r="S1102" s="30"/>
    </row>
    <row r="1103" spans="1:19" x14ac:dyDescent="0.25">
      <c r="A1103" s="29">
        <v>45587</v>
      </c>
      <c r="B1103" s="31">
        <v>3.89</v>
      </c>
      <c r="C1103" s="31">
        <v>3.923</v>
      </c>
      <c r="D1103" s="31">
        <v>3.956</v>
      </c>
      <c r="E1103" s="31">
        <v>4.1710000000000003</v>
      </c>
      <c r="F1103" s="31">
        <v>4.2789999999999999</v>
      </c>
      <c r="G1103" s="31">
        <v>4.5039999999999996</v>
      </c>
      <c r="H1103" s="31">
        <v>4.5960000000000001</v>
      </c>
      <c r="I1103" s="31">
        <v>4.6669999999999998</v>
      </c>
      <c r="K1103" s="27"/>
      <c r="L1103" s="30"/>
      <c r="M1103" s="30"/>
      <c r="N1103" s="30"/>
      <c r="O1103" s="30"/>
      <c r="P1103" s="30"/>
      <c r="Q1103" s="30"/>
      <c r="R1103" s="30"/>
      <c r="S1103" s="30"/>
    </row>
    <row r="1104" spans="1:19" x14ac:dyDescent="0.25">
      <c r="A1104" s="29">
        <v>45588</v>
      </c>
      <c r="B1104" s="31">
        <v>3.8879999999999999</v>
      </c>
      <c r="C1104" s="31">
        <v>3.9220000000000002</v>
      </c>
      <c r="D1104" s="31">
        <v>3.956</v>
      </c>
      <c r="E1104" s="31">
        <v>4.1710000000000003</v>
      </c>
      <c r="F1104" s="31">
        <v>4.2789999999999999</v>
      </c>
      <c r="G1104" s="31">
        <v>4.5039999999999996</v>
      </c>
      <c r="H1104" s="31">
        <v>4.5960000000000001</v>
      </c>
      <c r="I1104" s="31">
        <v>4.6669999999999998</v>
      </c>
      <c r="K1104" s="27"/>
      <c r="L1104" s="30"/>
      <c r="M1104" s="30"/>
      <c r="N1104" s="30"/>
      <c r="O1104" s="30"/>
      <c r="P1104" s="30"/>
      <c r="Q1104" s="30"/>
      <c r="R1104" s="30"/>
      <c r="S1104" s="30"/>
    </row>
    <row r="1105" spans="1:19" x14ac:dyDescent="0.25">
      <c r="A1105" s="29">
        <v>45589</v>
      </c>
      <c r="B1105" s="31">
        <v>3.9020000000000001</v>
      </c>
      <c r="C1105" s="31">
        <v>3.93</v>
      </c>
      <c r="D1105" s="31">
        <v>3.9580000000000002</v>
      </c>
      <c r="E1105" s="31">
        <v>4.1710000000000003</v>
      </c>
      <c r="F1105" s="31">
        <v>4.2789999999999999</v>
      </c>
      <c r="G1105" s="31">
        <v>4.5039999999999996</v>
      </c>
      <c r="H1105" s="31">
        <v>4.5960000000000001</v>
      </c>
      <c r="I1105" s="31">
        <v>4.6669999999999998</v>
      </c>
      <c r="K1105" s="27"/>
      <c r="L1105" s="30"/>
      <c r="M1105" s="30"/>
      <c r="N1105" s="30"/>
      <c r="O1105" s="30"/>
      <c r="P1105" s="30"/>
      <c r="Q1105" s="30"/>
      <c r="R1105" s="30"/>
      <c r="S1105" s="30"/>
    </row>
    <row r="1106" spans="1:19" x14ac:dyDescent="0.25">
      <c r="A1106" s="29">
        <v>45590</v>
      </c>
      <c r="B1106" s="31">
        <v>3.9169999999999998</v>
      </c>
      <c r="C1106" s="31">
        <v>3.9380000000000002</v>
      </c>
      <c r="D1106" s="31">
        <v>3.9580000000000002</v>
      </c>
      <c r="E1106" s="31">
        <v>4.1710000000000003</v>
      </c>
      <c r="F1106" s="31">
        <v>4.2789999999999999</v>
      </c>
      <c r="G1106" s="31">
        <v>4.5039999999999996</v>
      </c>
      <c r="H1106" s="31">
        <v>4.5960000000000001</v>
      </c>
      <c r="I1106" s="31">
        <v>4.6669999999999998</v>
      </c>
      <c r="K1106" s="27"/>
      <c r="L1106" s="30"/>
      <c r="M1106" s="30"/>
      <c r="N1106" s="30"/>
      <c r="O1106" s="30"/>
      <c r="P1106" s="30"/>
      <c r="Q1106" s="30"/>
      <c r="R1106" s="30"/>
      <c r="S1106" s="30"/>
    </row>
    <row r="1107" spans="1:19" x14ac:dyDescent="0.25">
      <c r="A1107" s="29">
        <v>45593</v>
      </c>
      <c r="B1107" s="31">
        <v>4.0540000000000003</v>
      </c>
      <c r="C1107" s="31">
        <v>4.0629999999999997</v>
      </c>
      <c r="D1107" s="31">
        <v>4.0709999999999997</v>
      </c>
      <c r="E1107" s="31">
        <v>4.1790000000000003</v>
      </c>
      <c r="F1107" s="31">
        <v>4.2789999999999999</v>
      </c>
      <c r="G1107" s="31">
        <v>4.5039999999999996</v>
      </c>
      <c r="H1107" s="31">
        <v>4.5960000000000001</v>
      </c>
      <c r="I1107" s="31">
        <v>4.6669999999999998</v>
      </c>
      <c r="K1107" s="27"/>
      <c r="L1107" s="30"/>
      <c r="M1107" s="30"/>
      <c r="N1107" s="30"/>
      <c r="O1107" s="30"/>
      <c r="P1107" s="30"/>
      <c r="Q1107" s="30"/>
      <c r="R1107" s="30"/>
      <c r="S1107" s="30"/>
    </row>
    <row r="1108" spans="1:19" x14ac:dyDescent="0.25">
      <c r="A1108" s="29">
        <v>45594</v>
      </c>
      <c r="B1108" s="31">
        <v>4.1440000000000001</v>
      </c>
      <c r="C1108" s="31">
        <v>4.1459999999999999</v>
      </c>
      <c r="D1108" s="31">
        <v>4.1479999999999997</v>
      </c>
      <c r="E1108" s="31">
        <v>4.2290000000000001</v>
      </c>
      <c r="F1108" s="31">
        <v>4.3209999999999997</v>
      </c>
      <c r="G1108" s="31">
        <v>4.5289999999999999</v>
      </c>
      <c r="H1108" s="31">
        <v>4.6130000000000004</v>
      </c>
      <c r="I1108" s="31">
        <v>4.6630000000000003</v>
      </c>
      <c r="K1108" s="27"/>
      <c r="L1108" s="30"/>
      <c r="M1108" s="30"/>
      <c r="N1108" s="30"/>
      <c r="O1108" s="30"/>
      <c r="P1108" s="30"/>
      <c r="Q1108" s="30"/>
      <c r="R1108" s="30"/>
      <c r="S1108" s="30"/>
    </row>
    <row r="1109" spans="1:19" x14ac:dyDescent="0.25">
      <c r="A1109" s="29">
        <v>45595</v>
      </c>
      <c r="B1109" s="31">
        <v>4.04</v>
      </c>
      <c r="C1109" s="31">
        <v>4.0540000000000003</v>
      </c>
      <c r="D1109" s="31">
        <v>4.069</v>
      </c>
      <c r="E1109" s="31">
        <v>4.2210000000000001</v>
      </c>
      <c r="F1109" s="31">
        <v>4.3209999999999997</v>
      </c>
      <c r="G1109" s="31">
        <v>4.5289999999999999</v>
      </c>
      <c r="H1109" s="31">
        <v>4.6130000000000004</v>
      </c>
      <c r="I1109" s="31">
        <v>4.6630000000000003</v>
      </c>
      <c r="K1109" s="27"/>
      <c r="L1109" s="30"/>
      <c r="M1109" s="30"/>
      <c r="N1109" s="30"/>
      <c r="O1109" s="30"/>
      <c r="P1109" s="30"/>
      <c r="Q1109" s="30"/>
      <c r="R1109" s="30"/>
      <c r="S1109" s="30"/>
    </row>
    <row r="1110" spans="1:19" x14ac:dyDescent="0.25">
      <c r="A1110" s="29">
        <v>45596</v>
      </c>
      <c r="B1110" s="31">
        <v>4.0439999999999996</v>
      </c>
      <c r="C1110" s="31">
        <v>4.0599999999999996</v>
      </c>
      <c r="D1110" s="31">
        <v>4.077</v>
      </c>
      <c r="E1110" s="31">
        <v>4.2290000000000001</v>
      </c>
      <c r="F1110" s="31">
        <v>4.3209999999999997</v>
      </c>
      <c r="G1110" s="31">
        <v>4.5289999999999999</v>
      </c>
      <c r="H1110" s="31">
        <v>4.6130000000000004</v>
      </c>
      <c r="I1110" s="31">
        <v>4.6630000000000003</v>
      </c>
      <c r="K1110" s="27"/>
      <c r="L1110" s="30"/>
      <c r="M1110" s="30"/>
      <c r="N1110" s="30"/>
      <c r="O1110" s="30"/>
      <c r="P1110" s="30"/>
      <c r="Q1110" s="30"/>
      <c r="R1110" s="30"/>
      <c r="S1110" s="30"/>
    </row>
    <row r="1111" spans="1:19" x14ac:dyDescent="0.25">
      <c r="A1111" s="29">
        <v>45597</v>
      </c>
      <c r="B1111" s="31">
        <v>4.0380000000000003</v>
      </c>
      <c r="C1111" s="31">
        <v>4.0439999999999996</v>
      </c>
      <c r="D1111" s="31">
        <v>4.05</v>
      </c>
      <c r="E1111" s="31">
        <v>4.2290000000000001</v>
      </c>
      <c r="F1111" s="31">
        <v>4.3209999999999997</v>
      </c>
      <c r="G1111" s="31">
        <v>4.5289999999999999</v>
      </c>
      <c r="H1111" s="31">
        <v>4.6130000000000004</v>
      </c>
      <c r="I1111" s="31">
        <v>4.6630000000000003</v>
      </c>
      <c r="K1111" s="27"/>
      <c r="L1111" s="30"/>
      <c r="M1111" s="30"/>
      <c r="N1111" s="30"/>
      <c r="O1111" s="30"/>
      <c r="P1111" s="30"/>
      <c r="Q1111" s="30"/>
      <c r="R1111" s="30"/>
      <c r="S1111" s="30"/>
    </row>
    <row r="1112" spans="1:19" x14ac:dyDescent="0.25">
      <c r="A1112" s="29">
        <v>45600</v>
      </c>
      <c r="B1112" s="31">
        <v>4.4329999999999998</v>
      </c>
      <c r="C1112" s="31">
        <v>4.4329999999999998</v>
      </c>
      <c r="D1112" s="31">
        <v>4.4329999999999998</v>
      </c>
      <c r="E1112" s="31">
        <v>4.3209999999999997</v>
      </c>
      <c r="F1112" s="31">
        <v>4.3630000000000004</v>
      </c>
      <c r="G1112" s="31">
        <v>4.5460000000000003</v>
      </c>
      <c r="H1112" s="31">
        <v>4.6379999999999999</v>
      </c>
      <c r="I1112" s="31">
        <v>4.6879999999999997</v>
      </c>
      <c r="K1112" s="27"/>
      <c r="L1112" s="30"/>
      <c r="M1112" s="30"/>
      <c r="N1112" s="30"/>
      <c r="O1112" s="30"/>
      <c r="P1112" s="30"/>
      <c r="Q1112" s="30"/>
      <c r="R1112" s="30"/>
      <c r="S1112" s="30"/>
    </row>
    <row r="1113" spans="1:19" x14ac:dyDescent="0.25">
      <c r="A1113" s="29">
        <v>45601</v>
      </c>
      <c r="B1113" s="31">
        <v>4.3079999999999998</v>
      </c>
      <c r="C1113" s="31">
        <v>4.3079999999999998</v>
      </c>
      <c r="D1113" s="31">
        <v>4.3079999999999998</v>
      </c>
      <c r="E1113" s="31">
        <v>4.3710000000000004</v>
      </c>
      <c r="F1113" s="31">
        <v>4.4130000000000003</v>
      </c>
      <c r="G1113" s="31">
        <v>4.5460000000000003</v>
      </c>
      <c r="H1113" s="31">
        <v>4.6379999999999999</v>
      </c>
      <c r="I1113" s="31">
        <v>4.6879999999999997</v>
      </c>
      <c r="K1113" s="27"/>
      <c r="L1113" s="30"/>
      <c r="M1113" s="30"/>
      <c r="N1113" s="30"/>
      <c r="O1113" s="30"/>
      <c r="P1113" s="30"/>
      <c r="Q1113" s="30"/>
      <c r="R1113" s="30"/>
      <c r="S1113" s="30"/>
    </row>
    <row r="1114" spans="1:19" x14ac:dyDescent="0.25">
      <c r="A1114" s="29">
        <v>45602</v>
      </c>
      <c r="B1114" s="31">
        <v>4.2229999999999999</v>
      </c>
      <c r="C1114" s="31">
        <v>4.218</v>
      </c>
      <c r="D1114" s="31">
        <v>4.2130000000000001</v>
      </c>
      <c r="E1114" s="31">
        <v>4.3630000000000004</v>
      </c>
      <c r="F1114" s="31">
        <v>4.4130000000000003</v>
      </c>
      <c r="G1114" s="31">
        <v>4.5460000000000003</v>
      </c>
      <c r="H1114" s="31">
        <v>4.6379999999999999</v>
      </c>
      <c r="I1114" s="31">
        <v>4.6879999999999997</v>
      </c>
      <c r="K1114" s="27"/>
      <c r="L1114" s="30"/>
      <c r="M1114" s="30"/>
      <c r="N1114" s="30"/>
      <c r="O1114" s="30"/>
      <c r="P1114" s="30"/>
      <c r="Q1114" s="30"/>
      <c r="R1114" s="30"/>
      <c r="S1114" s="30"/>
    </row>
    <row r="1115" spans="1:19" x14ac:dyDescent="0.25">
      <c r="A1115" s="29">
        <v>45603</v>
      </c>
      <c r="B1115" s="31">
        <v>4.21</v>
      </c>
      <c r="C1115" s="31">
        <v>4.2130000000000001</v>
      </c>
      <c r="D1115" s="31">
        <v>4.2149999999999999</v>
      </c>
      <c r="E1115" s="31">
        <v>4.3710000000000004</v>
      </c>
      <c r="F1115" s="31">
        <v>4.4210000000000003</v>
      </c>
      <c r="G1115" s="31">
        <v>4.5540000000000003</v>
      </c>
      <c r="H1115" s="31">
        <v>4.6630000000000003</v>
      </c>
      <c r="I1115" s="31">
        <v>4.7130000000000001</v>
      </c>
      <c r="K1115" s="27"/>
      <c r="L1115" s="30"/>
      <c r="M1115" s="30"/>
      <c r="N1115" s="30"/>
      <c r="O1115" s="30"/>
      <c r="P1115" s="30"/>
      <c r="Q1115" s="30"/>
      <c r="R1115" s="30"/>
      <c r="S1115" s="30"/>
    </row>
    <row r="1116" spans="1:19" x14ac:dyDescent="0.25">
      <c r="A1116" s="29">
        <v>45604</v>
      </c>
      <c r="B1116" s="31">
        <v>4.1349999999999998</v>
      </c>
      <c r="C1116" s="31">
        <v>4.1420000000000003</v>
      </c>
      <c r="D1116" s="31">
        <v>4.1479999999999997</v>
      </c>
      <c r="E1116" s="31">
        <v>4.3630000000000004</v>
      </c>
      <c r="F1116" s="31">
        <v>4.4210000000000003</v>
      </c>
      <c r="G1116" s="31">
        <v>4.5540000000000003</v>
      </c>
      <c r="H1116" s="31">
        <v>4.6630000000000003</v>
      </c>
      <c r="I1116" s="31">
        <v>4.7130000000000001</v>
      </c>
      <c r="K1116" s="27"/>
      <c r="L1116" s="30"/>
      <c r="M1116" s="30"/>
      <c r="N1116" s="30"/>
      <c r="O1116" s="30"/>
      <c r="P1116" s="30"/>
      <c r="Q1116" s="30"/>
      <c r="R1116" s="30"/>
      <c r="S1116" s="30"/>
    </row>
    <row r="1117" spans="1:19" x14ac:dyDescent="0.25">
      <c r="A1117" s="29">
        <v>45607</v>
      </c>
      <c r="B1117" s="31">
        <v>4.1289999999999996</v>
      </c>
      <c r="C1117" s="31">
        <v>4.125</v>
      </c>
      <c r="D1117" s="31">
        <v>4.1210000000000004</v>
      </c>
      <c r="E1117" s="31">
        <v>4.3630000000000004</v>
      </c>
      <c r="F1117" s="31">
        <v>4.4210000000000003</v>
      </c>
      <c r="G1117" s="31">
        <v>4.5540000000000003</v>
      </c>
      <c r="H1117" s="31">
        <v>4.6630000000000003</v>
      </c>
      <c r="I1117" s="31">
        <v>4.7130000000000001</v>
      </c>
      <c r="K1117" s="27"/>
      <c r="L1117" s="30"/>
      <c r="M1117" s="30"/>
      <c r="N1117" s="30"/>
      <c r="O1117" s="30"/>
      <c r="P1117" s="30"/>
      <c r="Q1117" s="30"/>
      <c r="R1117" s="30"/>
      <c r="S1117" s="30"/>
    </row>
    <row r="1118" spans="1:19" x14ac:dyDescent="0.25">
      <c r="A1118" s="29">
        <v>45608</v>
      </c>
      <c r="B1118" s="31">
        <v>4.1749999999999998</v>
      </c>
      <c r="C1118" s="31">
        <v>4.1660000000000004</v>
      </c>
      <c r="D1118" s="31">
        <v>4.1559999999999997</v>
      </c>
      <c r="E1118" s="31">
        <v>4.3630000000000004</v>
      </c>
      <c r="F1118" s="31">
        <v>4.4210000000000003</v>
      </c>
      <c r="G1118" s="31">
        <v>4.5540000000000003</v>
      </c>
      <c r="H1118" s="31">
        <v>4.6630000000000003</v>
      </c>
      <c r="I1118" s="31">
        <v>4.7130000000000001</v>
      </c>
      <c r="K1118" s="27"/>
      <c r="L1118" s="30"/>
      <c r="M1118" s="30"/>
      <c r="N1118" s="30"/>
      <c r="O1118" s="30"/>
      <c r="P1118" s="30"/>
      <c r="Q1118" s="30"/>
      <c r="R1118" s="30"/>
      <c r="S1118" s="30"/>
    </row>
    <row r="1119" spans="1:19" x14ac:dyDescent="0.25">
      <c r="A1119" s="29">
        <v>45609</v>
      </c>
      <c r="B1119" s="31">
        <v>4.444</v>
      </c>
      <c r="C1119" s="31">
        <v>4.452</v>
      </c>
      <c r="D1119" s="31">
        <v>4.46</v>
      </c>
      <c r="E1119" s="31">
        <v>4.3789999999999996</v>
      </c>
      <c r="F1119" s="31">
        <v>4.4379999999999997</v>
      </c>
      <c r="G1119" s="31">
        <v>4.5960000000000001</v>
      </c>
      <c r="H1119" s="31">
        <v>4.6630000000000003</v>
      </c>
      <c r="I1119" s="31">
        <v>4.7130000000000001</v>
      </c>
      <c r="K1119" s="27"/>
      <c r="L1119" s="30"/>
      <c r="M1119" s="30"/>
      <c r="N1119" s="30"/>
      <c r="O1119" s="30"/>
      <c r="P1119" s="30"/>
      <c r="Q1119" s="30"/>
      <c r="R1119" s="30"/>
      <c r="S1119" s="30"/>
    </row>
    <row r="1120" spans="1:19" x14ac:dyDescent="0.25">
      <c r="A1120" s="29">
        <v>45610</v>
      </c>
      <c r="B1120" s="31">
        <v>4.5380000000000003</v>
      </c>
      <c r="C1120" s="31">
        <v>4.5380000000000003</v>
      </c>
      <c r="D1120" s="31">
        <v>4.5380000000000003</v>
      </c>
      <c r="E1120" s="31">
        <v>4.4580000000000002</v>
      </c>
      <c r="F1120" s="31">
        <v>4.5</v>
      </c>
      <c r="G1120" s="31">
        <v>4.633</v>
      </c>
      <c r="H1120" s="31">
        <v>4.7</v>
      </c>
      <c r="I1120" s="31">
        <v>4.75</v>
      </c>
      <c r="K1120" s="27"/>
      <c r="L1120" s="30"/>
      <c r="M1120" s="30"/>
      <c r="N1120" s="30"/>
      <c r="O1120" s="30"/>
      <c r="P1120" s="30"/>
      <c r="Q1120" s="30"/>
      <c r="R1120" s="30"/>
      <c r="S1120" s="30"/>
    </row>
    <row r="1121" spans="1:19" x14ac:dyDescent="0.25">
      <c r="A1121" s="29">
        <v>45611</v>
      </c>
      <c r="B1121" s="31">
        <v>4.6580000000000004</v>
      </c>
      <c r="C1121" s="31">
        <v>4.6440000000000001</v>
      </c>
      <c r="D1121" s="31">
        <v>4.6289999999999996</v>
      </c>
      <c r="E1121" s="31">
        <v>4.4669999999999996</v>
      </c>
      <c r="F1121" s="31">
        <v>4.508</v>
      </c>
      <c r="G1121" s="31">
        <v>4.633</v>
      </c>
      <c r="H1121" s="31">
        <v>4.7</v>
      </c>
      <c r="I1121" s="31">
        <v>4.75</v>
      </c>
      <c r="K1121" s="27"/>
      <c r="L1121" s="30"/>
      <c r="M1121" s="30"/>
      <c r="N1121" s="30"/>
      <c r="O1121" s="30"/>
      <c r="P1121" s="30"/>
      <c r="Q1121" s="30"/>
      <c r="R1121" s="30"/>
      <c r="S1121" s="30"/>
    </row>
    <row r="1122" spans="1:19" x14ac:dyDescent="0.25">
      <c r="A1122" s="29">
        <v>45614</v>
      </c>
      <c r="B1122" s="31">
        <v>4.694</v>
      </c>
      <c r="C1122" s="31">
        <v>4.6779999999999999</v>
      </c>
      <c r="D1122" s="31">
        <v>4.6630000000000003</v>
      </c>
      <c r="E1122" s="31">
        <v>4.5460000000000003</v>
      </c>
      <c r="F1122" s="31">
        <v>4.5709999999999997</v>
      </c>
      <c r="G1122" s="31">
        <v>4.6710000000000003</v>
      </c>
      <c r="H1122" s="31">
        <v>4.7380000000000004</v>
      </c>
      <c r="I1122" s="31">
        <v>4.7789999999999999</v>
      </c>
      <c r="K1122" s="27"/>
      <c r="L1122" s="30"/>
      <c r="M1122" s="30"/>
      <c r="N1122" s="30"/>
      <c r="O1122" s="30"/>
      <c r="P1122" s="30"/>
      <c r="Q1122" s="30"/>
      <c r="R1122" s="30"/>
      <c r="S1122" s="30"/>
    </row>
    <row r="1123" spans="1:19" x14ac:dyDescent="0.25">
      <c r="A1123" s="29">
        <v>45615</v>
      </c>
      <c r="B1123" s="31">
        <v>4.5919999999999996</v>
      </c>
      <c r="C1123" s="31">
        <v>4.5919999999999996</v>
      </c>
      <c r="D1123" s="31">
        <v>4.5919999999999996</v>
      </c>
      <c r="E1123" s="31">
        <v>4.5830000000000002</v>
      </c>
      <c r="F1123" s="31">
        <v>4.6079999999999997</v>
      </c>
      <c r="G1123" s="31">
        <v>4.6829999999999998</v>
      </c>
      <c r="H1123" s="31">
        <v>4.7380000000000004</v>
      </c>
      <c r="I1123" s="31">
        <v>4.7789999999999999</v>
      </c>
      <c r="K1123" s="27"/>
      <c r="L1123" s="30"/>
      <c r="M1123" s="30"/>
      <c r="N1123" s="30"/>
      <c r="O1123" s="30"/>
      <c r="P1123" s="30"/>
      <c r="Q1123" s="30"/>
      <c r="R1123" s="30"/>
      <c r="S1123" s="30"/>
    </row>
    <row r="1124" spans="1:19" x14ac:dyDescent="0.25">
      <c r="A1124" s="29">
        <v>45616</v>
      </c>
      <c r="B1124" s="31">
        <v>4.3520000000000003</v>
      </c>
      <c r="C1124" s="31">
        <v>4.3520000000000003</v>
      </c>
      <c r="D1124" s="31">
        <v>4.3520000000000003</v>
      </c>
      <c r="E1124" s="31">
        <v>4.5670000000000002</v>
      </c>
      <c r="F1124" s="31">
        <v>4.5919999999999996</v>
      </c>
      <c r="G1124" s="31">
        <v>4.6829999999999998</v>
      </c>
      <c r="H1124" s="31">
        <v>4.7380000000000004</v>
      </c>
      <c r="I1124" s="31">
        <v>4.7789999999999999</v>
      </c>
      <c r="K1124" s="27"/>
      <c r="L1124" s="30"/>
      <c r="M1124" s="30"/>
      <c r="N1124" s="30"/>
      <c r="O1124" s="30"/>
      <c r="P1124" s="30"/>
      <c r="Q1124" s="30"/>
      <c r="R1124" s="30"/>
      <c r="S1124" s="30"/>
    </row>
    <row r="1125" spans="1:19" x14ac:dyDescent="0.25">
      <c r="A1125" s="29">
        <v>45617</v>
      </c>
      <c r="B1125" s="31">
        <v>4.26</v>
      </c>
      <c r="C1125" s="31">
        <v>4.2770000000000001</v>
      </c>
      <c r="D1125" s="31">
        <v>4.2939999999999996</v>
      </c>
      <c r="E1125" s="31">
        <v>4.5579999999999998</v>
      </c>
      <c r="F1125" s="31">
        <v>4.5919999999999996</v>
      </c>
      <c r="G1125" s="31">
        <v>4.6829999999999998</v>
      </c>
      <c r="H1125" s="31">
        <v>4.7380000000000004</v>
      </c>
      <c r="I1125" s="31">
        <v>4.7789999999999999</v>
      </c>
      <c r="K1125" s="27"/>
      <c r="L1125" s="30"/>
      <c r="M1125" s="30"/>
      <c r="N1125" s="30"/>
      <c r="O1125" s="30"/>
      <c r="P1125" s="30"/>
      <c r="Q1125" s="30"/>
      <c r="R1125" s="30"/>
      <c r="S1125" s="30"/>
    </row>
    <row r="1126" spans="1:19" x14ac:dyDescent="0.25">
      <c r="A1126" s="29">
        <v>45618</v>
      </c>
      <c r="B1126" s="31">
        <v>4.492</v>
      </c>
      <c r="C1126" s="31">
        <v>4.4889999999999999</v>
      </c>
      <c r="D1126" s="31">
        <v>4.4850000000000003</v>
      </c>
      <c r="E1126" s="31">
        <v>4.5419999999999998</v>
      </c>
      <c r="F1126" s="31">
        <v>4.5750000000000002</v>
      </c>
      <c r="G1126" s="31">
        <v>4.6669999999999998</v>
      </c>
      <c r="H1126" s="31">
        <v>4.7210000000000001</v>
      </c>
      <c r="I1126" s="31">
        <v>4.7629999999999999</v>
      </c>
      <c r="K1126" s="27"/>
      <c r="L1126" s="30"/>
      <c r="M1126" s="30"/>
      <c r="N1126" s="30"/>
      <c r="O1126" s="30"/>
      <c r="P1126" s="30"/>
      <c r="Q1126" s="30"/>
      <c r="R1126" s="30"/>
      <c r="S1126" s="30"/>
    </row>
    <row r="1127" spans="1:19" x14ac:dyDescent="0.25">
      <c r="A1127" s="29">
        <v>45621</v>
      </c>
      <c r="B1127" s="31">
        <v>4.5730000000000004</v>
      </c>
      <c r="C1127" s="31">
        <v>4.57</v>
      </c>
      <c r="D1127" s="31">
        <v>4.5670000000000002</v>
      </c>
      <c r="E1127" s="31">
        <v>4.5579999999999998</v>
      </c>
      <c r="F1127" s="31">
        <v>4.5750000000000002</v>
      </c>
      <c r="G1127" s="31">
        <v>4.6669999999999998</v>
      </c>
      <c r="H1127" s="31">
        <v>4.7210000000000001</v>
      </c>
      <c r="I1127" s="31">
        <v>4.7629999999999999</v>
      </c>
      <c r="K1127" s="27"/>
      <c r="L1127" s="30"/>
      <c r="M1127" s="30"/>
      <c r="N1127" s="30"/>
      <c r="O1127" s="30"/>
      <c r="P1127" s="30"/>
      <c r="Q1127" s="30"/>
      <c r="R1127" s="30"/>
      <c r="S1127" s="30"/>
    </row>
    <row r="1128" spans="1:19" x14ac:dyDescent="0.25">
      <c r="A1128" s="29">
        <v>45622</v>
      </c>
      <c r="B1128" s="31">
        <v>4.5880000000000001</v>
      </c>
      <c r="C1128" s="31">
        <v>4.5919999999999996</v>
      </c>
      <c r="D1128" s="31">
        <v>4.5960000000000001</v>
      </c>
      <c r="E1128" s="31">
        <v>4.5670000000000002</v>
      </c>
      <c r="F1128" s="31">
        <v>4.5830000000000002</v>
      </c>
      <c r="G1128" s="31">
        <v>4.6669999999999998</v>
      </c>
      <c r="H1128" s="31">
        <v>4.7210000000000001</v>
      </c>
      <c r="I1128" s="31">
        <v>4.7629999999999999</v>
      </c>
      <c r="K1128" s="27"/>
      <c r="L1128" s="30"/>
      <c r="M1128" s="30"/>
      <c r="N1128" s="30"/>
      <c r="O1128" s="30"/>
      <c r="P1128" s="30"/>
      <c r="Q1128" s="30"/>
      <c r="R1128" s="30"/>
      <c r="S1128" s="30"/>
    </row>
    <row r="1129" spans="1:19" x14ac:dyDescent="0.25">
      <c r="A1129" s="29">
        <v>45623</v>
      </c>
      <c r="B1129" s="31">
        <v>4.548</v>
      </c>
      <c r="C1129" s="31">
        <v>4.5549999999999997</v>
      </c>
      <c r="D1129" s="31">
        <v>4.5629999999999997</v>
      </c>
      <c r="E1129" s="31">
        <v>4.5670000000000002</v>
      </c>
      <c r="F1129" s="31">
        <v>4.5750000000000002</v>
      </c>
      <c r="G1129" s="31">
        <v>4.6669999999999998</v>
      </c>
      <c r="H1129" s="31">
        <v>4.7210000000000001</v>
      </c>
      <c r="I1129" s="31">
        <v>4.7629999999999999</v>
      </c>
      <c r="K1129" s="27"/>
      <c r="L1129" s="30"/>
      <c r="M1129" s="30"/>
      <c r="N1129" s="30"/>
      <c r="O1129" s="30"/>
      <c r="P1129" s="30"/>
      <c r="Q1129" s="30"/>
      <c r="R1129" s="30"/>
      <c r="S1129" s="30"/>
    </row>
    <row r="1130" spans="1:19" x14ac:dyDescent="0.25">
      <c r="A1130" s="29">
        <v>45624</v>
      </c>
      <c r="B1130" s="31">
        <v>4.4649999999999999</v>
      </c>
      <c r="C1130" s="31">
        <v>4.468</v>
      </c>
      <c r="D1130" s="31">
        <v>4.4710000000000001</v>
      </c>
      <c r="E1130" s="31">
        <v>4.5670000000000002</v>
      </c>
      <c r="F1130" s="31">
        <v>4.5750000000000002</v>
      </c>
      <c r="G1130" s="31">
        <v>4.6669999999999998</v>
      </c>
      <c r="H1130" s="31">
        <v>4.7210000000000001</v>
      </c>
      <c r="I1130" s="31">
        <v>4.7629999999999999</v>
      </c>
      <c r="K1130" s="27"/>
      <c r="L1130" s="30"/>
      <c r="M1130" s="30"/>
      <c r="N1130" s="30"/>
      <c r="O1130" s="30"/>
      <c r="P1130" s="30"/>
      <c r="Q1130" s="30"/>
      <c r="R1130" s="30"/>
      <c r="S1130" s="30"/>
    </row>
    <row r="1131" spans="1:19" x14ac:dyDescent="0.25">
      <c r="A1131" s="29">
        <v>45625</v>
      </c>
      <c r="B1131" s="31">
        <v>4.4850000000000003</v>
      </c>
      <c r="C1131" s="31">
        <v>4.4859999999999998</v>
      </c>
      <c r="D1131" s="31">
        <v>4.4880000000000004</v>
      </c>
      <c r="E1131" s="31">
        <v>4.5670000000000002</v>
      </c>
      <c r="F1131" s="31">
        <v>4.5750000000000002</v>
      </c>
      <c r="G1131" s="31">
        <v>4.6669999999999998</v>
      </c>
      <c r="H1131" s="31">
        <v>4.7210000000000001</v>
      </c>
      <c r="I1131" s="31">
        <v>4.7629999999999999</v>
      </c>
      <c r="K1131" s="27"/>
      <c r="L1131" s="30"/>
      <c r="M1131" s="30"/>
      <c r="N1131" s="30"/>
      <c r="O1131" s="30"/>
      <c r="P1131" s="30"/>
      <c r="Q1131" s="30"/>
      <c r="R1131" s="30"/>
      <c r="S1131" s="30"/>
    </row>
    <row r="1132" spans="1:19" x14ac:dyDescent="0.25">
      <c r="A1132" s="29">
        <v>45628</v>
      </c>
      <c r="B1132" s="31">
        <v>4.3630000000000004</v>
      </c>
      <c r="C1132" s="31">
        <v>4.3739999999999997</v>
      </c>
      <c r="D1132" s="31">
        <v>4.3849999999999998</v>
      </c>
      <c r="E1132" s="31">
        <v>4.5670000000000002</v>
      </c>
      <c r="F1132" s="31">
        <v>4.5750000000000002</v>
      </c>
      <c r="G1132" s="31">
        <v>4.6669999999999998</v>
      </c>
      <c r="H1132" s="31">
        <v>4.7210000000000001</v>
      </c>
      <c r="I1132" s="31">
        <v>4.7629999999999999</v>
      </c>
      <c r="K1132" s="27"/>
      <c r="L1132" s="30"/>
      <c r="M1132" s="30"/>
      <c r="N1132" s="30"/>
      <c r="O1132" s="30"/>
      <c r="P1132" s="30"/>
      <c r="Q1132" s="30"/>
      <c r="R1132" s="30"/>
      <c r="S1132" s="30"/>
    </row>
    <row r="1133" spans="1:19" x14ac:dyDescent="0.25">
      <c r="A1133" s="29">
        <v>45629</v>
      </c>
      <c r="B1133" s="31">
        <v>4.3440000000000003</v>
      </c>
      <c r="C1133" s="31">
        <v>4.38</v>
      </c>
      <c r="D1133" s="31">
        <v>4.4169999999999998</v>
      </c>
      <c r="E1133" s="31">
        <v>4.5670000000000002</v>
      </c>
      <c r="F1133" s="31">
        <v>4.5750000000000002</v>
      </c>
      <c r="G1133" s="31">
        <v>4.6669999999999998</v>
      </c>
      <c r="H1133" s="31">
        <v>4.7210000000000001</v>
      </c>
      <c r="I1133" s="31">
        <v>4.7629999999999999</v>
      </c>
      <c r="K1133" s="27"/>
      <c r="L1133" s="30"/>
      <c r="M1133" s="30"/>
      <c r="N1133" s="30"/>
      <c r="O1133" s="30"/>
      <c r="P1133" s="30"/>
      <c r="Q1133" s="30"/>
      <c r="R1133" s="30"/>
      <c r="S1133" s="30"/>
    </row>
    <row r="1134" spans="1:19" x14ac:dyDescent="0.25">
      <c r="A1134" s="29">
        <v>45630</v>
      </c>
      <c r="B1134" s="31">
        <v>4.319</v>
      </c>
      <c r="C1134" s="31">
        <v>4.3360000000000003</v>
      </c>
      <c r="D1134" s="31">
        <v>4.3540000000000001</v>
      </c>
      <c r="E1134" s="31">
        <v>4.5670000000000002</v>
      </c>
      <c r="F1134" s="31">
        <v>4.5750000000000002</v>
      </c>
      <c r="G1134" s="31">
        <v>4.6669999999999998</v>
      </c>
      <c r="H1134" s="31">
        <v>4.7210000000000001</v>
      </c>
      <c r="I1134" s="31">
        <v>4.7629999999999999</v>
      </c>
      <c r="K1134" s="27"/>
      <c r="L1134" s="30"/>
      <c r="M1134" s="30"/>
      <c r="N1134" s="30"/>
      <c r="O1134" s="30"/>
      <c r="P1134" s="30"/>
      <c r="Q1134" s="30"/>
      <c r="R1134" s="30"/>
      <c r="S1134" s="30"/>
    </row>
    <row r="1135" spans="1:19" x14ac:dyDescent="0.25">
      <c r="A1135" s="29">
        <v>45631</v>
      </c>
      <c r="B1135" s="31">
        <v>4.2190000000000003</v>
      </c>
      <c r="C1135" s="31">
        <v>4.242</v>
      </c>
      <c r="D1135" s="31">
        <v>4.2649999999999997</v>
      </c>
      <c r="E1135" s="31">
        <v>4.5579999999999998</v>
      </c>
      <c r="F1135" s="31">
        <v>4.5750000000000002</v>
      </c>
      <c r="G1135" s="31">
        <v>4.6669999999999998</v>
      </c>
      <c r="H1135" s="31">
        <v>4.7210000000000001</v>
      </c>
      <c r="I1135" s="31">
        <v>4.7629999999999999</v>
      </c>
      <c r="K1135" s="27"/>
      <c r="L1135" s="30"/>
      <c r="M1135" s="30"/>
      <c r="N1135" s="30"/>
      <c r="O1135" s="30"/>
      <c r="P1135" s="30"/>
      <c r="Q1135" s="30"/>
      <c r="R1135" s="30"/>
      <c r="S1135" s="30"/>
    </row>
    <row r="1136" spans="1:19" x14ac:dyDescent="0.25">
      <c r="A1136" s="29">
        <v>45632</v>
      </c>
      <c r="B1136" s="31">
        <v>4.2</v>
      </c>
      <c r="C1136" s="31">
        <v>4.2190000000000003</v>
      </c>
      <c r="D1136" s="31">
        <v>4.2380000000000004</v>
      </c>
      <c r="E1136" s="31">
        <v>4.55</v>
      </c>
      <c r="F1136" s="31">
        <v>4.5750000000000002</v>
      </c>
      <c r="G1136" s="31">
        <v>4.6669999999999998</v>
      </c>
      <c r="H1136" s="31">
        <v>4.7210000000000001</v>
      </c>
      <c r="I1136" s="31">
        <v>4.7629999999999999</v>
      </c>
      <c r="K1136" s="27"/>
      <c r="L1136" s="30"/>
      <c r="M1136" s="30"/>
      <c r="N1136" s="30"/>
      <c r="O1136" s="30"/>
      <c r="P1136" s="30"/>
      <c r="Q1136" s="30"/>
      <c r="R1136" s="30"/>
      <c r="S1136" s="30"/>
    </row>
    <row r="1137" spans="1:19" x14ac:dyDescent="0.25">
      <c r="A1137" s="29">
        <v>45635</v>
      </c>
      <c r="B1137" s="31">
        <v>4.2</v>
      </c>
      <c r="C1137" s="31">
        <v>4.2110000000000003</v>
      </c>
      <c r="D1137" s="31">
        <v>4.2229999999999999</v>
      </c>
      <c r="E1137" s="31">
        <v>4.55</v>
      </c>
      <c r="F1137" s="31">
        <v>4.5750000000000002</v>
      </c>
      <c r="G1137" s="31">
        <v>4.6669999999999998</v>
      </c>
      <c r="H1137" s="31">
        <v>4.7210000000000001</v>
      </c>
      <c r="I1137" s="31">
        <v>4.7629999999999999</v>
      </c>
      <c r="K1137" s="27"/>
      <c r="L1137" s="30"/>
      <c r="M1137" s="30"/>
      <c r="N1137" s="30"/>
      <c r="O1137" s="30"/>
      <c r="P1137" s="30"/>
      <c r="Q1137" s="30"/>
      <c r="R1137" s="30"/>
      <c r="S1137" s="30"/>
    </row>
    <row r="1138" spans="1:19" x14ac:dyDescent="0.25">
      <c r="A1138" s="29">
        <v>45636</v>
      </c>
      <c r="B1138" s="31">
        <v>4.2</v>
      </c>
      <c r="C1138" s="31">
        <v>4.22</v>
      </c>
      <c r="D1138" s="31">
        <v>4.24</v>
      </c>
      <c r="E1138" s="31">
        <v>4.5250000000000004</v>
      </c>
      <c r="F1138" s="31">
        <v>4.5750000000000002</v>
      </c>
      <c r="G1138" s="31">
        <v>4.6669999999999998</v>
      </c>
      <c r="H1138" s="31">
        <v>4.7210000000000001</v>
      </c>
      <c r="I1138" s="31">
        <v>4.7629999999999999</v>
      </c>
      <c r="K1138" s="27"/>
      <c r="L1138" s="30"/>
      <c r="M1138" s="30"/>
      <c r="N1138" s="30"/>
      <c r="O1138" s="30"/>
      <c r="P1138" s="30"/>
      <c r="Q1138" s="30"/>
      <c r="R1138" s="30"/>
      <c r="S1138" s="30"/>
    </row>
    <row r="1139" spans="1:19" x14ac:dyDescent="0.25">
      <c r="A1139" s="29">
        <v>45637</v>
      </c>
      <c r="B1139" s="31">
        <v>4.508</v>
      </c>
      <c r="C1139" s="31">
        <v>4.5350000000000001</v>
      </c>
      <c r="D1139" s="31">
        <v>4.5629999999999997</v>
      </c>
      <c r="E1139" s="31">
        <v>4.55</v>
      </c>
      <c r="F1139" s="31">
        <v>4.5750000000000002</v>
      </c>
      <c r="G1139" s="31">
        <v>4.6669999999999998</v>
      </c>
      <c r="H1139" s="31">
        <v>4.7210000000000001</v>
      </c>
      <c r="I1139" s="31">
        <v>4.7629999999999999</v>
      </c>
      <c r="K1139" s="27"/>
      <c r="L1139" s="30"/>
      <c r="M1139" s="30"/>
      <c r="N1139" s="30"/>
      <c r="O1139" s="30"/>
      <c r="P1139" s="30"/>
      <c r="Q1139" s="30"/>
      <c r="R1139" s="30"/>
      <c r="S1139" s="30"/>
    </row>
    <row r="1140" spans="1:19" x14ac:dyDescent="0.25">
      <c r="A1140" s="29">
        <v>45638</v>
      </c>
      <c r="B1140" s="31">
        <v>4.617</v>
      </c>
      <c r="C1140" s="31">
        <v>4.6500000000000004</v>
      </c>
      <c r="D1140" s="31">
        <v>4.6829999999999998</v>
      </c>
      <c r="E1140" s="31">
        <v>4.5670000000000002</v>
      </c>
      <c r="F1140" s="31">
        <v>4.5750000000000002</v>
      </c>
      <c r="G1140" s="31">
        <v>4.6669999999999998</v>
      </c>
      <c r="H1140" s="31">
        <v>4.7210000000000001</v>
      </c>
      <c r="I1140" s="31">
        <v>4.7629999999999999</v>
      </c>
      <c r="K1140" s="27"/>
      <c r="L1140" s="30"/>
      <c r="M1140" s="30"/>
      <c r="N1140" s="30"/>
      <c r="O1140" s="30"/>
      <c r="P1140" s="30"/>
      <c r="Q1140" s="30"/>
      <c r="R1140" s="30"/>
      <c r="S1140" s="30"/>
    </row>
    <row r="1141" spans="1:19" x14ac:dyDescent="0.25">
      <c r="A1141" s="29">
        <v>45639</v>
      </c>
      <c r="B1141" s="31">
        <v>4.4169999999999998</v>
      </c>
      <c r="C1141" s="31">
        <v>4.4790000000000001</v>
      </c>
      <c r="D1141" s="31">
        <v>4.5419999999999998</v>
      </c>
      <c r="E1141" s="31">
        <v>4.5670000000000002</v>
      </c>
      <c r="F1141" s="31">
        <v>4.5750000000000002</v>
      </c>
      <c r="G1141" s="31">
        <v>4.6669999999999998</v>
      </c>
      <c r="H1141" s="31">
        <v>4.7210000000000001</v>
      </c>
      <c r="I1141" s="31">
        <v>4.7629999999999999</v>
      </c>
      <c r="K1141" s="27"/>
      <c r="L1141" s="30"/>
      <c r="M1141" s="30"/>
      <c r="N1141" s="30"/>
      <c r="O1141" s="30"/>
      <c r="P1141" s="30"/>
      <c r="Q1141" s="30"/>
      <c r="R1141" s="30"/>
      <c r="S1141" s="30"/>
    </row>
    <row r="1142" spans="1:19" x14ac:dyDescent="0.25">
      <c r="A1142" s="29">
        <v>45642</v>
      </c>
      <c r="B1142" s="31">
        <v>4.2629999999999999</v>
      </c>
      <c r="C1142" s="31">
        <v>4.3330000000000002</v>
      </c>
      <c r="D1142" s="31">
        <v>4.4039999999999999</v>
      </c>
      <c r="E1142" s="31">
        <v>4.5579999999999998</v>
      </c>
      <c r="F1142" s="31">
        <v>4.5670000000000002</v>
      </c>
      <c r="G1142" s="31">
        <v>4.6669999999999998</v>
      </c>
      <c r="H1142" s="31">
        <v>4.7210000000000001</v>
      </c>
      <c r="I1142" s="31">
        <v>4.7629999999999999</v>
      </c>
      <c r="K1142" s="27"/>
      <c r="L1142" s="30"/>
      <c r="M1142" s="30"/>
      <c r="N1142" s="30"/>
      <c r="O1142" s="30"/>
      <c r="P1142" s="30"/>
      <c r="Q1142" s="30"/>
      <c r="R1142" s="30"/>
      <c r="S1142" s="30"/>
    </row>
    <row r="1143" spans="1:19" x14ac:dyDescent="0.25">
      <c r="A1143" s="29">
        <v>45643</v>
      </c>
      <c r="B1143" s="31">
        <v>4.0880000000000001</v>
      </c>
      <c r="C1143" s="31">
        <v>4.1269999999999998</v>
      </c>
      <c r="D1143" s="31">
        <v>4.1669999999999998</v>
      </c>
      <c r="E1143" s="31">
        <v>4.5330000000000004</v>
      </c>
      <c r="F1143" s="31">
        <v>4.5670000000000002</v>
      </c>
      <c r="G1143" s="31">
        <v>4.6669999999999998</v>
      </c>
      <c r="H1143" s="31">
        <v>4.7210000000000001</v>
      </c>
      <c r="I1143" s="31">
        <v>4.7629999999999999</v>
      </c>
      <c r="K1143" s="27"/>
      <c r="L1143" s="30"/>
      <c r="M1143" s="30"/>
      <c r="N1143" s="30"/>
      <c r="O1143" s="30"/>
      <c r="P1143" s="30"/>
      <c r="Q1143" s="30"/>
      <c r="R1143" s="30"/>
      <c r="S1143" s="30"/>
    </row>
    <row r="1144" spans="1:19" x14ac:dyDescent="0.25">
      <c r="A1144" s="29">
        <v>45644</v>
      </c>
      <c r="B1144" s="31">
        <v>4.0960000000000001</v>
      </c>
      <c r="C1144" s="31">
        <v>4.1310000000000002</v>
      </c>
      <c r="D1144" s="31">
        <v>4.1669999999999998</v>
      </c>
      <c r="E1144" s="31">
        <v>4.5330000000000004</v>
      </c>
      <c r="F1144" s="31">
        <v>4.5670000000000002</v>
      </c>
      <c r="G1144" s="31">
        <v>4.6669999999999998</v>
      </c>
      <c r="H1144" s="31">
        <v>4.7210000000000001</v>
      </c>
      <c r="I1144" s="31">
        <v>4.7629999999999999</v>
      </c>
      <c r="K1144" s="27"/>
      <c r="L1144" s="30"/>
      <c r="M1144" s="30"/>
      <c r="N1144" s="30"/>
      <c r="O1144" s="30"/>
      <c r="P1144" s="30"/>
      <c r="Q1144" s="30"/>
      <c r="R1144" s="30"/>
      <c r="S1144" s="30"/>
    </row>
    <row r="1145" spans="1:19" x14ac:dyDescent="0.25">
      <c r="A1145" s="29">
        <v>45645</v>
      </c>
      <c r="B1145" s="31">
        <v>4.2039999999999997</v>
      </c>
      <c r="C1145" s="31">
        <v>4.24</v>
      </c>
      <c r="D1145" s="31">
        <v>4.2750000000000004</v>
      </c>
      <c r="E1145" s="31">
        <v>4.5330000000000004</v>
      </c>
      <c r="F1145" s="31">
        <v>4.5670000000000002</v>
      </c>
      <c r="G1145" s="31">
        <v>4.6669999999999998</v>
      </c>
      <c r="H1145" s="31">
        <v>4.7210000000000001</v>
      </c>
      <c r="I1145" s="31">
        <v>4.7629999999999999</v>
      </c>
      <c r="K1145" s="27"/>
      <c r="L1145" s="30"/>
      <c r="M1145" s="30"/>
      <c r="N1145" s="30"/>
      <c r="O1145" s="30"/>
      <c r="P1145" s="30"/>
      <c r="Q1145" s="30"/>
      <c r="R1145" s="30"/>
      <c r="S1145" s="30"/>
    </row>
    <row r="1146" spans="1:19" x14ac:dyDescent="0.25">
      <c r="A1146" s="29">
        <v>45646</v>
      </c>
      <c r="B1146" s="31">
        <v>4.4880000000000004</v>
      </c>
      <c r="C1146" s="31">
        <v>4.5170000000000003</v>
      </c>
      <c r="D1146" s="31">
        <v>4.5460000000000003</v>
      </c>
      <c r="E1146" s="31">
        <v>4.5330000000000004</v>
      </c>
      <c r="F1146" s="31">
        <v>4.5670000000000002</v>
      </c>
      <c r="G1146" s="31">
        <v>4.6669999999999998</v>
      </c>
      <c r="H1146" s="31">
        <v>4.7210000000000001</v>
      </c>
      <c r="I1146" s="31">
        <v>4.7629999999999999</v>
      </c>
      <c r="K1146" s="27"/>
      <c r="L1146" s="30"/>
      <c r="M1146" s="30"/>
      <c r="N1146" s="30"/>
      <c r="O1146" s="30"/>
      <c r="P1146" s="30"/>
      <c r="Q1146" s="30"/>
      <c r="R1146" s="30"/>
      <c r="S1146" s="30"/>
    </row>
    <row r="1147" spans="1:19" x14ac:dyDescent="0.25">
      <c r="A1147" s="29">
        <v>45649</v>
      </c>
      <c r="B1147" s="31">
        <v>4.4829999999999997</v>
      </c>
      <c r="C1147" s="31">
        <v>4.5</v>
      </c>
      <c r="D1147" s="31">
        <v>4.5170000000000003</v>
      </c>
      <c r="E1147" s="31">
        <v>4.5579999999999998</v>
      </c>
      <c r="F1147" s="31">
        <v>4.5750000000000002</v>
      </c>
      <c r="G1147" s="31">
        <v>4.6669999999999998</v>
      </c>
      <c r="H1147" s="31">
        <v>4.7210000000000001</v>
      </c>
      <c r="I1147" s="31">
        <v>4.7629999999999999</v>
      </c>
      <c r="K1147" s="27"/>
      <c r="L1147" s="30"/>
      <c r="M1147" s="30"/>
      <c r="N1147" s="30"/>
      <c r="O1147" s="30"/>
      <c r="P1147" s="30"/>
      <c r="Q1147" s="30"/>
      <c r="R1147" s="30"/>
      <c r="S1147" s="30"/>
    </row>
    <row r="1148" spans="1:19" x14ac:dyDescent="0.25">
      <c r="A1148" s="29">
        <v>45650</v>
      </c>
      <c r="B1148" s="31">
        <v>4.4249999999999998</v>
      </c>
      <c r="C1148" s="31">
        <v>4.4539999999999997</v>
      </c>
      <c r="D1148" s="31">
        <v>4.4829999999999997</v>
      </c>
      <c r="E1148" s="31">
        <v>4.5579999999999998</v>
      </c>
      <c r="F1148" s="31">
        <v>4.5750000000000002</v>
      </c>
      <c r="G1148" s="31">
        <v>4.6669999999999998</v>
      </c>
      <c r="H1148" s="31">
        <v>4.7210000000000001</v>
      </c>
      <c r="I1148" s="31">
        <v>4.7629999999999999</v>
      </c>
      <c r="K1148" s="27"/>
      <c r="L1148" s="30"/>
      <c r="M1148" s="30"/>
      <c r="N1148" s="30"/>
      <c r="O1148" s="30"/>
      <c r="P1148" s="30"/>
      <c r="Q1148" s="30"/>
      <c r="R1148" s="30"/>
      <c r="S1148" s="30"/>
    </row>
    <row r="1149" spans="1:19" x14ac:dyDescent="0.25">
      <c r="A1149" s="29">
        <v>45651</v>
      </c>
      <c r="B1149" s="31">
        <v>4.492</v>
      </c>
      <c r="C1149" s="31">
        <v>4.5039999999999996</v>
      </c>
      <c r="D1149" s="31">
        <v>4.5170000000000003</v>
      </c>
      <c r="E1149" s="31">
        <v>4.5670000000000002</v>
      </c>
      <c r="F1149" s="31">
        <v>4.5750000000000002</v>
      </c>
      <c r="G1149" s="31">
        <v>4.6669999999999998</v>
      </c>
      <c r="H1149" s="31">
        <v>4.7210000000000001</v>
      </c>
      <c r="I1149" s="31">
        <v>4.7629999999999999</v>
      </c>
      <c r="K1149" s="27"/>
      <c r="L1149" s="30"/>
      <c r="M1149" s="30"/>
      <c r="N1149" s="30"/>
      <c r="O1149" s="30"/>
      <c r="P1149" s="30"/>
      <c r="Q1149" s="30"/>
      <c r="R1149" s="30"/>
      <c r="S1149" s="30"/>
    </row>
    <row r="1150" spans="1:19" x14ac:dyDescent="0.25">
      <c r="A1150" s="29">
        <v>45652</v>
      </c>
      <c r="B1150" s="31">
        <v>4.5999999999999996</v>
      </c>
      <c r="C1150" s="31">
        <v>4.6340000000000003</v>
      </c>
      <c r="D1150" s="31">
        <v>4.6689999999999996</v>
      </c>
      <c r="E1150" s="31">
        <v>4.5830000000000002</v>
      </c>
      <c r="F1150" s="31">
        <v>4.5830000000000002</v>
      </c>
      <c r="G1150" s="31">
        <v>4.6669999999999998</v>
      </c>
      <c r="H1150" s="31">
        <v>4.7210000000000001</v>
      </c>
      <c r="I1150" s="31">
        <v>4.7629999999999999</v>
      </c>
      <c r="K1150" s="27"/>
      <c r="L1150" s="30"/>
      <c r="M1150" s="30"/>
      <c r="N1150" s="30"/>
      <c r="O1150" s="30"/>
      <c r="P1150" s="30"/>
      <c r="Q1150" s="30"/>
      <c r="R1150" s="30"/>
      <c r="S1150" s="30"/>
    </row>
    <row r="1151" spans="1:19" x14ac:dyDescent="0.25">
      <c r="A1151" s="29">
        <v>45653</v>
      </c>
      <c r="B1151" s="31">
        <v>4.6289999999999996</v>
      </c>
      <c r="C1151" s="31">
        <v>4.6310000000000002</v>
      </c>
      <c r="D1151" s="31">
        <v>4.633</v>
      </c>
      <c r="E1151" s="31">
        <v>4.5999999999999996</v>
      </c>
      <c r="F1151" s="31">
        <v>4.5830000000000002</v>
      </c>
      <c r="G1151" s="31">
        <v>4.6669999999999998</v>
      </c>
      <c r="H1151" s="31">
        <v>4.7210000000000001</v>
      </c>
      <c r="I1151" s="31">
        <v>4.7629999999999999</v>
      </c>
      <c r="K1151" s="27"/>
      <c r="L1151" s="30"/>
      <c r="M1151" s="30"/>
      <c r="N1151" s="30"/>
      <c r="O1151" s="30"/>
      <c r="P1151" s="30"/>
      <c r="Q1151" s="30"/>
      <c r="R1151" s="30"/>
      <c r="S1151" s="30"/>
    </row>
    <row r="1152" spans="1:19" x14ac:dyDescent="0.25">
      <c r="A1152" s="29">
        <v>45656</v>
      </c>
      <c r="B1152" s="31">
        <v>4.6210000000000004</v>
      </c>
      <c r="C1152" s="31">
        <v>4.6239999999999997</v>
      </c>
      <c r="D1152" s="31">
        <v>4.6269999999999998</v>
      </c>
      <c r="E1152" s="31">
        <v>4.5830000000000002</v>
      </c>
      <c r="F1152" s="31">
        <v>4.5750000000000002</v>
      </c>
      <c r="G1152" s="31">
        <v>4.6669999999999998</v>
      </c>
      <c r="H1152" s="31">
        <v>4.7210000000000001</v>
      </c>
      <c r="I1152" s="31">
        <v>4.7629999999999999</v>
      </c>
      <c r="K1152" s="27"/>
      <c r="L1152" s="30"/>
      <c r="M1152" s="30"/>
      <c r="N1152" s="30"/>
      <c r="O1152" s="30"/>
      <c r="P1152" s="30"/>
      <c r="Q1152" s="30"/>
      <c r="R1152" s="30"/>
      <c r="S1152" s="30"/>
    </row>
    <row r="1153" spans="1:19" x14ac:dyDescent="0.25">
      <c r="A1153" s="29">
        <v>45657</v>
      </c>
      <c r="B1153" s="31">
        <v>4.6210000000000004</v>
      </c>
      <c r="C1153" s="31">
        <v>4.63</v>
      </c>
      <c r="D1153" s="31">
        <v>4.6399999999999997</v>
      </c>
      <c r="E1153" s="31">
        <v>4.5919999999999996</v>
      </c>
      <c r="F1153" s="31">
        <v>4.5830000000000002</v>
      </c>
      <c r="G1153" s="31">
        <v>4.6669999999999998</v>
      </c>
      <c r="H1153" s="31">
        <v>4.7210000000000001</v>
      </c>
      <c r="I1153" s="31">
        <v>4.7629999999999999</v>
      </c>
      <c r="K1153" s="27"/>
      <c r="L1153" s="30"/>
      <c r="M1153" s="30"/>
      <c r="N1153" s="30"/>
      <c r="O1153" s="30"/>
      <c r="P1153" s="30"/>
      <c r="Q1153" s="30"/>
      <c r="R1153" s="30"/>
      <c r="S1153" s="30"/>
    </row>
    <row r="1154" spans="1:19" x14ac:dyDescent="0.25">
      <c r="A1154" s="29">
        <v>45659</v>
      </c>
      <c r="B1154" s="31">
        <v>4.6189999999999998</v>
      </c>
      <c r="C1154" s="31">
        <v>4.6390000000000002</v>
      </c>
      <c r="D1154" s="31">
        <v>4.6580000000000004</v>
      </c>
      <c r="E1154" s="31">
        <v>4.5919999999999996</v>
      </c>
      <c r="F1154" s="31">
        <v>4.5830000000000002</v>
      </c>
      <c r="G1154" s="31">
        <v>4.6669999999999998</v>
      </c>
      <c r="H1154" s="31">
        <v>4.7210000000000001</v>
      </c>
      <c r="I1154" s="31">
        <v>4.7629999999999999</v>
      </c>
      <c r="K1154" s="27"/>
      <c r="L1154" s="30"/>
      <c r="M1154" s="30"/>
      <c r="N1154" s="30"/>
      <c r="O1154" s="30"/>
      <c r="P1154" s="30"/>
      <c r="Q1154" s="30"/>
      <c r="R1154" s="30"/>
      <c r="S1154" s="30"/>
    </row>
    <row r="1155" spans="1:19" x14ac:dyDescent="0.25">
      <c r="A1155" s="29">
        <v>45660</v>
      </c>
      <c r="B1155" s="31">
        <v>4.5540000000000003</v>
      </c>
      <c r="C1155" s="31">
        <v>4.5940000000000003</v>
      </c>
      <c r="D1155" s="31">
        <v>4.633</v>
      </c>
      <c r="E1155" s="31">
        <v>4.5919999999999996</v>
      </c>
      <c r="F1155" s="31">
        <v>4.5830000000000002</v>
      </c>
      <c r="G1155" s="31">
        <v>4.6669999999999998</v>
      </c>
      <c r="H1155" s="31">
        <v>4.7210000000000001</v>
      </c>
      <c r="I1155" s="31">
        <v>4.7629999999999999</v>
      </c>
      <c r="K1155" s="27"/>
      <c r="L1155" s="30"/>
      <c r="M1155" s="30"/>
      <c r="N1155" s="30"/>
      <c r="O1155" s="30"/>
      <c r="P1155" s="30"/>
      <c r="Q1155" s="30"/>
      <c r="R1155" s="30"/>
      <c r="S1155" s="30"/>
    </row>
    <row r="1156" spans="1:19" x14ac:dyDescent="0.25">
      <c r="A1156" s="29">
        <v>45663</v>
      </c>
      <c r="B1156" s="31">
        <v>4.3460000000000001</v>
      </c>
      <c r="C1156" s="31">
        <v>4.3819999999999997</v>
      </c>
      <c r="D1156" s="31">
        <v>4.4189999999999996</v>
      </c>
      <c r="E1156" s="31">
        <v>4.5919999999999996</v>
      </c>
      <c r="F1156" s="31">
        <v>4.5830000000000002</v>
      </c>
      <c r="G1156" s="31">
        <v>4.6669999999999998</v>
      </c>
      <c r="H1156" s="31">
        <v>4.7210000000000001</v>
      </c>
      <c r="I1156" s="31">
        <v>4.7629999999999999</v>
      </c>
      <c r="K1156" s="27"/>
      <c r="L1156" s="30"/>
      <c r="M1156" s="30"/>
      <c r="N1156" s="30"/>
      <c r="O1156" s="30"/>
      <c r="P1156" s="30"/>
      <c r="Q1156" s="30"/>
      <c r="R1156" s="30"/>
      <c r="S1156" s="30"/>
    </row>
    <row r="1157" spans="1:19" x14ac:dyDescent="0.25">
      <c r="A1157" s="29">
        <v>45664</v>
      </c>
      <c r="B1157" s="31">
        <v>4.2690000000000001</v>
      </c>
      <c r="C1157" s="31">
        <v>4.3209999999999997</v>
      </c>
      <c r="D1157" s="31">
        <v>4.3730000000000002</v>
      </c>
      <c r="E1157" s="31">
        <v>4.5830000000000002</v>
      </c>
      <c r="F1157" s="31">
        <v>4.5830000000000002</v>
      </c>
      <c r="G1157" s="31">
        <v>4.6669999999999998</v>
      </c>
      <c r="H1157" s="31">
        <v>4.7210000000000001</v>
      </c>
      <c r="I1157" s="31">
        <v>4.7629999999999999</v>
      </c>
      <c r="K1157" s="27"/>
      <c r="L1157" s="30"/>
      <c r="M1157" s="30"/>
      <c r="N1157" s="30"/>
      <c r="O1157" s="30"/>
      <c r="P1157" s="30"/>
      <c r="Q1157" s="30"/>
      <c r="R1157" s="30"/>
      <c r="S1157" s="30"/>
    </row>
    <row r="1158" spans="1:19" x14ac:dyDescent="0.25">
      <c r="A1158" s="29">
        <v>45665</v>
      </c>
      <c r="B1158" s="31">
        <v>4.2060000000000004</v>
      </c>
      <c r="C1158" s="31">
        <v>4.2489999999999997</v>
      </c>
      <c r="D1158" s="31">
        <v>4.2919999999999998</v>
      </c>
      <c r="E1158" s="31">
        <v>4.5830000000000002</v>
      </c>
      <c r="F1158" s="31">
        <v>4.5830000000000002</v>
      </c>
      <c r="G1158" s="31">
        <v>4.6669999999999998</v>
      </c>
      <c r="H1158" s="31">
        <v>4.7210000000000001</v>
      </c>
      <c r="I1158" s="31">
        <v>4.7629999999999999</v>
      </c>
      <c r="K1158" s="27"/>
      <c r="L1158" s="30"/>
      <c r="M1158" s="30"/>
      <c r="N1158" s="30"/>
      <c r="O1158" s="30"/>
      <c r="P1158" s="30"/>
      <c r="Q1158" s="30"/>
      <c r="R1158" s="30"/>
      <c r="S1158" s="30"/>
    </row>
    <row r="1159" spans="1:19" x14ac:dyDescent="0.25">
      <c r="A1159" s="29">
        <v>45666</v>
      </c>
      <c r="B1159" s="31">
        <v>4.3099999999999996</v>
      </c>
      <c r="C1159" s="31">
        <v>4.3600000000000003</v>
      </c>
      <c r="D1159" s="31">
        <v>4.41</v>
      </c>
      <c r="E1159" s="31">
        <v>4.5830000000000002</v>
      </c>
      <c r="F1159" s="31">
        <v>4.5830000000000002</v>
      </c>
      <c r="G1159" s="31">
        <v>4.6669999999999998</v>
      </c>
      <c r="H1159" s="31">
        <v>4.7210000000000001</v>
      </c>
      <c r="I1159" s="31">
        <v>4.7629999999999999</v>
      </c>
      <c r="K1159" s="27"/>
      <c r="L1159" s="30"/>
      <c r="M1159" s="30"/>
      <c r="N1159" s="30"/>
      <c r="O1159" s="30"/>
      <c r="P1159" s="30"/>
      <c r="Q1159" s="30"/>
      <c r="R1159" s="30"/>
      <c r="S1159" s="30"/>
    </row>
    <row r="1160" spans="1:19" x14ac:dyDescent="0.25">
      <c r="A1160" s="29">
        <v>45667</v>
      </c>
      <c r="B1160" s="31">
        <v>4.4790000000000001</v>
      </c>
      <c r="C1160" s="31">
        <v>4.508</v>
      </c>
      <c r="D1160" s="31">
        <v>4.5380000000000003</v>
      </c>
      <c r="E1160" s="31">
        <v>4.5830000000000002</v>
      </c>
      <c r="F1160" s="31">
        <v>4.5830000000000002</v>
      </c>
      <c r="G1160" s="31">
        <v>4.6669999999999998</v>
      </c>
      <c r="H1160" s="31">
        <v>4.7210000000000001</v>
      </c>
      <c r="I1160" s="31">
        <v>4.7629999999999999</v>
      </c>
      <c r="K1160" s="27"/>
      <c r="L1160" s="30"/>
      <c r="M1160" s="30"/>
      <c r="N1160" s="30"/>
      <c r="O1160" s="30"/>
      <c r="P1160" s="30"/>
      <c r="Q1160" s="30"/>
      <c r="R1160" s="30"/>
      <c r="S1160" s="30"/>
    </row>
    <row r="1161" spans="1:19" x14ac:dyDescent="0.25">
      <c r="A1161" s="29">
        <v>45670</v>
      </c>
      <c r="B1161" s="31">
        <v>4.5229999999999997</v>
      </c>
      <c r="C1161" s="31">
        <v>4.5469999999999997</v>
      </c>
      <c r="D1161" s="31">
        <v>4.5709999999999997</v>
      </c>
      <c r="E1161" s="31">
        <v>4.5830000000000002</v>
      </c>
      <c r="F1161" s="31">
        <v>4.5830000000000002</v>
      </c>
      <c r="G1161" s="31">
        <v>4.6669999999999998</v>
      </c>
      <c r="H1161" s="31">
        <v>4.7210000000000001</v>
      </c>
      <c r="I1161" s="31">
        <v>4.7629999999999999</v>
      </c>
      <c r="K1161" s="27"/>
      <c r="L1161" s="30"/>
      <c r="M1161" s="30"/>
      <c r="N1161" s="30"/>
      <c r="O1161" s="30"/>
      <c r="P1161" s="30"/>
      <c r="Q1161" s="30"/>
      <c r="R1161" s="30"/>
      <c r="S1161" s="30"/>
    </row>
    <row r="1162" spans="1:19" x14ac:dyDescent="0.25">
      <c r="A1162" s="29">
        <v>45671</v>
      </c>
      <c r="B1162" s="31">
        <v>4.3879999999999999</v>
      </c>
      <c r="C1162" s="31">
        <v>4.4130000000000003</v>
      </c>
      <c r="D1162" s="31">
        <v>4.4370000000000003</v>
      </c>
      <c r="E1162" s="31">
        <v>4.5880000000000001</v>
      </c>
      <c r="F1162" s="31">
        <v>4.5880000000000001</v>
      </c>
      <c r="G1162" s="31">
        <v>4.673</v>
      </c>
      <c r="H1162" s="31">
        <v>4.7229999999999999</v>
      </c>
      <c r="I1162" s="31">
        <v>4.7690000000000001</v>
      </c>
      <c r="K1162" s="27"/>
      <c r="L1162" s="30"/>
      <c r="M1162" s="30"/>
      <c r="N1162" s="30"/>
      <c r="O1162" s="30"/>
      <c r="P1162" s="30"/>
      <c r="Q1162" s="30"/>
      <c r="R1162" s="30"/>
      <c r="S1162" s="30"/>
    </row>
    <row r="1163" spans="1:19" x14ac:dyDescent="0.25">
      <c r="A1163" s="29">
        <v>45672</v>
      </c>
      <c r="B1163" s="31">
        <v>4.2270000000000003</v>
      </c>
      <c r="C1163" s="31">
        <v>4.242</v>
      </c>
      <c r="D1163" s="31">
        <v>4.258</v>
      </c>
      <c r="E1163" s="31">
        <v>4.5810000000000004</v>
      </c>
      <c r="F1163" s="31">
        <v>4.5880000000000001</v>
      </c>
      <c r="G1163" s="31">
        <v>4.673</v>
      </c>
      <c r="H1163" s="31">
        <v>4.7229999999999999</v>
      </c>
      <c r="I1163" s="31">
        <v>4.7690000000000001</v>
      </c>
      <c r="K1163" s="27"/>
      <c r="L1163" s="30"/>
      <c r="M1163" s="30"/>
      <c r="N1163" s="30"/>
      <c r="O1163" s="30"/>
      <c r="P1163" s="30"/>
      <c r="Q1163" s="30"/>
      <c r="R1163" s="30"/>
      <c r="S1163" s="30"/>
    </row>
    <row r="1164" spans="1:19" x14ac:dyDescent="0.25">
      <c r="A1164" s="29">
        <v>45673</v>
      </c>
      <c r="B1164" s="31">
        <v>4.2249999999999996</v>
      </c>
      <c r="C1164" s="31">
        <v>4.2519999999999998</v>
      </c>
      <c r="D1164" s="31">
        <v>4.2789999999999999</v>
      </c>
      <c r="E1164" s="31">
        <v>4.5579999999999998</v>
      </c>
      <c r="F1164" s="31">
        <v>4.5579999999999998</v>
      </c>
      <c r="G1164" s="31">
        <v>4.665</v>
      </c>
      <c r="H1164" s="31">
        <v>4.7149999999999999</v>
      </c>
      <c r="I1164" s="31">
        <v>4.7539999999999996</v>
      </c>
      <c r="K1164" s="27"/>
      <c r="L1164" s="30"/>
      <c r="M1164" s="30"/>
      <c r="N1164" s="30"/>
      <c r="O1164" s="30"/>
      <c r="P1164" s="30"/>
      <c r="Q1164" s="30"/>
      <c r="R1164" s="30"/>
      <c r="S1164" s="30"/>
    </row>
    <row r="1165" spans="1:19" x14ac:dyDescent="0.25">
      <c r="A1165" s="29">
        <v>45674</v>
      </c>
      <c r="B1165" s="31">
        <v>4.2560000000000002</v>
      </c>
      <c r="C1165" s="31">
        <v>4.2869999999999999</v>
      </c>
      <c r="D1165" s="31">
        <v>4.3170000000000002</v>
      </c>
      <c r="E1165" s="31">
        <v>4.5650000000000004</v>
      </c>
      <c r="F1165" s="31">
        <v>4.5650000000000004</v>
      </c>
      <c r="G1165" s="31">
        <v>4.673</v>
      </c>
      <c r="H1165" s="31">
        <v>4.7309999999999999</v>
      </c>
      <c r="I1165" s="31">
        <v>4.7690000000000001</v>
      </c>
      <c r="K1165" s="27"/>
      <c r="L1165" s="30"/>
      <c r="M1165" s="30"/>
      <c r="N1165" s="30"/>
      <c r="O1165" s="30"/>
      <c r="P1165" s="30"/>
      <c r="Q1165" s="30"/>
      <c r="R1165" s="30"/>
      <c r="S1165" s="30"/>
    </row>
    <row r="1166" spans="1:19" x14ac:dyDescent="0.25">
      <c r="A1166" s="29">
        <v>45677</v>
      </c>
      <c r="B1166" s="31">
        <v>4.375</v>
      </c>
      <c r="C1166" s="31">
        <v>4.38</v>
      </c>
      <c r="D1166" s="31">
        <v>4.3849999999999998</v>
      </c>
      <c r="E1166" s="31">
        <v>4.5810000000000004</v>
      </c>
      <c r="F1166" s="31">
        <v>4.5810000000000004</v>
      </c>
      <c r="G1166" s="31">
        <v>4.681</v>
      </c>
      <c r="H1166" s="31">
        <v>4.7380000000000004</v>
      </c>
      <c r="I1166" s="31">
        <v>4.7770000000000001</v>
      </c>
      <c r="K1166" s="27"/>
      <c r="L1166" s="30"/>
      <c r="M1166" s="30"/>
      <c r="N1166" s="30"/>
      <c r="O1166" s="30"/>
      <c r="P1166" s="30"/>
      <c r="Q1166" s="30"/>
      <c r="R1166" s="30"/>
      <c r="S1166" s="30"/>
    </row>
    <row r="1167" spans="1:19" x14ac:dyDescent="0.25">
      <c r="A1167" s="29">
        <v>45678</v>
      </c>
      <c r="B1167" s="31">
        <v>4.2130000000000001</v>
      </c>
      <c r="C1167" s="31">
        <v>4.2569999999999997</v>
      </c>
      <c r="D1167" s="31">
        <v>4.3</v>
      </c>
      <c r="E1167" s="31">
        <v>4.5810000000000004</v>
      </c>
      <c r="F1167" s="31">
        <v>4.5810000000000004</v>
      </c>
      <c r="G1167" s="31">
        <v>4.681</v>
      </c>
      <c r="H1167" s="31">
        <v>4.7380000000000004</v>
      </c>
      <c r="I1167" s="31">
        <v>4.7770000000000001</v>
      </c>
      <c r="K1167" s="27"/>
      <c r="L1167" s="30"/>
      <c r="M1167" s="30"/>
      <c r="N1167" s="30"/>
      <c r="O1167" s="30"/>
      <c r="P1167" s="30"/>
      <c r="Q1167" s="30"/>
      <c r="R1167" s="30"/>
      <c r="S1167" s="30"/>
    </row>
    <row r="1168" spans="1:19" x14ac:dyDescent="0.25">
      <c r="A1168" s="29">
        <v>45679</v>
      </c>
      <c r="B1168" s="31">
        <v>4.2210000000000001</v>
      </c>
      <c r="C1168" s="31">
        <v>4.266</v>
      </c>
      <c r="D1168" s="31">
        <v>4.3120000000000003</v>
      </c>
      <c r="E1168" s="31">
        <v>4.5810000000000004</v>
      </c>
      <c r="F1168" s="31">
        <v>4.5810000000000004</v>
      </c>
      <c r="G1168" s="31">
        <v>4.681</v>
      </c>
      <c r="H1168" s="31">
        <v>4.7380000000000004</v>
      </c>
      <c r="I1168" s="31">
        <v>4.7770000000000001</v>
      </c>
      <c r="K1168" s="27"/>
      <c r="L1168" s="30"/>
      <c r="M1168" s="30"/>
      <c r="N1168" s="30"/>
      <c r="O1168" s="30"/>
      <c r="P1168" s="30"/>
      <c r="Q1168" s="30"/>
      <c r="R1168" s="30"/>
      <c r="S1168" s="30"/>
    </row>
    <row r="1169" spans="1:19" x14ac:dyDescent="0.25">
      <c r="A1169" s="29">
        <v>45680</v>
      </c>
      <c r="B1169" s="31">
        <v>4.2460000000000004</v>
      </c>
      <c r="C1169" s="31">
        <v>4.2789999999999999</v>
      </c>
      <c r="D1169" s="31">
        <v>4.3120000000000003</v>
      </c>
      <c r="E1169" s="31">
        <v>4.5810000000000004</v>
      </c>
      <c r="F1169" s="31">
        <v>4.5810000000000004</v>
      </c>
      <c r="G1169" s="31">
        <v>4.681</v>
      </c>
      <c r="H1169" s="31">
        <v>4.7380000000000004</v>
      </c>
      <c r="I1169" s="31">
        <v>4.7770000000000001</v>
      </c>
      <c r="K1169" s="27"/>
      <c r="L1169" s="30"/>
      <c r="M1169" s="30"/>
      <c r="N1169" s="30"/>
      <c r="O1169" s="30"/>
      <c r="P1169" s="30"/>
      <c r="Q1169" s="30"/>
      <c r="R1169" s="30"/>
      <c r="S1169" s="30"/>
    </row>
    <row r="1170" spans="1:19" x14ac:dyDescent="0.25">
      <c r="A1170" s="29">
        <v>45681</v>
      </c>
      <c r="B1170" s="31">
        <v>4.2649999999999997</v>
      </c>
      <c r="C1170" s="31">
        <v>4.3019999999999996</v>
      </c>
      <c r="D1170" s="31">
        <v>4.3380000000000001</v>
      </c>
      <c r="E1170" s="31">
        <v>4.5810000000000004</v>
      </c>
      <c r="F1170" s="31">
        <v>4.5960000000000001</v>
      </c>
      <c r="G1170" s="31">
        <v>4.665</v>
      </c>
      <c r="H1170" s="31">
        <v>4.7</v>
      </c>
      <c r="I1170" s="31">
        <v>4.7149999999999999</v>
      </c>
      <c r="K1170" s="27"/>
      <c r="L1170" s="30"/>
      <c r="M1170" s="30"/>
      <c r="N1170" s="30"/>
      <c r="O1170" s="30"/>
      <c r="P1170" s="30"/>
      <c r="Q1170" s="30"/>
      <c r="R1170" s="30"/>
      <c r="S1170" s="30"/>
    </row>
    <row r="1171" spans="1:19" x14ac:dyDescent="0.25">
      <c r="A1171" s="29">
        <v>45691</v>
      </c>
      <c r="B1171" s="31">
        <v>4.2919999999999998</v>
      </c>
      <c r="C1171" s="31">
        <v>4.3079999999999998</v>
      </c>
      <c r="D1171" s="31">
        <v>4.3230000000000004</v>
      </c>
      <c r="E1171" s="31">
        <v>4.5810000000000004</v>
      </c>
      <c r="F1171" s="31">
        <v>4.5960000000000001</v>
      </c>
      <c r="G1171" s="31">
        <v>4.665</v>
      </c>
      <c r="H1171" s="31">
        <v>4.7</v>
      </c>
      <c r="I1171" s="31">
        <v>4.7149999999999999</v>
      </c>
      <c r="K1171" s="27"/>
      <c r="L1171" s="30"/>
      <c r="M1171" s="30"/>
      <c r="N1171" s="30"/>
      <c r="O1171" s="30"/>
      <c r="P1171" s="30"/>
      <c r="Q1171" s="30"/>
      <c r="R1171" s="30"/>
      <c r="S1171" s="30"/>
    </row>
    <row r="1172" spans="1:19" x14ac:dyDescent="0.25">
      <c r="A1172" s="29">
        <v>45692</v>
      </c>
      <c r="B1172" s="31">
        <v>4.4379999999999997</v>
      </c>
      <c r="C1172" s="31">
        <v>4.4420000000000002</v>
      </c>
      <c r="D1172" s="31">
        <v>4.4459999999999997</v>
      </c>
      <c r="E1172" s="31">
        <v>4.5650000000000004</v>
      </c>
      <c r="F1172" s="31">
        <v>4.5960000000000001</v>
      </c>
      <c r="G1172" s="31">
        <v>4.665</v>
      </c>
      <c r="H1172" s="31">
        <v>4.7</v>
      </c>
      <c r="I1172" s="31">
        <v>4.7149999999999999</v>
      </c>
      <c r="K1172" s="27"/>
      <c r="L1172" s="30"/>
      <c r="M1172" s="30"/>
      <c r="N1172" s="30"/>
      <c r="O1172" s="30"/>
      <c r="P1172" s="30"/>
      <c r="Q1172" s="30"/>
      <c r="R1172" s="30"/>
      <c r="S1172" s="30"/>
    </row>
    <row r="1173" spans="1:19" x14ac:dyDescent="0.25">
      <c r="A1173" s="29">
        <v>45693</v>
      </c>
      <c r="B1173" s="31">
        <v>4.3040000000000003</v>
      </c>
      <c r="C1173" s="31">
        <v>4.3170000000000002</v>
      </c>
      <c r="D1173" s="31">
        <v>4.3310000000000004</v>
      </c>
      <c r="E1173" s="31">
        <v>4.5650000000000004</v>
      </c>
      <c r="F1173" s="31">
        <v>4.5960000000000001</v>
      </c>
      <c r="G1173" s="31">
        <v>4.665</v>
      </c>
      <c r="H1173" s="31">
        <v>4.7</v>
      </c>
      <c r="I1173" s="31">
        <v>4.7149999999999999</v>
      </c>
      <c r="K1173" s="27"/>
      <c r="L1173" s="30"/>
      <c r="M1173" s="30"/>
      <c r="N1173" s="30"/>
      <c r="O1173" s="30"/>
      <c r="P1173" s="30"/>
      <c r="Q1173" s="30"/>
      <c r="R1173" s="30"/>
      <c r="S1173" s="30"/>
    </row>
    <row r="1174" spans="1:19" x14ac:dyDescent="0.25">
      <c r="A1174" s="29">
        <v>45694</v>
      </c>
      <c r="B1174" s="31">
        <v>4.1189999999999998</v>
      </c>
      <c r="C1174" s="31">
        <v>4.1660000000000004</v>
      </c>
      <c r="D1174" s="31">
        <v>4.2130000000000001</v>
      </c>
      <c r="E1174" s="31">
        <v>4.5650000000000004</v>
      </c>
      <c r="F1174" s="31">
        <v>4.5960000000000001</v>
      </c>
      <c r="G1174" s="31">
        <v>4.665</v>
      </c>
      <c r="H1174" s="31">
        <v>4.7</v>
      </c>
      <c r="I1174" s="31">
        <v>4.7149999999999999</v>
      </c>
      <c r="K1174" s="27"/>
      <c r="L1174" s="30"/>
      <c r="M1174" s="30"/>
      <c r="N1174" s="30"/>
      <c r="O1174" s="30"/>
      <c r="P1174" s="30"/>
      <c r="Q1174" s="30"/>
      <c r="R1174" s="30"/>
      <c r="S1174" s="30"/>
    </row>
    <row r="1175" spans="1:19" x14ac:dyDescent="0.25">
      <c r="A1175" s="27">
        <v>45695</v>
      </c>
      <c r="B1175" s="32">
        <v>4.1310000000000002</v>
      </c>
      <c r="C1175" s="32">
        <v>4.1509999999999998</v>
      </c>
      <c r="D1175" s="32">
        <v>4.1710000000000003</v>
      </c>
      <c r="E1175" s="32">
        <v>4.5579999999999998</v>
      </c>
      <c r="F1175" s="32">
        <v>4.5960000000000001</v>
      </c>
      <c r="G1175" s="32">
        <v>4.665</v>
      </c>
      <c r="H1175" s="32">
        <v>4.7</v>
      </c>
      <c r="I1175" s="32">
        <v>4.7149999999999999</v>
      </c>
      <c r="K1175" s="27"/>
      <c r="L1175" s="30"/>
      <c r="M1175" s="30"/>
      <c r="N1175" s="30"/>
      <c r="O1175" s="30"/>
      <c r="P1175" s="30"/>
      <c r="Q1175" s="30"/>
      <c r="R1175" s="30"/>
      <c r="S1175" s="30"/>
    </row>
    <row r="1176" spans="1:19" x14ac:dyDescent="0.25">
      <c r="A1176" s="27">
        <v>45698</v>
      </c>
      <c r="B1176" s="32">
        <v>4.4269999999999996</v>
      </c>
      <c r="C1176" s="32">
        <v>4.4269999999999996</v>
      </c>
      <c r="D1176" s="32">
        <v>4.4269999999999996</v>
      </c>
      <c r="E1176" s="32">
        <v>4.5579999999999998</v>
      </c>
      <c r="F1176" s="32">
        <v>4.5960000000000001</v>
      </c>
      <c r="G1176" s="32">
        <v>4.665</v>
      </c>
      <c r="H1176" s="32">
        <v>4.7</v>
      </c>
      <c r="I1176" s="32">
        <v>4.7149999999999999</v>
      </c>
      <c r="K1176" s="27"/>
      <c r="L1176" s="30"/>
      <c r="M1176" s="30"/>
      <c r="N1176" s="30"/>
      <c r="O1176" s="30"/>
      <c r="P1176" s="30"/>
      <c r="Q1176" s="30"/>
      <c r="R1176" s="30"/>
      <c r="S1176" s="30"/>
    </row>
    <row r="1177" spans="1:19" x14ac:dyDescent="0.25">
      <c r="A1177" s="27">
        <v>45699</v>
      </c>
      <c r="B1177" s="32">
        <v>4.242</v>
      </c>
      <c r="C1177" s="32">
        <v>4.25</v>
      </c>
      <c r="D1177" s="32">
        <v>4.258</v>
      </c>
      <c r="E1177" s="32">
        <v>4.5579999999999998</v>
      </c>
      <c r="F1177" s="32">
        <v>4.5960000000000001</v>
      </c>
      <c r="G1177" s="32">
        <v>4.665</v>
      </c>
      <c r="H1177" s="32">
        <v>4.7</v>
      </c>
      <c r="I1177" s="32">
        <v>4.7149999999999999</v>
      </c>
      <c r="K1177" s="27"/>
      <c r="L1177" s="30"/>
      <c r="M1177" s="30"/>
      <c r="N1177" s="30"/>
      <c r="O1177" s="30"/>
      <c r="P1177" s="30"/>
      <c r="Q1177" s="30"/>
      <c r="R1177" s="30"/>
      <c r="S1177" s="30"/>
    </row>
    <row r="1178" spans="1:19" x14ac:dyDescent="0.25">
      <c r="A1178" s="27">
        <v>45700</v>
      </c>
      <c r="B1178" s="32">
        <v>4.069</v>
      </c>
      <c r="C1178" s="32">
        <v>4.0810000000000004</v>
      </c>
      <c r="D1178" s="32">
        <v>4.0919999999999996</v>
      </c>
      <c r="E1178" s="32">
        <v>4.5579999999999998</v>
      </c>
      <c r="F1178" s="32">
        <v>4.5960000000000001</v>
      </c>
      <c r="G1178" s="32">
        <v>4.665</v>
      </c>
      <c r="H1178" s="32">
        <v>4.7</v>
      </c>
      <c r="I1178" s="32">
        <v>4.7149999999999999</v>
      </c>
      <c r="K1178" s="27"/>
      <c r="L1178" s="30"/>
      <c r="M1178" s="30"/>
      <c r="N1178" s="30"/>
      <c r="O1178" s="30"/>
      <c r="P1178" s="30"/>
      <c r="Q1178" s="30"/>
      <c r="R1178" s="30"/>
      <c r="S1178" s="30"/>
    </row>
    <row r="1179" spans="1:19" x14ac:dyDescent="0.25">
      <c r="A1179" s="27">
        <v>45701</v>
      </c>
      <c r="B1179" s="32">
        <v>3.931</v>
      </c>
      <c r="C1179" s="32">
        <v>3.9460000000000002</v>
      </c>
      <c r="D1179" s="32">
        <v>3.9620000000000002</v>
      </c>
      <c r="E1179" s="32">
        <v>4.5350000000000001</v>
      </c>
      <c r="F1179" s="32">
        <v>4.5810000000000004</v>
      </c>
      <c r="G1179" s="32">
        <v>4.6500000000000004</v>
      </c>
      <c r="H1179" s="32">
        <v>4.6769999999999996</v>
      </c>
      <c r="I1179" s="32">
        <v>4.6920000000000002</v>
      </c>
      <c r="K1179" s="27"/>
      <c r="L1179" s="30"/>
      <c r="M1179" s="30"/>
      <c r="N1179" s="30"/>
      <c r="O1179" s="30"/>
      <c r="P1179" s="30"/>
      <c r="Q1179" s="30"/>
      <c r="R1179" s="30"/>
      <c r="S1179" s="30"/>
    </row>
    <row r="1180" spans="1:19" x14ac:dyDescent="0.25">
      <c r="A1180" s="27">
        <v>45702</v>
      </c>
      <c r="B1180" s="32">
        <v>3.75</v>
      </c>
      <c r="C1180" s="32">
        <v>3.7810000000000001</v>
      </c>
      <c r="D1180" s="32">
        <v>3.8119999999999998</v>
      </c>
      <c r="E1180" s="32">
        <v>4.5350000000000001</v>
      </c>
      <c r="F1180" s="32">
        <v>4.5810000000000004</v>
      </c>
      <c r="G1180" s="32">
        <v>4.6500000000000004</v>
      </c>
      <c r="H1180" s="32">
        <v>4.6769999999999996</v>
      </c>
      <c r="I1180" s="32">
        <v>4.6920000000000002</v>
      </c>
      <c r="K1180" s="27"/>
      <c r="L1180" s="30"/>
      <c r="M1180" s="30"/>
      <c r="N1180" s="30"/>
      <c r="O1180" s="30"/>
      <c r="P1180" s="30"/>
      <c r="Q1180" s="30"/>
      <c r="R1180" s="30"/>
      <c r="S1180" s="30"/>
    </row>
    <row r="1181" spans="1:19" x14ac:dyDescent="0.25">
      <c r="A1181" s="27">
        <v>45705</v>
      </c>
      <c r="B1181" s="32">
        <v>3.95</v>
      </c>
      <c r="C1181" s="32">
        <v>3.9540000000000002</v>
      </c>
      <c r="D1181" s="32">
        <v>3.9580000000000002</v>
      </c>
      <c r="E1181" s="32">
        <v>4.5419999999999998</v>
      </c>
      <c r="F1181" s="32">
        <v>4.5650000000000004</v>
      </c>
      <c r="G1181" s="32">
        <v>4.6349999999999998</v>
      </c>
      <c r="H1181" s="32">
        <v>4.6619999999999999</v>
      </c>
      <c r="I1181" s="32">
        <v>4.6769999999999996</v>
      </c>
      <c r="K1181" s="27"/>
      <c r="L1181" s="30"/>
      <c r="M1181" s="30"/>
      <c r="N1181" s="30"/>
      <c r="O1181" s="30"/>
      <c r="P1181" s="30"/>
      <c r="Q1181" s="30"/>
      <c r="R1181" s="30"/>
      <c r="S1181" s="30"/>
    </row>
    <row r="1182" spans="1:19" x14ac:dyDescent="0.25">
      <c r="A1182" s="27">
        <v>45706</v>
      </c>
      <c r="B1182" s="32">
        <v>3.931</v>
      </c>
      <c r="C1182" s="32">
        <v>3.931</v>
      </c>
      <c r="D1182" s="32">
        <v>3.931</v>
      </c>
      <c r="E1182" s="32">
        <v>4.5419999999999998</v>
      </c>
      <c r="F1182" s="32">
        <v>4.5650000000000004</v>
      </c>
      <c r="G1182" s="32">
        <v>4.6349999999999998</v>
      </c>
      <c r="H1182" s="32">
        <v>4.6619999999999999</v>
      </c>
      <c r="I1182" s="32">
        <v>4.6769999999999996</v>
      </c>
      <c r="K1182" s="27"/>
      <c r="L1182" s="30"/>
      <c r="M1182" s="30"/>
      <c r="N1182" s="30"/>
      <c r="O1182" s="30"/>
      <c r="P1182" s="30"/>
      <c r="Q1182" s="30"/>
      <c r="R1182" s="30"/>
      <c r="S1182" s="30"/>
    </row>
    <row r="1183" spans="1:19" x14ac:dyDescent="0.25">
      <c r="A1183" s="27">
        <v>45707</v>
      </c>
      <c r="B1183" s="32">
        <v>3.8540000000000001</v>
      </c>
      <c r="C1183" s="32">
        <v>3.867</v>
      </c>
      <c r="D1183" s="32">
        <v>3.8809999999999998</v>
      </c>
      <c r="E1183" s="32">
        <v>4.5419999999999998</v>
      </c>
      <c r="F1183" s="32">
        <v>4.5650000000000004</v>
      </c>
      <c r="G1183" s="32">
        <v>4.6349999999999998</v>
      </c>
      <c r="H1183" s="32">
        <v>4.6619999999999999</v>
      </c>
      <c r="I1183" s="32">
        <v>4.6769999999999996</v>
      </c>
      <c r="K1183" s="27"/>
      <c r="L1183" s="30"/>
      <c r="M1183" s="30"/>
      <c r="N1183" s="30"/>
      <c r="O1183" s="30"/>
      <c r="P1183" s="30"/>
      <c r="Q1183" s="30"/>
      <c r="R1183" s="30"/>
      <c r="S1183" s="30"/>
    </row>
    <row r="1184" spans="1:19" x14ac:dyDescent="0.25">
      <c r="A1184" s="27">
        <v>45708</v>
      </c>
      <c r="B1184" s="32">
        <v>3.8119999999999998</v>
      </c>
      <c r="C1184" s="32">
        <v>3.819</v>
      </c>
      <c r="D1184" s="32">
        <v>3.827</v>
      </c>
      <c r="E1184" s="32">
        <v>4.5419999999999998</v>
      </c>
      <c r="F1184" s="32">
        <v>4.5650000000000004</v>
      </c>
      <c r="G1184" s="32">
        <v>4.6349999999999998</v>
      </c>
      <c r="H1184" s="32">
        <v>4.6619999999999999</v>
      </c>
      <c r="I1184" s="32">
        <v>4.6769999999999996</v>
      </c>
      <c r="K1184" s="27"/>
      <c r="L1184" s="30"/>
      <c r="M1184" s="30"/>
      <c r="N1184" s="30"/>
      <c r="O1184" s="30"/>
      <c r="P1184" s="30"/>
      <c r="Q1184" s="30"/>
      <c r="R1184" s="30"/>
      <c r="S1184" s="30"/>
    </row>
    <row r="1185" spans="1:19" x14ac:dyDescent="0.25">
      <c r="A1185" s="27">
        <v>45709</v>
      </c>
      <c r="B1185" s="32">
        <v>3.819</v>
      </c>
      <c r="C1185" s="32">
        <v>3.835</v>
      </c>
      <c r="D1185" s="32">
        <v>3.85</v>
      </c>
      <c r="E1185" s="32">
        <v>4.5419999999999998</v>
      </c>
      <c r="F1185" s="32">
        <v>4.5650000000000004</v>
      </c>
      <c r="G1185" s="32">
        <v>4.6349999999999998</v>
      </c>
      <c r="H1185" s="32">
        <v>4.6619999999999999</v>
      </c>
      <c r="I1185" s="32">
        <v>4.6769999999999996</v>
      </c>
      <c r="K1185" s="27"/>
      <c r="L1185" s="30"/>
      <c r="M1185" s="30"/>
      <c r="N1185" s="30"/>
      <c r="O1185" s="30"/>
      <c r="P1185" s="30"/>
      <c r="Q1185" s="30"/>
      <c r="R1185" s="30"/>
      <c r="S1185" s="30"/>
    </row>
    <row r="1186" spans="1:19" x14ac:dyDescent="0.25">
      <c r="A1186" s="27">
        <v>45712</v>
      </c>
      <c r="B1186" s="32">
        <v>3.95</v>
      </c>
      <c r="C1186" s="32">
        <v>3.9580000000000002</v>
      </c>
      <c r="D1186" s="32">
        <v>3.9649999999999999</v>
      </c>
      <c r="E1186" s="32">
        <v>4.5350000000000001</v>
      </c>
      <c r="F1186" s="32">
        <v>4.5579999999999998</v>
      </c>
      <c r="G1186" s="32">
        <v>4.6269999999999998</v>
      </c>
      <c r="H1186" s="32">
        <v>4.6539999999999999</v>
      </c>
      <c r="I1186" s="32">
        <v>4.6769999999999996</v>
      </c>
      <c r="K1186" s="27"/>
      <c r="L1186" s="30"/>
      <c r="M1186" s="30"/>
      <c r="N1186" s="30"/>
      <c r="O1186" s="30"/>
      <c r="P1186" s="30"/>
      <c r="Q1186" s="30"/>
      <c r="R1186" s="30"/>
      <c r="S1186" s="30"/>
    </row>
    <row r="1187" spans="1:19" x14ac:dyDescent="0.25">
      <c r="A1187" s="27">
        <v>45713</v>
      </c>
      <c r="B1187" s="32">
        <v>3.9809999999999999</v>
      </c>
      <c r="C1187" s="32">
        <v>3.988</v>
      </c>
      <c r="D1187" s="32">
        <v>3.996</v>
      </c>
      <c r="E1187" s="32">
        <v>4.5350000000000001</v>
      </c>
      <c r="F1187" s="32">
        <v>4.5579999999999998</v>
      </c>
      <c r="G1187" s="32">
        <v>4.6269999999999998</v>
      </c>
      <c r="H1187" s="32">
        <v>4.6539999999999999</v>
      </c>
      <c r="I1187" s="32">
        <v>4.6769999999999996</v>
      </c>
      <c r="K1187" s="27"/>
      <c r="L1187" s="30"/>
      <c r="M1187" s="30"/>
      <c r="N1187" s="30"/>
      <c r="O1187" s="30"/>
      <c r="P1187" s="30"/>
      <c r="Q1187" s="30"/>
      <c r="R1187" s="30"/>
      <c r="S1187" s="30"/>
    </row>
    <row r="1188" spans="1:19" x14ac:dyDescent="0.25">
      <c r="A1188" s="27">
        <v>45714</v>
      </c>
      <c r="B1188" s="32">
        <v>3.9380000000000002</v>
      </c>
      <c r="C1188" s="32">
        <v>3.9460000000000002</v>
      </c>
      <c r="D1188" s="32">
        <v>3.9540000000000002</v>
      </c>
      <c r="E1188" s="32">
        <v>4.5350000000000001</v>
      </c>
      <c r="F1188" s="32">
        <v>4.5579999999999998</v>
      </c>
      <c r="G1188" s="32">
        <v>4.6269999999999998</v>
      </c>
      <c r="H1188" s="32">
        <v>4.6539999999999999</v>
      </c>
      <c r="I1188" s="32">
        <v>4.6769999999999996</v>
      </c>
      <c r="K1188" s="27"/>
      <c r="L1188" s="30"/>
      <c r="M1188" s="30"/>
      <c r="N1188" s="30"/>
      <c r="O1188" s="30"/>
      <c r="P1188" s="30"/>
      <c r="Q1188" s="30"/>
      <c r="R1188" s="30"/>
      <c r="S1188" s="3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FAFEA-19DB-4FDB-B54D-66894EABD74E}">
  <sheetPr>
    <tabColor rgb="FF00B050"/>
  </sheetPr>
  <dimension ref="A1:D66"/>
  <sheetViews>
    <sheetView workbookViewId="0">
      <selection activeCell="G62" sqref="G62"/>
    </sheetView>
  </sheetViews>
  <sheetFormatPr defaultRowHeight="15" x14ac:dyDescent="0.25"/>
  <cols>
    <col min="2" max="2" width="17.5703125" customWidth="1"/>
    <col min="3" max="3" width="14.5703125" customWidth="1"/>
  </cols>
  <sheetData>
    <row r="1" spans="1:4" x14ac:dyDescent="0.25">
      <c r="A1" t="s">
        <v>10</v>
      </c>
      <c r="B1" t="s">
        <v>36</v>
      </c>
      <c r="C1" t="s">
        <v>35</v>
      </c>
      <c r="D1" t="s">
        <v>157</v>
      </c>
    </row>
    <row r="2" spans="1:4" x14ac:dyDescent="0.25">
      <c r="A2" s="69">
        <v>1</v>
      </c>
      <c r="B2" s="69" t="s">
        <v>11</v>
      </c>
      <c r="C2" s="69" t="s">
        <v>98</v>
      </c>
    </row>
    <row r="3" spans="1:4" x14ac:dyDescent="0.25">
      <c r="A3">
        <v>2</v>
      </c>
      <c r="B3" t="s">
        <v>11</v>
      </c>
      <c r="C3" t="s">
        <v>98</v>
      </c>
    </row>
    <row r="4" spans="1:4" x14ac:dyDescent="0.25">
      <c r="A4">
        <v>3</v>
      </c>
      <c r="B4" t="s">
        <v>11</v>
      </c>
      <c r="C4" t="s">
        <v>98</v>
      </c>
    </row>
    <row r="5" spans="1:4" x14ac:dyDescent="0.25">
      <c r="A5" s="69">
        <v>7</v>
      </c>
      <c r="B5" s="69" t="s">
        <v>12</v>
      </c>
      <c r="C5" s="69" t="s">
        <v>89</v>
      </c>
    </row>
    <row r="6" spans="1:4" x14ac:dyDescent="0.25">
      <c r="A6" s="69">
        <v>14</v>
      </c>
      <c r="B6" s="69" t="s">
        <v>13</v>
      </c>
      <c r="C6" s="69" t="s">
        <v>77</v>
      </c>
    </row>
    <row r="7" spans="1:4" x14ac:dyDescent="0.25">
      <c r="A7" s="69">
        <v>30</v>
      </c>
      <c r="B7" s="69" t="s">
        <v>14</v>
      </c>
      <c r="C7" s="69" t="s">
        <v>79</v>
      </c>
    </row>
    <row r="8" spans="1:4" x14ac:dyDescent="0.25">
      <c r="A8">
        <v>31</v>
      </c>
      <c r="B8" t="s">
        <v>14</v>
      </c>
      <c r="C8" t="s">
        <v>79</v>
      </c>
    </row>
    <row r="9" spans="1:4" x14ac:dyDescent="0.25">
      <c r="A9">
        <v>32</v>
      </c>
      <c r="B9" t="s">
        <v>14</v>
      </c>
      <c r="C9" t="s">
        <v>79</v>
      </c>
    </row>
    <row r="10" spans="1:4" x14ac:dyDescent="0.25">
      <c r="A10">
        <v>33</v>
      </c>
      <c r="B10" t="s">
        <v>14</v>
      </c>
      <c r="C10" t="s">
        <v>79</v>
      </c>
    </row>
    <row r="11" spans="1:4" x14ac:dyDescent="0.25">
      <c r="A11">
        <v>34</v>
      </c>
      <c r="B11" t="s">
        <v>14</v>
      </c>
      <c r="C11" t="s">
        <v>79</v>
      </c>
    </row>
    <row r="12" spans="1:4" x14ac:dyDescent="0.25">
      <c r="A12">
        <v>35</v>
      </c>
      <c r="B12" t="s">
        <v>14</v>
      </c>
      <c r="C12" t="s">
        <v>79</v>
      </c>
    </row>
    <row r="13" spans="1:4" x14ac:dyDescent="0.25">
      <c r="A13" s="69">
        <v>60</v>
      </c>
      <c r="B13" s="69" t="s">
        <v>15</v>
      </c>
      <c r="C13" s="69" t="s">
        <v>80</v>
      </c>
    </row>
    <row r="14" spans="1:4" x14ac:dyDescent="0.25">
      <c r="A14">
        <v>61</v>
      </c>
      <c r="B14" t="s">
        <v>15</v>
      </c>
      <c r="C14" t="s">
        <v>80</v>
      </c>
    </row>
    <row r="15" spans="1:4" x14ac:dyDescent="0.25">
      <c r="A15">
        <v>62</v>
      </c>
      <c r="B15" t="s">
        <v>15</v>
      </c>
      <c r="C15" t="s">
        <v>80</v>
      </c>
    </row>
    <row r="16" spans="1:4" x14ac:dyDescent="0.25">
      <c r="A16">
        <v>63</v>
      </c>
      <c r="B16" t="s">
        <v>15</v>
      </c>
      <c r="C16" t="s">
        <v>80</v>
      </c>
    </row>
    <row r="17" spans="1:3" x14ac:dyDescent="0.25">
      <c r="A17">
        <v>64</v>
      </c>
      <c r="B17" t="s">
        <v>15</v>
      </c>
      <c r="C17" t="s">
        <v>80</v>
      </c>
    </row>
    <row r="18" spans="1:3" x14ac:dyDescent="0.25">
      <c r="A18">
        <v>65</v>
      </c>
      <c r="B18" t="s">
        <v>15</v>
      </c>
      <c r="C18" t="s">
        <v>80</v>
      </c>
    </row>
    <row r="19" spans="1:3" x14ac:dyDescent="0.25">
      <c r="A19">
        <v>66</v>
      </c>
      <c r="B19" t="s">
        <v>15</v>
      </c>
      <c r="C19" t="s">
        <v>80</v>
      </c>
    </row>
    <row r="20" spans="1:3" x14ac:dyDescent="0.25">
      <c r="A20">
        <v>67</v>
      </c>
      <c r="B20" t="s">
        <v>15</v>
      </c>
      <c r="C20" t="s">
        <v>80</v>
      </c>
    </row>
    <row r="21" spans="1:3" x14ac:dyDescent="0.25">
      <c r="A21">
        <v>68</v>
      </c>
      <c r="B21" t="s">
        <v>15</v>
      </c>
      <c r="C21" t="s">
        <v>80</v>
      </c>
    </row>
    <row r="22" spans="1:3" x14ac:dyDescent="0.25">
      <c r="A22" s="69">
        <v>90</v>
      </c>
      <c r="B22" s="69" t="s">
        <v>16</v>
      </c>
      <c r="C22" s="69" t="s">
        <v>81</v>
      </c>
    </row>
    <row r="23" spans="1:3" x14ac:dyDescent="0.25">
      <c r="A23">
        <v>91</v>
      </c>
      <c r="B23" t="s">
        <v>16</v>
      </c>
      <c r="C23" t="s">
        <v>81</v>
      </c>
    </row>
    <row r="24" spans="1:3" x14ac:dyDescent="0.25">
      <c r="A24">
        <v>92</v>
      </c>
      <c r="B24" t="s">
        <v>16</v>
      </c>
      <c r="C24" t="s">
        <v>81</v>
      </c>
    </row>
    <row r="25" spans="1:3" x14ac:dyDescent="0.25">
      <c r="A25">
        <v>93</v>
      </c>
      <c r="B25" t="s">
        <v>16</v>
      </c>
      <c r="C25" t="s">
        <v>81</v>
      </c>
    </row>
    <row r="26" spans="1:3" x14ac:dyDescent="0.25">
      <c r="A26">
        <v>94</v>
      </c>
      <c r="B26" t="s">
        <v>16</v>
      </c>
      <c r="C26" t="s">
        <v>81</v>
      </c>
    </row>
    <row r="27" spans="1:3" x14ac:dyDescent="0.25">
      <c r="A27">
        <v>95</v>
      </c>
      <c r="B27" t="s">
        <v>16</v>
      </c>
      <c r="C27" t="s">
        <v>81</v>
      </c>
    </row>
    <row r="28" spans="1:3" x14ac:dyDescent="0.25">
      <c r="A28">
        <v>96</v>
      </c>
      <c r="B28" t="s">
        <v>16</v>
      </c>
      <c r="C28" t="s">
        <v>81</v>
      </c>
    </row>
    <row r="29" spans="1:3" x14ac:dyDescent="0.25">
      <c r="A29">
        <v>97</v>
      </c>
      <c r="B29" t="s">
        <v>16</v>
      </c>
      <c r="C29" t="s">
        <v>81</v>
      </c>
    </row>
    <row r="30" spans="1:3" x14ac:dyDescent="0.25">
      <c r="A30">
        <v>98</v>
      </c>
      <c r="B30" t="s">
        <v>16</v>
      </c>
      <c r="C30" t="s">
        <v>81</v>
      </c>
    </row>
    <row r="31" spans="1:3" x14ac:dyDescent="0.25">
      <c r="A31">
        <v>99</v>
      </c>
      <c r="B31" t="s">
        <v>16</v>
      </c>
      <c r="C31" t="s">
        <v>81</v>
      </c>
    </row>
    <row r="32" spans="1:3" x14ac:dyDescent="0.25">
      <c r="A32">
        <v>100</v>
      </c>
      <c r="B32" t="s">
        <v>16</v>
      </c>
      <c r="C32" t="s">
        <v>81</v>
      </c>
    </row>
    <row r="33" spans="1:3" x14ac:dyDescent="0.25">
      <c r="A33" s="69">
        <v>180</v>
      </c>
      <c r="B33" s="69" t="s">
        <v>17</v>
      </c>
      <c r="C33" s="69" t="s">
        <v>82</v>
      </c>
    </row>
    <row r="34" spans="1:3" x14ac:dyDescent="0.25">
      <c r="A34">
        <v>181</v>
      </c>
      <c r="B34" t="s">
        <v>17</v>
      </c>
      <c r="C34" t="s">
        <v>82</v>
      </c>
    </row>
    <row r="35" spans="1:3" x14ac:dyDescent="0.25">
      <c r="A35">
        <v>182</v>
      </c>
      <c r="B35" t="s">
        <v>17</v>
      </c>
      <c r="C35" t="s">
        <v>82</v>
      </c>
    </row>
    <row r="36" spans="1:3" x14ac:dyDescent="0.25">
      <c r="A36">
        <v>183</v>
      </c>
      <c r="B36" t="s">
        <v>17</v>
      </c>
      <c r="C36" t="s">
        <v>82</v>
      </c>
    </row>
    <row r="37" spans="1:3" x14ac:dyDescent="0.25">
      <c r="A37">
        <v>184</v>
      </c>
      <c r="B37" t="s">
        <v>17</v>
      </c>
      <c r="C37" t="s">
        <v>82</v>
      </c>
    </row>
    <row r="38" spans="1:3" x14ac:dyDescent="0.25">
      <c r="A38">
        <v>185</v>
      </c>
      <c r="B38" t="s">
        <v>17</v>
      </c>
      <c r="C38" t="s">
        <v>82</v>
      </c>
    </row>
    <row r="39" spans="1:3" x14ac:dyDescent="0.25">
      <c r="A39">
        <v>186</v>
      </c>
      <c r="B39" t="s">
        <v>17</v>
      </c>
      <c r="C39" t="s">
        <v>82</v>
      </c>
    </row>
    <row r="40" spans="1:3" x14ac:dyDescent="0.25">
      <c r="A40">
        <v>187</v>
      </c>
      <c r="B40" t="s">
        <v>17</v>
      </c>
      <c r="C40" t="s">
        <v>82</v>
      </c>
    </row>
    <row r="41" spans="1:3" x14ac:dyDescent="0.25">
      <c r="A41">
        <v>188</v>
      </c>
      <c r="B41" t="s">
        <v>17</v>
      </c>
      <c r="C41" t="s">
        <v>82</v>
      </c>
    </row>
    <row r="42" spans="1:3" x14ac:dyDescent="0.25">
      <c r="A42">
        <v>189</v>
      </c>
      <c r="B42" t="s">
        <v>17</v>
      </c>
      <c r="C42" t="s">
        <v>82</v>
      </c>
    </row>
    <row r="43" spans="1:3" x14ac:dyDescent="0.25">
      <c r="A43">
        <v>190</v>
      </c>
      <c r="B43" t="s">
        <v>17</v>
      </c>
      <c r="C43" t="s">
        <v>82</v>
      </c>
    </row>
    <row r="44" spans="1:3" x14ac:dyDescent="0.25">
      <c r="A44">
        <v>191</v>
      </c>
      <c r="B44" t="s">
        <v>17</v>
      </c>
      <c r="C44" t="s">
        <v>82</v>
      </c>
    </row>
    <row r="45" spans="1:3" x14ac:dyDescent="0.25">
      <c r="A45">
        <v>192</v>
      </c>
      <c r="B45" t="s">
        <v>17</v>
      </c>
      <c r="C45" t="s">
        <v>82</v>
      </c>
    </row>
    <row r="46" spans="1:3" x14ac:dyDescent="0.25">
      <c r="A46" s="69">
        <v>270</v>
      </c>
      <c r="B46" s="69" t="s">
        <v>18</v>
      </c>
      <c r="C46" s="69" t="s">
        <v>83</v>
      </c>
    </row>
    <row r="47" spans="1:3" x14ac:dyDescent="0.25">
      <c r="A47">
        <v>271</v>
      </c>
      <c r="B47" t="s">
        <v>18</v>
      </c>
      <c r="C47" t="s">
        <v>83</v>
      </c>
    </row>
    <row r="48" spans="1:3" x14ac:dyDescent="0.25">
      <c r="A48">
        <v>272</v>
      </c>
      <c r="B48" t="s">
        <v>18</v>
      </c>
      <c r="C48" t="s">
        <v>83</v>
      </c>
    </row>
    <row r="49" spans="1:3" x14ac:dyDescent="0.25">
      <c r="A49">
        <v>273</v>
      </c>
      <c r="B49" t="s">
        <v>18</v>
      </c>
      <c r="C49" t="s">
        <v>83</v>
      </c>
    </row>
    <row r="50" spans="1:3" x14ac:dyDescent="0.25">
      <c r="A50">
        <v>274</v>
      </c>
      <c r="B50" t="s">
        <v>18</v>
      </c>
      <c r="C50" t="s">
        <v>83</v>
      </c>
    </row>
    <row r="51" spans="1:3" x14ac:dyDescent="0.25">
      <c r="A51">
        <v>275</v>
      </c>
      <c r="B51" t="s">
        <v>18</v>
      </c>
      <c r="C51" t="s">
        <v>83</v>
      </c>
    </row>
    <row r="52" spans="1:3" x14ac:dyDescent="0.25">
      <c r="A52">
        <v>276</v>
      </c>
      <c r="B52" t="s">
        <v>18</v>
      </c>
      <c r="C52" t="s">
        <v>83</v>
      </c>
    </row>
    <row r="53" spans="1:3" x14ac:dyDescent="0.25">
      <c r="A53">
        <v>277</v>
      </c>
      <c r="B53" t="s">
        <v>18</v>
      </c>
      <c r="C53" t="s">
        <v>83</v>
      </c>
    </row>
    <row r="54" spans="1:3" x14ac:dyDescent="0.25">
      <c r="A54">
        <v>278</v>
      </c>
      <c r="B54" t="s">
        <v>18</v>
      </c>
      <c r="C54" t="s">
        <v>83</v>
      </c>
    </row>
    <row r="55" spans="1:3" x14ac:dyDescent="0.25">
      <c r="A55">
        <v>279</v>
      </c>
      <c r="B55" t="s">
        <v>18</v>
      </c>
      <c r="C55" t="s">
        <v>83</v>
      </c>
    </row>
    <row r="56" spans="1:3" x14ac:dyDescent="0.25">
      <c r="A56">
        <v>280</v>
      </c>
      <c r="B56" t="s">
        <v>18</v>
      </c>
      <c r="C56" t="s">
        <v>83</v>
      </c>
    </row>
    <row r="57" spans="1:3" x14ac:dyDescent="0.25">
      <c r="A57">
        <v>281</v>
      </c>
      <c r="B57" t="s">
        <v>18</v>
      </c>
      <c r="C57" t="s">
        <v>83</v>
      </c>
    </row>
    <row r="58" spans="1:3" x14ac:dyDescent="0.25">
      <c r="A58">
        <v>282</v>
      </c>
      <c r="B58" t="s">
        <v>18</v>
      </c>
      <c r="C58" t="s">
        <v>83</v>
      </c>
    </row>
    <row r="59" spans="1:3" x14ac:dyDescent="0.25">
      <c r="A59">
        <v>283</v>
      </c>
      <c r="B59" t="s">
        <v>18</v>
      </c>
      <c r="C59" t="s">
        <v>83</v>
      </c>
    </row>
    <row r="60" spans="1:3" x14ac:dyDescent="0.25">
      <c r="A60">
        <v>284</v>
      </c>
      <c r="B60" t="s">
        <v>18</v>
      </c>
      <c r="C60" t="s">
        <v>83</v>
      </c>
    </row>
    <row r="61" spans="1:3" x14ac:dyDescent="0.25">
      <c r="A61">
        <v>285</v>
      </c>
      <c r="B61" t="s">
        <v>18</v>
      </c>
      <c r="C61" t="s">
        <v>83</v>
      </c>
    </row>
    <row r="62" spans="1:3" x14ac:dyDescent="0.25">
      <c r="A62" s="69">
        <v>361</v>
      </c>
      <c r="B62" s="69" t="s">
        <v>20</v>
      </c>
      <c r="C62" s="69" t="s">
        <v>90</v>
      </c>
    </row>
    <row r="63" spans="1:3" x14ac:dyDescent="0.25">
      <c r="A63">
        <v>362</v>
      </c>
      <c r="B63" t="s">
        <v>20</v>
      </c>
      <c r="C63" t="s">
        <v>90</v>
      </c>
    </row>
    <row r="64" spans="1:3" x14ac:dyDescent="0.25">
      <c r="A64">
        <v>363</v>
      </c>
      <c r="B64" t="s">
        <v>20</v>
      </c>
      <c r="C64" t="s">
        <v>90</v>
      </c>
    </row>
    <row r="65" spans="1:3" x14ac:dyDescent="0.25">
      <c r="A65">
        <v>364</v>
      </c>
      <c r="B65" t="s">
        <v>20</v>
      </c>
      <c r="C65" t="s">
        <v>90</v>
      </c>
    </row>
    <row r="66" spans="1:3" x14ac:dyDescent="0.25">
      <c r="A66">
        <v>365</v>
      </c>
      <c r="B66" t="s">
        <v>20</v>
      </c>
      <c r="C66" t="s">
        <v>90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F60A-E523-4C46-8162-4080D176A74B}">
  <sheetPr>
    <tabColor rgb="FF00B050"/>
  </sheetPr>
  <dimension ref="A1:B63"/>
  <sheetViews>
    <sheetView workbookViewId="0">
      <selection activeCell="B1" sqref="B1"/>
    </sheetView>
  </sheetViews>
  <sheetFormatPr defaultRowHeight="15" x14ac:dyDescent="0.25"/>
  <cols>
    <col min="2" max="2" width="12.42578125" customWidth="1"/>
    <col min="3" max="3" width="20.85546875" customWidth="1"/>
  </cols>
  <sheetData>
    <row r="1" spans="1:2" x14ac:dyDescent="0.25">
      <c r="A1" t="s">
        <v>10</v>
      </c>
      <c r="B1" t="s">
        <v>87</v>
      </c>
    </row>
    <row r="2" spans="1:2" x14ac:dyDescent="0.25">
      <c r="A2">
        <v>1</v>
      </c>
      <c r="B2" t="s">
        <v>88</v>
      </c>
    </row>
    <row r="3" spans="1:2" x14ac:dyDescent="0.25">
      <c r="A3">
        <v>7</v>
      </c>
      <c r="B3" t="s">
        <v>89</v>
      </c>
    </row>
    <row r="4" spans="1:2" x14ac:dyDescent="0.25">
      <c r="A4">
        <v>12</v>
      </c>
      <c r="B4" t="s">
        <v>77</v>
      </c>
    </row>
    <row r="5" spans="1:2" x14ac:dyDescent="0.25">
      <c r="A5">
        <v>13</v>
      </c>
      <c r="B5" t="s">
        <v>77</v>
      </c>
    </row>
    <row r="6" spans="1:2" x14ac:dyDescent="0.25">
      <c r="A6">
        <v>14</v>
      </c>
      <c r="B6" t="s">
        <v>77</v>
      </c>
    </row>
    <row r="7" spans="1:2" x14ac:dyDescent="0.25">
      <c r="A7">
        <v>15</v>
      </c>
      <c r="B7" t="s">
        <v>77</v>
      </c>
    </row>
    <row r="8" spans="1:2" x14ac:dyDescent="0.25">
      <c r="A8">
        <v>16</v>
      </c>
      <c r="B8" t="s">
        <v>77</v>
      </c>
    </row>
    <row r="9" spans="1:2" x14ac:dyDescent="0.25">
      <c r="A9">
        <v>27</v>
      </c>
      <c r="B9" t="s">
        <v>79</v>
      </c>
    </row>
    <row r="10" spans="1:2" x14ac:dyDescent="0.25">
      <c r="A10">
        <v>28</v>
      </c>
      <c r="B10" t="s">
        <v>79</v>
      </c>
    </row>
    <row r="11" spans="1:2" x14ac:dyDescent="0.25">
      <c r="A11">
        <v>29</v>
      </c>
      <c r="B11" t="s">
        <v>79</v>
      </c>
    </row>
    <row r="12" spans="1:2" x14ac:dyDescent="0.25">
      <c r="A12">
        <v>30</v>
      </c>
      <c r="B12" t="s">
        <v>79</v>
      </c>
    </row>
    <row r="13" spans="1:2" x14ac:dyDescent="0.25">
      <c r="A13">
        <v>31</v>
      </c>
      <c r="B13" t="s">
        <v>79</v>
      </c>
    </row>
    <row r="14" spans="1:2" x14ac:dyDescent="0.25">
      <c r="A14">
        <v>32</v>
      </c>
      <c r="B14" t="s">
        <v>79</v>
      </c>
    </row>
    <row r="15" spans="1:2" x14ac:dyDescent="0.25">
      <c r="A15">
        <v>33</v>
      </c>
      <c r="B15" t="s">
        <v>79</v>
      </c>
    </row>
    <row r="16" spans="1:2" x14ac:dyDescent="0.25">
      <c r="A16">
        <v>56</v>
      </c>
      <c r="B16" t="s">
        <v>80</v>
      </c>
    </row>
    <row r="17" spans="1:2" x14ac:dyDescent="0.25">
      <c r="A17">
        <v>57</v>
      </c>
      <c r="B17" t="s">
        <v>80</v>
      </c>
    </row>
    <row r="18" spans="1:2" x14ac:dyDescent="0.25">
      <c r="A18">
        <v>58</v>
      </c>
      <c r="B18" t="s">
        <v>80</v>
      </c>
    </row>
    <row r="19" spans="1:2" x14ac:dyDescent="0.25">
      <c r="A19">
        <v>59</v>
      </c>
      <c r="B19" t="s">
        <v>80</v>
      </c>
    </row>
    <row r="20" spans="1:2" x14ac:dyDescent="0.25">
      <c r="A20">
        <v>60</v>
      </c>
      <c r="B20" t="s">
        <v>80</v>
      </c>
    </row>
    <row r="21" spans="1:2" x14ac:dyDescent="0.25">
      <c r="A21">
        <v>61</v>
      </c>
      <c r="B21" t="s">
        <v>80</v>
      </c>
    </row>
    <row r="22" spans="1:2" x14ac:dyDescent="0.25">
      <c r="A22">
        <v>62</v>
      </c>
      <c r="B22" t="s">
        <v>80</v>
      </c>
    </row>
    <row r="23" spans="1:2" x14ac:dyDescent="0.25">
      <c r="A23">
        <v>63</v>
      </c>
      <c r="B23" t="s">
        <v>80</v>
      </c>
    </row>
    <row r="24" spans="1:2" x14ac:dyDescent="0.25">
      <c r="A24">
        <v>64</v>
      </c>
      <c r="B24" t="s">
        <v>80</v>
      </c>
    </row>
    <row r="25" spans="1:2" x14ac:dyDescent="0.25">
      <c r="A25">
        <v>85</v>
      </c>
      <c r="B25" t="s">
        <v>81</v>
      </c>
    </row>
    <row r="26" spans="1:2" x14ac:dyDescent="0.25">
      <c r="A26">
        <v>86</v>
      </c>
      <c r="B26" t="s">
        <v>81</v>
      </c>
    </row>
    <row r="27" spans="1:2" x14ac:dyDescent="0.25">
      <c r="A27">
        <v>87</v>
      </c>
      <c r="B27" t="s">
        <v>81</v>
      </c>
    </row>
    <row r="28" spans="1:2" x14ac:dyDescent="0.25">
      <c r="A28">
        <v>88</v>
      </c>
      <c r="B28" t="s">
        <v>81</v>
      </c>
    </row>
    <row r="29" spans="1:2" x14ac:dyDescent="0.25">
      <c r="A29">
        <v>89</v>
      </c>
      <c r="B29" t="s">
        <v>81</v>
      </c>
    </row>
    <row r="30" spans="1:2" x14ac:dyDescent="0.25">
      <c r="A30">
        <v>90</v>
      </c>
      <c r="B30" t="s">
        <v>81</v>
      </c>
    </row>
    <row r="31" spans="1:2" x14ac:dyDescent="0.25">
      <c r="A31">
        <v>91</v>
      </c>
      <c r="B31" t="s">
        <v>81</v>
      </c>
    </row>
    <row r="32" spans="1:2" x14ac:dyDescent="0.25">
      <c r="A32">
        <v>92</v>
      </c>
      <c r="B32" t="s">
        <v>81</v>
      </c>
    </row>
    <row r="33" spans="1:2" x14ac:dyDescent="0.25">
      <c r="A33">
        <v>93</v>
      </c>
      <c r="B33" t="s">
        <v>81</v>
      </c>
    </row>
    <row r="34" spans="1:2" x14ac:dyDescent="0.25">
      <c r="A34">
        <v>94</v>
      </c>
      <c r="B34" t="s">
        <v>81</v>
      </c>
    </row>
    <row r="35" spans="1:2" x14ac:dyDescent="0.25">
      <c r="A35">
        <v>95</v>
      </c>
      <c r="B35" t="s">
        <v>81</v>
      </c>
    </row>
    <row r="36" spans="1:2" x14ac:dyDescent="0.25">
      <c r="A36">
        <v>175</v>
      </c>
      <c r="B36" t="s">
        <v>82</v>
      </c>
    </row>
    <row r="37" spans="1:2" x14ac:dyDescent="0.25">
      <c r="A37">
        <v>176</v>
      </c>
      <c r="B37" t="s">
        <v>82</v>
      </c>
    </row>
    <row r="38" spans="1:2" x14ac:dyDescent="0.25">
      <c r="A38">
        <v>177</v>
      </c>
      <c r="B38" t="s">
        <v>82</v>
      </c>
    </row>
    <row r="39" spans="1:2" x14ac:dyDescent="0.25">
      <c r="A39">
        <v>178</v>
      </c>
      <c r="B39" t="s">
        <v>82</v>
      </c>
    </row>
    <row r="40" spans="1:2" x14ac:dyDescent="0.25">
      <c r="A40">
        <v>179</v>
      </c>
      <c r="B40" t="s">
        <v>82</v>
      </c>
    </row>
    <row r="41" spans="1:2" x14ac:dyDescent="0.25">
      <c r="A41">
        <v>180</v>
      </c>
      <c r="B41" t="s">
        <v>82</v>
      </c>
    </row>
    <row r="42" spans="1:2" x14ac:dyDescent="0.25">
      <c r="A42">
        <v>181</v>
      </c>
      <c r="B42" t="s">
        <v>82</v>
      </c>
    </row>
    <row r="43" spans="1:2" x14ac:dyDescent="0.25">
      <c r="A43">
        <v>182</v>
      </c>
      <c r="B43" t="s">
        <v>82</v>
      </c>
    </row>
    <row r="44" spans="1:2" x14ac:dyDescent="0.25">
      <c r="A44">
        <v>183</v>
      </c>
      <c r="B44" t="s">
        <v>82</v>
      </c>
    </row>
    <row r="45" spans="1:2" x14ac:dyDescent="0.25">
      <c r="A45">
        <v>184</v>
      </c>
      <c r="B45" t="s">
        <v>82</v>
      </c>
    </row>
    <row r="46" spans="1:2" x14ac:dyDescent="0.25">
      <c r="A46">
        <v>185</v>
      </c>
      <c r="B46" t="s">
        <v>82</v>
      </c>
    </row>
    <row r="47" spans="1:2" x14ac:dyDescent="0.25">
      <c r="A47">
        <v>265</v>
      </c>
      <c r="B47" t="s">
        <v>83</v>
      </c>
    </row>
    <row r="48" spans="1:2" x14ac:dyDescent="0.25">
      <c r="A48">
        <v>266</v>
      </c>
      <c r="B48" t="s">
        <v>83</v>
      </c>
    </row>
    <row r="49" spans="1:2" x14ac:dyDescent="0.25">
      <c r="A49">
        <v>267</v>
      </c>
      <c r="B49" t="s">
        <v>83</v>
      </c>
    </row>
    <row r="50" spans="1:2" x14ac:dyDescent="0.25">
      <c r="A50">
        <v>268</v>
      </c>
      <c r="B50" t="s">
        <v>83</v>
      </c>
    </row>
    <row r="51" spans="1:2" x14ac:dyDescent="0.25">
      <c r="A51">
        <v>269</v>
      </c>
      <c r="B51" t="s">
        <v>83</v>
      </c>
    </row>
    <row r="52" spans="1:2" x14ac:dyDescent="0.25">
      <c r="A52">
        <v>270</v>
      </c>
      <c r="B52" t="s">
        <v>83</v>
      </c>
    </row>
    <row r="53" spans="1:2" x14ac:dyDescent="0.25">
      <c r="A53">
        <v>271</v>
      </c>
      <c r="B53" t="s">
        <v>83</v>
      </c>
    </row>
    <row r="54" spans="1:2" x14ac:dyDescent="0.25">
      <c r="A54">
        <v>272</v>
      </c>
      <c r="B54" t="s">
        <v>83</v>
      </c>
    </row>
    <row r="55" spans="1:2" x14ac:dyDescent="0.25">
      <c r="A55">
        <v>273</v>
      </c>
      <c r="B55" t="s">
        <v>83</v>
      </c>
    </row>
    <row r="56" spans="1:2" x14ac:dyDescent="0.25">
      <c r="A56">
        <v>274</v>
      </c>
      <c r="B56" t="s">
        <v>83</v>
      </c>
    </row>
    <row r="57" spans="1:2" x14ac:dyDescent="0.25">
      <c r="A57">
        <v>275</v>
      </c>
      <c r="B57" t="s">
        <v>83</v>
      </c>
    </row>
    <row r="58" spans="1:2" x14ac:dyDescent="0.25">
      <c r="A58">
        <v>360</v>
      </c>
      <c r="B58" t="s">
        <v>90</v>
      </c>
    </row>
    <row r="59" spans="1:2" x14ac:dyDescent="0.25">
      <c r="A59">
        <v>361</v>
      </c>
      <c r="B59" t="s">
        <v>90</v>
      </c>
    </row>
    <row r="60" spans="1:2" x14ac:dyDescent="0.25">
      <c r="A60">
        <v>362</v>
      </c>
      <c r="B60" t="s">
        <v>90</v>
      </c>
    </row>
    <row r="61" spans="1:2" x14ac:dyDescent="0.25">
      <c r="A61">
        <v>363</v>
      </c>
      <c r="B61" t="s">
        <v>90</v>
      </c>
    </row>
    <row r="62" spans="1:2" x14ac:dyDescent="0.25">
      <c r="A62">
        <v>364</v>
      </c>
      <c r="B62" t="s">
        <v>90</v>
      </c>
    </row>
    <row r="63" spans="1:2" x14ac:dyDescent="0.25">
      <c r="A63">
        <v>365</v>
      </c>
      <c r="B63" t="s">
        <v>90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2F00-7C4A-4107-A5CD-C51A2A06240D}">
  <sheetPr>
    <tabColor rgb="FF00B050"/>
  </sheetPr>
  <dimension ref="A1:E10"/>
  <sheetViews>
    <sheetView workbookViewId="0"/>
  </sheetViews>
  <sheetFormatPr defaultRowHeight="15" x14ac:dyDescent="0.25"/>
  <cols>
    <col min="1" max="1" width="10" bestFit="1" customWidth="1"/>
    <col min="2" max="2" width="7.7109375" bestFit="1" customWidth="1"/>
    <col min="3" max="4" width="7.42578125" bestFit="1" customWidth="1"/>
    <col min="5" max="5" width="51.28515625" customWidth="1"/>
  </cols>
  <sheetData>
    <row r="1" spans="1:5" ht="82.5" x14ac:dyDescent="0.25">
      <c r="A1" s="33" t="s">
        <v>87</v>
      </c>
      <c r="B1" s="33" t="s">
        <v>35</v>
      </c>
      <c r="C1" s="33" t="s">
        <v>95</v>
      </c>
      <c r="D1" s="33" t="s">
        <v>96</v>
      </c>
      <c r="E1" s="33" t="s">
        <v>97</v>
      </c>
    </row>
    <row r="2" spans="1:5" ht="16.5" x14ac:dyDescent="0.25">
      <c r="A2" s="34" t="s">
        <v>88</v>
      </c>
      <c r="B2" s="34" t="s">
        <v>98</v>
      </c>
      <c r="C2" s="35">
        <v>1.0349999999999997</v>
      </c>
      <c r="D2" s="35">
        <v>0.90097500000000019</v>
      </c>
      <c r="E2" s="43" t="s">
        <v>99</v>
      </c>
    </row>
    <row r="3" spans="1:5" ht="16.5" x14ac:dyDescent="0.25">
      <c r="A3" s="34" t="s">
        <v>100</v>
      </c>
      <c r="B3" s="34" t="s">
        <v>89</v>
      </c>
      <c r="C3" s="35">
        <v>0.85999999999999988</v>
      </c>
      <c r="D3" s="35">
        <v>0.7166250000000004</v>
      </c>
      <c r="E3" s="43"/>
    </row>
    <row r="4" spans="1:5" ht="16.5" x14ac:dyDescent="0.25">
      <c r="A4" s="34" t="s">
        <v>101</v>
      </c>
      <c r="B4" s="34" t="s">
        <v>77</v>
      </c>
      <c r="C4" s="35">
        <v>0.69</v>
      </c>
      <c r="D4" s="35">
        <v>0.51692500000000063</v>
      </c>
      <c r="E4" s="43"/>
    </row>
    <row r="5" spans="1:5" ht="16.5" x14ac:dyDescent="0.25">
      <c r="A5" s="34" t="s">
        <v>102</v>
      </c>
      <c r="B5" s="34" t="s">
        <v>79</v>
      </c>
      <c r="C5" s="35">
        <v>0.42749999999999988</v>
      </c>
      <c r="D5" s="35">
        <v>0.48476818181818199</v>
      </c>
      <c r="E5" s="43"/>
    </row>
    <row r="6" spans="1:5" ht="16.5" x14ac:dyDescent="0.25">
      <c r="A6" s="34" t="s">
        <v>103</v>
      </c>
      <c r="B6" s="34" t="s">
        <v>80</v>
      </c>
      <c r="C6" s="35">
        <v>0.28000000000000025</v>
      </c>
      <c r="D6" s="35">
        <v>0.15417727272727277</v>
      </c>
      <c r="E6" s="43"/>
    </row>
    <row r="7" spans="1:5" ht="16.5" x14ac:dyDescent="0.25">
      <c r="A7" s="34" t="s">
        <v>104</v>
      </c>
      <c r="B7" s="34" t="s">
        <v>81</v>
      </c>
      <c r="C7" s="35">
        <v>0.25</v>
      </c>
      <c r="D7" s="35">
        <v>0.13599999999999951</v>
      </c>
      <c r="E7" s="43"/>
    </row>
    <row r="8" spans="1:5" ht="16.5" x14ac:dyDescent="0.25">
      <c r="A8" s="34" t="s">
        <v>105</v>
      </c>
      <c r="B8" s="34" t="s">
        <v>82</v>
      </c>
      <c r="C8" s="35">
        <v>0.20000000000000012</v>
      </c>
      <c r="D8" s="35">
        <v>9.9999999999999714E-2</v>
      </c>
      <c r="E8" s="43"/>
    </row>
    <row r="9" spans="1:5" ht="16.5" x14ac:dyDescent="0.25">
      <c r="A9" s="34" t="s">
        <v>106</v>
      </c>
      <c r="B9" s="34" t="s">
        <v>83</v>
      </c>
      <c r="C9" s="35">
        <v>0.22999999999999987</v>
      </c>
      <c r="D9" s="35">
        <v>0.10597500000000031</v>
      </c>
      <c r="E9" s="43"/>
    </row>
    <row r="10" spans="1:5" ht="16.5" x14ac:dyDescent="0.25">
      <c r="A10" s="34" t="s">
        <v>107</v>
      </c>
      <c r="B10" s="34" t="s">
        <v>90</v>
      </c>
      <c r="C10" s="35">
        <v>0.26000000000000023</v>
      </c>
      <c r="D10" s="35">
        <v>9.9999999999999645E-2</v>
      </c>
      <c r="E10" s="43"/>
    </row>
  </sheetData>
  <mergeCells count="1">
    <mergeCell ref="E2:E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B09374-E410-423F-A600-844BB90D0C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Báo cáo hàng ngày</vt:lpstr>
      <vt:lpstr>Ghi chú</vt:lpstr>
      <vt:lpstr>Giao dịch MM</vt:lpstr>
      <vt:lpstr>Giao dịch Repo</vt:lpstr>
      <vt:lpstr>Sao kê giao dịch Repo</vt:lpstr>
      <vt:lpstr>Sao kê giao dịch MM</vt:lpstr>
      <vt:lpstr>Data VNIBOR</vt:lpstr>
      <vt:lpstr>Data Repo</vt:lpstr>
      <vt:lpstr>Thang kỳ hạn MM</vt:lpstr>
      <vt:lpstr>Thang kỳ hạn Repo</vt:lpstr>
      <vt:lpstr>Biên độ MM, Repo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Minh Hieu</dc:creator>
  <cp:lastModifiedBy>Tran Bao. Toan</cp:lastModifiedBy>
  <dcterms:created xsi:type="dcterms:W3CDTF">2024-03-20T04:15:00Z</dcterms:created>
  <dcterms:modified xsi:type="dcterms:W3CDTF">2025-09-30T03:52:45Z</dcterms:modified>
</cp:coreProperties>
</file>