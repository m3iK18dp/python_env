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_RRLS_01" sheetId="1" r:id="rId4"/>
    <sheet state="visible" name="BM_RRLS_02" sheetId="2" r:id="rId5"/>
  </sheets>
  <externalReferences>
    <externalReference r:id="rId6"/>
    <externalReference r:id="rId7"/>
  </externalReferences>
  <definedNames>
    <definedName localSheetId="0" name="___a1">{"'Sheet1'!$L$16"}</definedName>
    <definedName localSheetId="1" name="___a1">{"'Sheet1'!$L$16"}</definedName>
    <definedName name="___a1">{"'Sheet1'!$L$16"}</definedName>
    <definedName localSheetId="0" name="__a1">{"'Sheet1'!$L$16"}</definedName>
    <definedName localSheetId="1" name="__a1">{"'Sheet1'!$L$16"}</definedName>
    <definedName name="__a1">{"'Sheet1'!$L$16"}</definedName>
    <definedName localSheetId="0" name="__a2">{"'Sheet1'!$L$16"}</definedName>
    <definedName localSheetId="1" name="__a2">{"'Sheet1'!$L$16"}</definedName>
    <definedName name="__a2">{"'Sheet1'!$L$16"}</definedName>
    <definedName name="__IntlFixup">TRUE</definedName>
    <definedName localSheetId="0" name="_a1">{"'Sheet1'!$L$16"}</definedName>
    <definedName localSheetId="1" name="_a1">{"'Sheet1'!$L$16"}</definedName>
    <definedName name="_a1">{"'Sheet1'!$L$16"}</definedName>
    <definedName localSheetId="0" name="_a10">{"'Sheet1'!$L$16"}</definedName>
    <definedName localSheetId="1" name="_a10">{"'Sheet1'!$L$16"}</definedName>
    <definedName name="_a10">{"'Sheet1'!$L$16"}</definedName>
    <definedName localSheetId="0" name="_a11">{"'Sheet1'!$L$16"}</definedName>
    <definedName localSheetId="1" name="_a11">{"'Sheet1'!$L$16"}</definedName>
    <definedName name="_a11">{"'Sheet1'!$L$16"}</definedName>
    <definedName localSheetId="0" name="_a12">{"'Sheet1'!$L$16"}</definedName>
    <definedName localSheetId="1" name="_a12">{"'Sheet1'!$L$16"}</definedName>
    <definedName name="_a12">{"'Sheet1'!$L$16"}</definedName>
    <definedName localSheetId="0" name="_a13">{"'Sheet1'!$L$16"}</definedName>
    <definedName localSheetId="1" name="_a13">{"'Sheet1'!$L$16"}</definedName>
    <definedName name="_a13">{"'Sheet1'!$L$16"}</definedName>
    <definedName localSheetId="0" name="_a14">{"'Sheet1'!$L$16"}</definedName>
    <definedName localSheetId="1" name="_a14">{"'Sheet1'!$L$16"}</definedName>
    <definedName name="_a14">{"'Sheet1'!$L$16"}</definedName>
    <definedName localSheetId="0" name="_a18">{"'Sheet1'!$L$16"}</definedName>
    <definedName localSheetId="1" name="_a18">{"'Sheet1'!$L$16"}</definedName>
    <definedName name="_a18">{"'Sheet1'!$L$16"}</definedName>
    <definedName localSheetId="0" name="_a2">{"'Sheet1'!$L$16"}</definedName>
    <definedName localSheetId="1" name="_a2">{"'Sheet1'!$L$16"}</definedName>
    <definedName name="_a2">{"'Sheet1'!$L$16"}</definedName>
    <definedName localSheetId="0" name="_a20">{"'Sheet1'!$L$16"}</definedName>
    <definedName localSheetId="1" name="_a20">{"'Sheet1'!$L$16"}</definedName>
    <definedName name="_a20">{"'Sheet1'!$L$16"}</definedName>
    <definedName localSheetId="0" name="_a3">{"'Sheet1'!$L$16"}</definedName>
    <definedName localSheetId="1" name="_a3">{"'Sheet1'!$L$16"}</definedName>
    <definedName name="_a3">{"'Sheet1'!$L$16"}</definedName>
    <definedName localSheetId="0" name="_a4">{"'Sheet1'!$L$16"}</definedName>
    <definedName localSheetId="1" name="_a4">{"'Sheet1'!$L$16"}</definedName>
    <definedName name="_a4">{"'Sheet1'!$L$16"}</definedName>
    <definedName localSheetId="0" name="_a5">{"'Sheet1'!$L$16"}</definedName>
    <definedName localSheetId="1" name="_a5">{"'Sheet1'!$L$16"}</definedName>
    <definedName name="_a5">{"'Sheet1'!$L$16"}</definedName>
    <definedName localSheetId="0" name="_a7">{"'Sheet1'!$L$16"}</definedName>
    <definedName localSheetId="1" name="_a7">{"'Sheet1'!$L$16"}</definedName>
    <definedName name="_a7">{"'Sheet1'!$L$16"}</definedName>
    <definedName localSheetId="0" name="_a8">{"'Sheet1'!$L$16"}</definedName>
    <definedName localSheetId="1" name="_a8">{"'Sheet1'!$L$16"}</definedName>
    <definedName name="_a8">{"'Sheet1'!$L$16"}</definedName>
    <definedName localSheetId="0" name="_a9">{"'Sheet1'!$L$16"}</definedName>
    <definedName localSheetId="1" name="_a9">{"'Sheet1'!$L$16"}</definedName>
    <definedName name="_a9">{"'Sheet1'!$L$16"}</definedName>
    <definedName localSheetId="0" name="_f5">{"'Sheet1'!$L$16"}</definedName>
    <definedName localSheetId="1" name="_f5">{"'Sheet1'!$L$16"}</definedName>
    <definedName name="_f5">{"'Sheet1'!$L$16"}</definedName>
    <definedName localSheetId="0" name="_hu14">{"'Sheet1'!$L$16"}</definedName>
    <definedName localSheetId="1" name="_hu14">{"'Sheet1'!$L$16"}</definedName>
    <definedName name="_hu14">{"'Sheet1'!$L$16"}</definedName>
    <definedName localSheetId="0" name="_NS03">{"'Sheet1'!$L$16"}</definedName>
    <definedName localSheetId="1" name="_NS03">{"'Sheet1'!$L$16"}</definedName>
    <definedName name="_NS03">{"'Sheet1'!$L$16"}</definedName>
    <definedName localSheetId="0" name="_NSO2">{"'Sheet1'!$L$16"}</definedName>
    <definedName localSheetId="1" name="_NSO2">{"'Sheet1'!$L$16"}</definedName>
    <definedName name="_NSO2">{"'Sheet1'!$L$16"}</definedName>
    <definedName name="_Order1">255</definedName>
    <definedName name="_Order2">255</definedName>
    <definedName name="AccessDatabase">"C:\Documents and Settings\trong.tran\My Documents\Phieu thu chi.mdb"</definedName>
    <definedName name="AS2DocOpenMode">"AS2DocumentEdit"</definedName>
    <definedName localSheetId="0" name="e">{"'Sheet1'!$L$16"}</definedName>
    <definedName localSheetId="1" name="e">{"'Sheet1'!$L$16"}</definedName>
    <definedName name="e">{"'Sheet1'!$L$16"}</definedName>
    <definedName name="ExactAddinConnection">"200"</definedName>
    <definedName name="ExactAddinConnection.002">"NEVN;002;ACS1;1"</definedName>
    <definedName name="ExactAddinConnection.034">"NOIVU;034;gl4;1"</definedName>
    <definedName name="ExactAddinConnection.200">"MAYCHU2;200;yen;0"</definedName>
    <definedName name="ExactAddinReports">24</definedName>
    <definedName localSheetId="0" name="fa">{"'Sheet1'!$L$16"}</definedName>
    <definedName localSheetId="1" name="fa">{"'Sheet1'!$L$16"}</definedName>
    <definedName name="fa">{"'Sheet1'!$L$16"}</definedName>
    <definedName localSheetId="0" name="hanh">{"'Sheet1'!$L$16"}</definedName>
    <definedName localSheetId="1" name="hanh">{"'Sheet1'!$L$16"}</definedName>
    <definedName name="hanh">{"'Sheet1'!$L$16"}</definedName>
    <definedName localSheetId="0" name="hfjjgjgjg">{"'Sheet1'!$L$16"}</definedName>
    <definedName localSheetId="1" name="hfjjgjgjg">{"'Sheet1'!$L$16"}</definedName>
    <definedName name="hfjjgjgjg">{"'Sheet1'!$L$16"}</definedName>
    <definedName localSheetId="0" name="hhhh">{"'Sheet1'!$L$16"}</definedName>
    <definedName localSheetId="1" name="hhhh">{"'Sheet1'!$L$16"}</definedName>
    <definedName name="hhhh">{"'Sheet1'!$L$16"}</definedName>
    <definedName localSheetId="0" name="htg">{#N/A,#N/A,TRUE,"BT M200 da 10x20"}</definedName>
    <definedName localSheetId="1" name="htg">{#N/A,#N/A,TRUE,"BT M200 da 10x20"}</definedName>
    <definedName name="htg">{#N/A,#N/A,TRUE,"BT M200 da 10x20"}</definedName>
    <definedName name="HTML_CodePage">950</definedName>
    <definedName localSheetId="0" name="HTML_Control">{"'Sheet1'!$L$16"}</definedName>
    <definedName localSheetId="1" name="HTML_Control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localSheetId="0" name="huy">{"'Sheet1'!$L$16"}</definedName>
    <definedName localSheetId="1" name="huy">{"'Sheet1'!$L$16"}</definedName>
    <definedName name="huy">{"'Sheet1'!$L$16"}</definedName>
    <definedName localSheetId="0" name="JUN">{"'Sheet1'!$L$16"}</definedName>
    <definedName localSheetId="1" name="JUN">{"'Sheet1'!$L$16"}</definedName>
    <definedName name="JUN">{"'Sheet1'!$L$16"}</definedName>
    <definedName localSheetId="0" name="lan">{#N/A,#N/A,TRUE,"BT M200 da 10x20"}</definedName>
    <definedName localSheetId="1" name="lan">{#N/A,#N/A,TRUE,"BT M200 da 10x20"}</definedName>
    <definedName name="lan">{#N/A,#N/A,TRUE,"BT M200 da 10x20"}</definedName>
    <definedName localSheetId="0" name="long">{"'Sheet1'!$L$16"}</definedName>
    <definedName localSheetId="1" name="long">{"'Sheet1'!$L$16"}</definedName>
    <definedName name="long">{"'Sheet1'!$L$16"}</definedName>
    <definedName localSheetId="0" name="Popn">{"'Sheet1'!$L$16"}</definedName>
    <definedName localSheetId="1" name="Popn">{"'Sheet1'!$L$16"}</definedName>
    <definedName name="Popn">{"'Sheet1'!$L$16"}</definedName>
    <definedName localSheetId="0" name="UGVG">{#N/A,#N/A,TRUE,"BT M200 da 10x20"}</definedName>
    <definedName localSheetId="1" name="UGVG">{#N/A,#N/A,TRUE,"BT M200 da 10x20"}</definedName>
    <definedName name="UGVG">{#N/A,#N/A,TRUE,"BT M200 da 10x20"}</definedName>
    <definedName name="wf">[1]T.Tinh!#REF!</definedName>
    <definedName localSheetId="0" name="wrn.BAOCAO.">{#N/A,#N/A,FALSE,"sum";#N/A,#N/A,FALSE,"MARTV";#N/A,#N/A,FALSE,"APRTV"}</definedName>
    <definedName localSheetId="1" name="wrn.BAOCAO.">{#N/A,#N/A,FALSE,"sum";#N/A,#N/A,FALSE,"MARTV";#N/A,#N/A,FALSE,"APRTV"}</definedName>
    <definedName name="wrn.BAOCAO.">{#N/A,#N/A,FALSE,"sum";#N/A,#N/A,FALSE,"MARTV";#N/A,#N/A,FALSE,"APRTV"}</definedName>
    <definedName localSheetId="0" name="wrn.chi._.tiÆt.">{#N/A,#N/A,FALSE,"Chi tiÆt"}</definedName>
    <definedName localSheetId="1" name="wrn.chi._.tiÆt.">{#N/A,#N/A,FALSE,"Chi tiÆt"}</definedName>
    <definedName name="wrn.chi._.tiÆt.">{#N/A,#N/A,FALSE,"Chi tiÆt"}</definedName>
    <definedName localSheetId="0" name="wrn.tuan.">{#N/A,#N/A,FALSE,"LEDGERSUMARY"}</definedName>
    <definedName localSheetId="1" name="wrn.tuan.">{#N/A,#N/A,FALSE,"LEDGERSUMARY"}</definedName>
    <definedName name="wrn.tuan.">{#N/A,#N/A,FALSE,"LEDGERSUMARY"}</definedName>
    <definedName localSheetId="0" name="wrn.vd.">{#N/A,#N/A,TRUE,"BT M200 da 10x20"}</definedName>
    <definedName localSheetId="1" name="wrn.vd.">{#N/A,#N/A,TRUE,"BT M200 da 10x20"}</definedName>
    <definedName name="wrn.vd.">{#N/A,#N/A,TRUE,"BT M200 da 10x20"}</definedName>
    <definedName localSheetId="0" name="Z_F0C8E203_0007_4032_BD25_AF3A312A9E1D_.wvu.Rows">BM_RRLS_01!$15:$15,BM_RRLS_01!$26:$26</definedName>
    <definedName localSheetId="1" name="Z_F0C8E203_0007_4032_BD25_AF3A312A9E1D_.wvu.Rows">BM_RRLS_02!$14:$14,BM_RRLS_02!$25:$25</definedName>
    <definedName name="_Sort">#REF!</definedName>
    <definedName name="_Fill">#REF!</definedName>
    <definedName name="q">#REF!</definedName>
    <definedName name="data3">#REF!</definedName>
    <definedName name="SpecialPrice">#REF!</definedName>
    <definedName name="Nam">#REF!</definedName>
    <definedName name="n">#REF!</definedName>
    <definedName name="ProdForm">#REF!</definedName>
    <definedName name="dsakhfiuwalsd">#REF!</definedName>
    <definedName name="HiddenRows">#REF!</definedName>
    <definedName localSheetId="1" name="wf">#REF!</definedName>
    <definedName name="nnnnnnnnnnnnnnn">#REF!</definedName>
    <definedName name="dsfasdjfsafdsaf">#REF!</definedName>
    <definedName name="Discount">#REF!</definedName>
    <definedName name="data2">#REF!</definedName>
    <definedName name="OrderTable">#REF!</definedName>
    <definedName name="display_area_2">#REF!</definedName>
    <definedName name="NPP">#REF!</definedName>
    <definedName name="RCArea">#REF!</definedName>
    <definedName name="tbl_ProdInfo">#REF!</definedName>
    <definedName name="__T01">#REF!</definedName>
    <definedName name="_Key1">#REF!</definedName>
    <definedName name="___T01">#REF!</definedName>
    <definedName name="_Key2">#REF!</definedName>
    <definedName localSheetId="0" name="wf">#REF!</definedName>
    <definedName name="AAAAAAAAAAAAA">#REF!</definedName>
    <definedName name="_____t2">#REF!</definedName>
    <definedName name="Product">#REF!</definedName>
    <definedName name="FCode">#REF!</definedName>
    <definedName name="data1">#REF!</definedName>
    <definedName name="_T01">#REF!</definedName>
  </definedNames>
  <calcPr/>
  <extLst>
    <ext uri="GoogleSheetsCustomDataVersion2">
      <go:sheetsCustomData xmlns:go="http://customooxmlschemas.google.com/" r:id="rId8" roundtripDataChecksum="dhswQIRQaeHZY9BCdM8quGx0XLV0aRNx1+OHSl+3qWY="/>
    </ext>
  </extLst>
</workbook>
</file>

<file path=xl/sharedStrings.xml><?xml version="1.0" encoding="utf-8"?>
<sst xmlns="http://schemas.openxmlformats.org/spreadsheetml/2006/main" count="1230" uniqueCount="991">
  <si>
    <r>
      <rPr>
        <rFont val="Times New Roman"/>
        <b/>
        <color theme="1"/>
        <sz val="12.0"/>
      </rPr>
      <t>I.</t>
    </r>
    <r>
      <rPr>
        <rFont val="Times New Roman"/>
        <b/>
        <color theme="1"/>
        <sz val="7.0"/>
      </rPr>
      <t xml:space="preserve">                   </t>
    </r>
    <r>
      <rPr>
        <rFont val="Times New Roman"/>
        <b/>
        <color theme="1"/>
        <sz val="12.0"/>
      </rPr>
      <t>Đo lường chênh lệch kỳ định lại lãi suất</t>
    </r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</si>
  <si>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</si>
  <si>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</si>
  <si>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</si>
  <si>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</si>
  <si>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</si>
  <si>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</si>
  <si>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</si>
  <si>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</si>
  <si>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</si>
  <si>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</si>
  <si>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</si>
  <si>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</si>
  <si>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</si>
  <si>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</si>
  <si>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</si>
  <si>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</si>
  <si>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</si>
  <si>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</si>
  <si>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</si>
  <si>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QH</t>
  </si>
  <si>
    <t>KCL</t>
  </si>
  <si>
    <t>Đến 1N (ON)</t>
  </si>
  <si>
    <t xml:space="preserve"> Đến 1T </t>
  </si>
  <si>
    <t xml:space="preserve"> 1T-3T </t>
  </si>
  <si>
    <t xml:space="preserve"> 3T-6T </t>
  </si>
  <si>
    <t xml:space="preserve"> 6T-9T </t>
  </si>
  <si>
    <t xml:space="preserve"> 9T-12T </t>
  </si>
  <si>
    <t xml:space="preserve"> 1-1.5N </t>
  </si>
  <si>
    <t xml:space="preserve"> 1.5-2N </t>
  </si>
  <si>
    <t xml:space="preserve"> 2-3N </t>
  </si>
  <si>
    <t xml:space="preserve"> 3-4N </t>
  </si>
  <si>
    <t xml:space="preserve"> 4-5N </t>
  </si>
  <si>
    <t xml:space="preserve"> 5-6N </t>
  </si>
  <si>
    <t xml:space="preserve"> 6-7N </t>
  </si>
  <si>
    <t xml:space="preserve"> 7-8N </t>
  </si>
  <si>
    <t xml:space="preserve"> 8-9N </t>
  </si>
  <si>
    <t xml:space="preserve"> 9-10N </t>
  </si>
  <si>
    <t xml:space="preserve"> 10-15N </t>
  </si>
  <si>
    <t xml:space="preserve"> 15-20N </t>
  </si>
  <si>
    <t xml:space="preserve"> &gt;20N </t>
  </si>
  <si>
    <t xml:space="preserve"> Quá hạn </t>
  </si>
  <si>
    <t xml:space="preserve"> Không chịu lãi </t>
  </si>
  <si>
    <t xml:space="preserve"> TỔNG </t>
  </si>
  <si>
    <t>Check</t>
  </si>
  <si>
    <t>Chênh lệch</t>
  </si>
  <si>
    <t>TÀI SẢN</t>
  </si>
  <si>
    <t>Tiền mặt, vàng bạc đá quý</t>
  </si>
  <si>
    <r>
      <rPr>
        <rFont val="Times New Roman"/>
        <color theme="1"/>
        <sz val="10.0"/>
      </rPr>
      <t xml:space="preserve">Bảng cân đối tài khoản: Tổng SODU_CUOIKY_NO với điều kiện: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[101*, 103*, 1051]
b, LOAI_TIEN VND</t>
    </r>
  </si>
  <si>
    <t>=SUM(C5:W5)</t>
  </si>
  <si>
    <t>II</t>
  </si>
  <si>
    <t>Tiền gửi tại NHNN</t>
  </si>
  <si>
    <r>
      <rPr>
        <rFont val="Times New Roman"/>
        <color theme="1"/>
        <sz val="10.0"/>
      </rPr>
      <t xml:space="preserve">Bảng cân đối tài khoản: Tổng SODU_CUOIKY_NO với điều kiện:
a, </t>
    </r>
    <r>
      <rPr>
        <rFont val="Times New Roman"/>
        <color rgb="FF0000FF"/>
        <sz val="10.0"/>
      </rPr>
      <t>TK_SBV</t>
    </r>
    <r>
      <rPr>
        <rFont val="Times New Roman"/>
        <color theme="1"/>
        <sz val="10.0"/>
      </rPr>
      <t xml:space="preserve"> [111*, 112*]
b, LOAI_TIEN VND</t>
    </r>
  </si>
  <si>
    <t>=SUM(C6:W6)</t>
  </si>
  <si>
    <t>III</t>
  </si>
  <si>
    <t>Tiền gửi tại và cho vay các TCTD khác</t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</si>
  <si>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 [131*, 132*, 133*, 134*, 135*, 136*]
b,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 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"&gt;=0 và &lt;=1"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:  "&gt;=0 và &lt;=1"
</t>
    </r>
    <r>
      <rPr>
        <rFont val="Times New Roman"/>
        <color rgb="FFFF0000"/>
        <sz val="10.0"/>
      </rPr>
      <t>3. Bảng cân đối tài khoản: Tổng SODU_CUOIKY_NO với điều kiện:
 a, TKGL_SBV [1311, 1312]
 b, LOAI_TIEN VND
 Lấy 1 + 2 + 3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</si>
  <si>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 và &lt;=30"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 và &lt;=30"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</si>
  <si>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"&gt;30 và &lt;=90"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"&gt;30 và &lt;=90"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</si>
  <si>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"&gt;90 và &lt;=180"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"&gt;90 và &lt;=180"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</si>
  <si>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"&gt;180 và &lt;=270"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"&gt;180 và &lt;=270"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</si>
  <si>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"&gt;270 và &lt;=360"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"&gt;270 và &lt;=360"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</si>
  <si>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"&gt;360 và &lt;=540"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"&gt;360 và &lt;=540"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</si>
  <si>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"&gt;540 và &lt;=720"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"&gt;540 và &lt;=720"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</si>
  <si>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"&gt;720 và &lt;=1080"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"&gt;720 và &lt;=1080"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</si>
  <si>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"&gt;1080và &lt;=1440"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"&gt;1080 và &lt;=1440"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</si>
  <si>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 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"&gt;1440 và &lt;=1800"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"&gt;1440 và &lt;=1800"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</si>
  <si>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"&gt;1800 và &lt;=2160"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"&gt;1800 và &lt;=2160"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</si>
  <si>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 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"&gt;2160 và &lt;=2520"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 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"&gt;2160 và &lt;=2520"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</si>
  <si>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"&gt;2520 và &lt;=2880"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"&gt;2520 và &lt;=2880"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</si>
  <si>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"&gt;2880 và &lt;=3240"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"&gt;2880 và &lt;=3240"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</si>
  <si>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"&gt;3240 và &lt;=3600"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"&gt;3240 và &lt;=3600"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</si>
  <si>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"&gt;3600 và &lt;=5400"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"&gt;3600 và &lt;=5400"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</si>
  <si>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"&gt;5400 và &lt;=7200"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"&gt;5400 và &lt;=7200"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</si>
  <si>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"&gt;7200"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"&gt;7200"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</si>
  <si>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VND/ USD</t>
    </r>
    <r>
      <rPr>
        <rFont val="Times New Roman"/>
        <color theme="1"/>
        <sz val="10.0"/>
      </rPr>
      <t xml:space="preserve"> VND
c,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"&lt;0"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LOAI_TIEN VND
c,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"&lt;0"
Lấy 1 + 2</t>
    </r>
  </si>
  <si>
    <t>=SUM(C7:W7)</t>
  </si>
  <si>
    <t>IV</t>
  </si>
  <si>
    <t>Chứng khoán kinh doanh</t>
  </si>
  <si>
    <t>=SUM(C8:W8)</t>
  </si>
  <si>
    <t>V</t>
  </si>
  <si>
    <t>Các công cụ tài chính phái sinh và các TS tài chính khác- TSC</t>
  </si>
  <si>
    <t>=SUM(C9:W9)</t>
  </si>
  <si>
    <t>VI</t>
  </si>
  <si>
    <t>Cho vay khách hàng (Bao gồm mua nợ)</t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</si>
  <si>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>GOC_SE_TRA (GOC_PHAI_TRA - GOC_DA_TRA)</t>
    </r>
    <r>
      <rPr>
        <rFont val="Times New Roman"/>
        <color theme="1"/>
        <sz val="10.0"/>
      </rPr>
      <t xml:space="preserve"> với điều kiện:
a, CHI_SO_NO_QUA_HAN = 0
b, LOAI_TIEN VND
c, </t>
    </r>
    <r>
      <rPr>
        <rFont val="Times New Roman"/>
        <color rgb="FF0000FF"/>
        <sz val="10.0"/>
      </rPr>
      <t>NGAY_KY_HAN_2 (NGAY_DINH_LAI_LAI_SUAT_2 - ngày báo cáo)</t>
    </r>
    <r>
      <rPr>
        <rFont val="Times New Roman"/>
        <color theme="1"/>
        <sz val="10.0"/>
      </rPr>
      <t>: "&gt;=0 và &lt;=1"
2. Thẻ: Tổng cột Principle Debit Amount với điều kiện NGAY_KY_HAN_2 "&gt;=0 và &lt;=1"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</si>
  <si>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>GOC_SE_TRA (GOC_PHAI_TRA - GOC_DA_TRA)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>"&gt;1 và &lt;=30"
2. Thẻ: Tổng cột Principle Debit Amount với điều kiện NGAY_KY_HAN_2  "&gt;1 và &lt;=30"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</si>
  <si>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"&gt;30 và &lt;=90"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</si>
  <si>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"&gt;90 và &lt;=180"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</si>
  <si>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"&gt;180 và &lt;=270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</si>
  <si>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"&gt;270 và &lt;=360"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</si>
  <si>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"&gt;360 và &lt;=540"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</si>
  <si>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"&gt;540 và &lt;=720"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</si>
  <si>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"&gt;720 và &lt;=1080"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</si>
  <si>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"&gt;1080 và &lt;=1440"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</si>
  <si>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"&gt;1440 và &lt;=1800"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</si>
  <si>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"&gt;1800 và &lt;=2160"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</si>
  <si>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"&gt;2160 và &lt;=2520"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</si>
  <si>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"&gt;2520 và &lt;=2880"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</si>
  <si>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"&gt;2880 và &lt;=3240"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</si>
  <si>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"&gt;3240 và &lt;=3600"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</si>
  <si>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"&gt;3600 và &lt;=5400"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</si>
  <si>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"&gt;5400 và &lt;=7200"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</si>
  <si>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LOAI_TIEN VND
c,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"&gt;7200"
</t>
    </r>
  </si>
  <si>
    <r>
      <rPr>
        <rFont val="Times New Roman"/>
        <color theme="1"/>
        <sz val="10.0"/>
      </rPr>
      <t xml:space="preserve">1.Cho vay khách hàng: Tổng cột DUNO_VAYTT_QD với điều kiện
a, CHI_SO_NO_QUA_HAN &lt;&gt; 0
b, LOAI_TIEN VND
</t>
    </r>
    <r>
      <rPr>
        <rFont val="Times New Roman"/>
        <color rgb="FFFF0000"/>
        <sz val="10.0"/>
      </rPr>
      <t xml:space="preserve">2. Thẻ: Tổng cột Principle Debit Amount
</t>
    </r>
  </si>
  <si>
    <t>=SUM(C10:W10)</t>
  </si>
  <si>
    <t>VII</t>
  </si>
  <si>
    <t>Chứng khoán đầu tư</t>
  </si>
  <si>
    <t>Danh mục chứng khoán: Tổng cột GIA_TRI_SO_SACH với điều kiện
a, TKGL: [12*, 15*, 16*]
b, NGAY_KY_HAN_2: "&gt;=0 và &lt;=1"</t>
  </si>
  <si>
    <t>Danh mục chứng khoán: Tổng cột GIA_TRI_SO_SACH với điều kiện
a, TKGL: [12*, 15*, 16*]
b, NGAY_KY_HAN_2: "&gt;1 và &lt;=30"</t>
  </si>
  <si>
    <t>Danh mục chứng khoán: Tổng cột GIA_TRI_SO_SACH với điều kiện
a, TKGL: [12*, 15*, 16*]
b, NGAY_KY_HAN_2: "&gt;30 và &lt;=90"</t>
  </si>
  <si>
    <t>Danh mục chứng khoán: Tổng cột GIA_TRI_SO_SACH với điều kiện
a, TKGL: [12*, 15*, 16*]
b, NGAY_KY_HAN_2: "&gt;90 và &lt;=180"</t>
  </si>
  <si>
    <t>Danh mục chứng khoán: Tổng cột GIA_TRI_SO_SACH với điều kiện
a, TKGL: [12*, 15*, 16*]
b, NGAY_KY_HAN_2:  "&gt;180 và &lt;=270</t>
  </si>
  <si>
    <t>Danh mục chứng khoán: Tổng cột GIA_TRI_SO_SACH với điều kiện
a, TKGL: [12*, 15*, 16*]
b, NGAY_KY_HAN_2: "&gt;270 và &lt;=360"</t>
  </si>
  <si>
    <t>Danh mục chứng khoán: Tổng cột GIA_TRI_SO_SACH với điều kiện
a, TKGL: [12*, 15*, 16*]
b, NGAY_KY_HAN_2: "&gt;360 và &lt;=540"</t>
  </si>
  <si>
    <t>Danh mục chứng khoán: Tổng cột GIA_TRI_SO_SACH với điều kiện
a, TKGL: [12*, 15*, 16*]
b, NGAY_KY_HAN_2: "&gt;540 và &lt;=720"</t>
  </si>
  <si>
    <t>Danh mục chứng khoán: Tổng cột GIA_TRI_SO_SACH với điều kiện
a, TKGL: [12*, 15*, 16*]
b, NGAY_KY_HAN_2: "&gt;720 và &lt;=1080"</t>
  </si>
  <si>
    <t>Danh mục chứng khoán: Tổng cột GIA_TRI_SO_SACH với điều kiện
a, TKGL: [12*, 15*, 16*]
b, NGAY_KY_HAN_2: "&gt;1080 và &lt;=1440"</t>
  </si>
  <si>
    <t>Danh mục chứng khoán: Tổng cột GIA_TRI_SO_SACH với điều kiện
a, TKGL: [12*, 15*, 16*]
b, NGAY_KY_HAN_2: "&gt;1440 và &lt;=1800"</t>
  </si>
  <si>
    <t>Danh mục chứng khoán: Tổng cột GIA_TRI_SO_SACH với điều kiện
a, TKGL: [12*, 15*, 16*]
b, NGAY_KY_HAN_2: "&gt;1800 và &lt;=2160"</t>
  </si>
  <si>
    <t>Danh mục chứng khoán: Tổng cột GIA_TRI_SO_SACH với điều kiện
a, TKGL: [12*, 15*, 16*]
b, NGAY_KY_HAN_2: "&gt;3600 và &lt;=5400"</t>
  </si>
  <si>
    <t>Danh mục chứng khoán: Tổng cột GIA_TRI_SO_SACH với điều kiện
a, TKGL: [12*, 15*, 16*]
b, NGAY_KY_HAN_2:"&gt;5400 và &lt;=7200"</t>
  </si>
  <si>
    <t>Danh mục chứng khoán: Tổng cột GIA_TRI_SO_SACH với điều kiện
a, TKGL: [12*, 15*, 16*]
b, NGAY_KY_HAN_2: "&gt;7200"</t>
  </si>
  <si>
    <t>Danh mục chứng khoán: Tổng cột GIA_TRI_SO_SACH với điều kiện
a, TKGL: [12*, 15*, 16*]
b, NGAY_KY_HAN_2: "&lt;0"</t>
  </si>
  <si>
    <t>Danh mục chứng khoán: Tổng cột GIA_TRI_SO_SACH với điều kiện
a, TKGL: [12*, 15*, 16*]
b, PHAN_LOAI_TT35: ["CP", "KNL"]</t>
  </si>
  <si>
    <t>=SUM(C11:W11)</t>
  </si>
  <si>
    <t>VIII</t>
  </si>
  <si>
    <t>Góp vốn đầu tư dài hạn</t>
  </si>
  <si>
    <t>766,139,000,000</t>
  </si>
  <si>
    <r>
      <rPr>
        <rFont val="Times New Roman"/>
        <color theme="1"/>
        <sz val="10.0"/>
      </rPr>
      <t xml:space="preserve">1. Bảng cân đối tài khoản: SODU_CUOIKY_NO với điều kiện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34*
b, LOAI_TIEN VND
2. 766,139,000,000
=&gt; Lấy 1 -2 </t>
    </r>
  </si>
  <si>
    <t>=SUM(C12:W12)</t>
  </si>
  <si>
    <t>IX</t>
  </si>
  <si>
    <t>TSCĐ và BĐS đầu tư</t>
  </si>
  <si>
    <r>
      <rPr>
        <rFont val="Times New Roman"/>
        <color theme="1"/>
        <sz val="10.0"/>
      </rPr>
      <t xml:space="preserve">1. BẢNG CÂN ĐỐI TÀI KHOẢN: Tổng giá trị SODU_CUOIKY_NO với điều kiện
a.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30*
b. LOAI_TIEN VND 
2. Tổng giá trị SODU_CUOIKY_NO với điều kiện 
a.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305*
b. LOAI_TIEN VND 
=&gt;1 -2</t>
    </r>
  </si>
  <si>
    <t>=SUM(C13:W13)</t>
  </si>
  <si>
    <t>X</t>
  </si>
  <si>
    <t>Các tài sản có khác</t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</si>
  <si>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&lt;0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&lt; 0
c. LOAI_TIEN VND
3. Cho vay khách hàng: Tổng cột LAI_HTGL_DUTHU với điều kiện
a. CHI_SO_NO_QUA_HAN &gt; 0
b. LOAI_TIEN: VND
4. 5.888.637,751
5. Báo cáo tài chính: Tổng cột SODU_CUOIKY với điều kiện </t>
    </r>
    <r>
      <rPr>
        <rFont val="Times New Roman"/>
        <color rgb="FFFF0000"/>
        <sz val="10.0"/>
      </rPr>
      <t>MCT "AC10"</t>
    </r>
    <r>
      <rPr>
        <rFont val="Times New Roman"/>
        <color theme="1"/>
        <sz val="10.0"/>
      </rPr>
      <t xml:space="preserve">
=&gt; 1+2+3-4+5</t>
    </r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</si>
  <si>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&gt;=0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&gt;= 0
c. LOAI_TIEN VND
3. BẢNG CÂN ĐỐI TÀI KHOẢN: Tổng cột SODU_CUOIKY_NO với điều kiện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[392, 397] và LOAI_TIEN VND
4. Cho vay khách hàng: Tổng cột LAI_HTGL_DUTHU với điều kiện
a. CHI_SO_NO_QUA_HAN = 0
b. LOAI_TIEN: VND
5. Báo cáo tài chính: Tổng cột SODU_CUOIKY với điều kiện </t>
    </r>
    <r>
      <rPr>
        <rFont val="Times New Roman"/>
        <color rgb="FFFF0000"/>
        <sz val="10.0"/>
      </rPr>
      <t>MCT "AC40"</t>
    </r>
    <r>
      <rPr>
        <rFont val="Times New Roman"/>
        <color theme="1"/>
        <sz val="10.0"/>
      </rPr>
      <t xml:space="preserve">
6. 5.888.637.751
=&gt; 1+2+3+4+5+6</t>
    </r>
  </si>
  <si>
    <t>=SUM(C14:W14)</t>
  </si>
  <si>
    <t>XI</t>
  </si>
  <si>
    <t>Các khoản lãi và phí phải thu (mục này không dùng tính vào)</t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</si>
  <si>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SBVCOD_GL_DUTHU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&lt;0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>&lt; 0
c. LOAI_TIEN VND
3. Cho vay khách hàng: Tổng cột LAI_HTGL_DUTHU với điều kiện
a. CHI_SO_NO_QUA_HAN &gt; 0
b. LOAI_TIEN: VND
Lấy 1 + 2 + 3</t>
    </r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</si>
  <si>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SBVCOD_GL_DUTHU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&gt;=0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&gt;= 0
c. LOAI_TIEN VND
3. BẢNG CÂN ĐỐI TÀI KHOẢN: Tổng cột SODU_CUOIKY_NO với điều kiện </t>
    </r>
    <r>
      <rPr>
        <rFont val="Times New Roman"/>
        <color rgb="FF0000FF"/>
        <sz val="10.0"/>
      </rPr>
      <t>TK_SBV</t>
    </r>
    <r>
      <rPr>
        <rFont val="Times New Roman"/>
        <color theme="1"/>
        <sz val="10.0"/>
      </rPr>
      <t xml:space="preserve"> [392, 397] và LOAI_TIEN VND
4. Cho vay khách hàng: Tổng cột LAI_HTGL_DUTHU với điều kiện
a. CHI_SO_NO_QUA_HAN = 0
b. LOAI_TIEN: VND
Lấy 1 + 2 + 3 + 4</t>
    </r>
  </si>
  <si>
    <t>TỔNG TÀI SẢN</t>
  </si>
  <si>
    <t>=SUM(C5:C14)</t>
  </si>
  <si>
    <t>=SUM(D5:D14)</t>
  </si>
  <si>
    <t>=SUM(E5:E14)</t>
  </si>
  <si>
    <t>=SUM(F5:F14)</t>
  </si>
  <si>
    <t>=SUM(G5:G14)</t>
  </si>
  <si>
    <t>=SUM(H5:H14)</t>
  </si>
  <si>
    <t>=SUM(I5:I14)</t>
  </si>
  <si>
    <t>=SUM(J5:J14)</t>
  </si>
  <si>
    <t>=SUM(K5:K14)</t>
  </si>
  <si>
    <t>=SUM(L5:L14)</t>
  </si>
  <si>
    <t>=SUM(M5:M14)</t>
  </si>
  <si>
    <t>=SUM(N5:N14)</t>
  </si>
  <si>
    <t>=SUM(O5:O14)</t>
  </si>
  <si>
    <t>=SUM(P5:P14)</t>
  </si>
  <si>
    <t>=SUM(Q5:Q14)</t>
  </si>
  <si>
    <t>=SUM(R5:R14)</t>
  </si>
  <si>
    <t>=SUM(S5:S14)</t>
  </si>
  <si>
    <t>=SUM(T5:T14)</t>
  </si>
  <si>
    <t>=SUM(U5:U14)</t>
  </si>
  <si>
    <t>=SUM(V5:V14)</t>
  </si>
  <si>
    <t>=SUM(W5:W14)</t>
  </si>
  <si>
    <t>=SUM(C16:W16)</t>
  </si>
  <si>
    <t>NỢ PHẢI TRẢ</t>
  </si>
  <si>
    <t>Tiền gửi của và vay từ NHNN và các TCTD khác</t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</si>
  <si>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"&gt;=0 và &lt;=1"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 "&gt;=0 và &lt;=1"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cáo)"&gt;=0 và &lt;=1"
c, LOAI_TIEN: VND</t>
    </r>
    <r>
      <rPr>
        <rFont val="Times New Roman"/>
        <color theme="1"/>
        <sz val="10.0"/>
      </rPr>
      <t xml:space="preserve">
</t>
    </r>
    <r>
      <rPr>
        <rFont val="Times New Roman"/>
        <color rgb="FF0000FF"/>
        <sz val="10.0"/>
      </rPr>
      <t xml:space="preserve">4. Bảng cân đối tài khoản: </t>
    </r>
    <r>
      <rPr>
        <rFont val="Times New Roman"/>
        <color rgb="FFFF0000"/>
        <sz val="10.0"/>
      </rPr>
      <t>SODU_CUOIKY_CO</t>
    </r>
    <r>
      <rPr>
        <rFont val="Times New Roman"/>
        <color rgb="FF0000FF"/>
        <sz val="10.0"/>
      </rPr>
      <t xml:space="preserve"> với điều kiện
a, TK_SBV 4111
b, LOAI_TIEN VND</t>
    </r>
    <r>
      <rPr>
        <rFont val="Times New Roman"/>
        <color theme="1"/>
        <sz val="10.0"/>
      </rPr>
      <t xml:space="preserve">
Lấy 1 + 2 -3 + 4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</si>
  <si>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 và &lt;=30"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 "&gt;1 và &lt;=30"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 và &lt;=30"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</si>
  <si>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"&gt;30 và &lt;=90"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 "&gt;30 và &lt;=90"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"&gt;30 và &lt;=90"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</si>
  <si>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"&gt;90 và &lt;=180"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"&gt;90 và &lt;=180"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"&gt;90 và &lt;=180"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</si>
  <si>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"&gt;180 và &lt;=270"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"&gt;180 và &lt;=270"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"&gt;180 và &lt;=270"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</si>
  <si>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"&gt;270 và &lt;=360"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"&gt;270 và &lt;=360"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"&gt;270 và &lt;=360"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</si>
  <si>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"&gt;360 và &lt;=540"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"&gt;360 và &lt;=540"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"&gt;360 và &lt;=540"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</si>
  <si>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"&gt;540 và &lt;=720"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"&gt;540 và &lt;=720"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"&gt;540 và &lt;=720"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</si>
  <si>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"&gt;720 và &lt;=1080"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"&gt;720 và &lt;=1080"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"&gt;720 và &lt;=1080"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</si>
  <si>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"&gt;1080 và &lt;=1440"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"&gt;1080 và &lt;=1440"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"&gt;1080 và &lt;=1440"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</si>
  <si>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"&gt;1440 và &lt;=1800"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"&gt;1440 và &lt;=1800"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"&gt;1440 và &lt;=1800"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</si>
  <si>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"&gt;1800 và &lt;=2160"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"&gt;1800 và &lt;=2160"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"&gt;1800 và &lt;=2160"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</si>
  <si>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"&gt;2160 và &lt;=2520"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"&gt;2160 và &lt;=2520"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"&gt;2160 và &lt;=2520"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</si>
  <si>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"&gt;2520 và &lt;=2880"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"&gt;2520 và &lt;=2880"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"&gt;2520 và &lt;=2880"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</si>
  <si>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"&gt;2880 và &lt;=3240"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"&gt;2880 và &lt;=3240"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"&gt;2880 và &lt;=3240"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</si>
  <si>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"&gt;3240 và &lt;=3600"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"&gt;3240 và &lt;=3600"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"&gt;3240 và &lt;=3600"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</si>
  <si>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"&gt;3600 và &lt;=5400"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"&gt;3600 và &lt;=5400"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"&gt;3600 và &lt;=5400"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</si>
  <si>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"&gt;5400 và &lt;=7200"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"&gt;5400 và &lt;=7200"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"&gt;5400 và &lt;=7200"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</si>
  <si>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"&gt;7200"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"&gt;7200"
c, LOAI_TIEN: VND
3. Tiền vay thị trường 2: Tổng cột </t>
    </r>
    <r>
      <rPr>
        <rFont val="Times New Roman"/>
        <color rgb="FF0000FF"/>
        <sz val="10.0"/>
      </rPr>
      <t>DUNO_GOC_NT với các điền kiện:
a, TKGL_GOC: [4032, 4033]
b, NGAY_KY_HAN_2 (NGAY_DAOHAN - ngày báo cáo) "&gt;7200"
c, LOAI_TIEN: VND</t>
    </r>
    <r>
      <rPr>
        <rFont val="Times New Roman"/>
        <color theme="1"/>
        <sz val="10.0"/>
      </rPr>
      <t xml:space="preserve">
Lấy 1 + 2 -3 </t>
    </r>
  </si>
  <si>
    <r>
      <rPr>
        <rFont val="Times New Roman"/>
        <color theme="1"/>
        <sz val="10.0"/>
      </rPr>
      <t xml:space="preserve">1. Tiền gửi thị trường 2: Tổng cột SO_TIEN với các điều kiện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[411*,412*,413*,414*,415*,416*,417*,418*,419*]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"&lt;0"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2. Tiền vay thị trường 2: Tổng cột DUNO_GOC_NT với các điền kiện:
a,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[401*, 402*, 403*, 404*, 415*, 416*, 417*, 418*]
b,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"&lt;0"
c, LOAI_TIEN: VND
</t>
    </r>
    <r>
      <rPr>
        <rFont val="Times New Roman"/>
        <color rgb="FF0000FF"/>
        <sz val="10.0"/>
      </rPr>
      <t>3. Tiền vay thị trường 2: Tổng cột DUNO_GOC_NT với các điền kiện:
a, TKGL_GOC: [4032, 4033]
b, NGAY_KY_HAN_2 (NGAY_DAOHAN - ngày báo cáo) "&lt;0"
c, LOAI_TIEN: VND</t>
    </r>
    <r>
      <rPr>
        <rFont val="Times New Roman"/>
        <color theme="1"/>
        <sz val="10.0"/>
      </rPr>
      <t xml:space="preserve">
Lấy 1 + 2 -3 </t>
    </r>
  </si>
  <si>
    <t>=SUM(C18:W18)</t>
  </si>
  <si>
    <t>Tiền gửi của khách hàng</t>
  </si>
  <si>
    <t>-</t>
  </si>
  <si>
    <t>KKH</t>
  </si>
  <si>
    <r>
      <rPr>
        <rFont val="Times New Roman"/>
        <color theme="1"/>
        <sz val="10.0"/>
      </rPr>
      <t xml:space="preserve">Bảng cân đối tài khoản: Tổng cột SODU_CUOIKY_CO với điều kiện </t>
    </r>
    <r>
      <rPr>
        <rFont val="Times New Roman"/>
        <color rgb="FF0000FF"/>
        <sz val="10.0"/>
      </rPr>
      <t>TK_SBV</t>
    </r>
    <r>
      <rPr>
        <rFont val="Times New Roman"/>
        <color theme="1"/>
        <sz val="10.0"/>
      </rPr>
      <t>: [4211, 4221, 4231, 4241, 4251, 4261, 4214, 4254, 4264, 427*, 4224, 428*] và LOAI_TIEN VND</t>
    </r>
  </si>
  <si>
    <t>=SUM(C20:W20)</t>
  </si>
  <si>
    <t>CKH</t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</si>
  <si>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"&gt;=0 và &lt;=1"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</si>
  <si>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 và &lt;=30"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</si>
  <si>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"&gt;30 và &lt;=90"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</si>
  <si>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"&gt;90 và &lt;=180"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</si>
  <si>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"&gt;180 và &lt;=270"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</si>
  <si>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"&gt;270 và &lt;=360"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</si>
  <si>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"&gt;360 và &lt;=540"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</si>
  <si>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"&gt;540 và &lt;=720"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</si>
  <si>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"&gt;720 và &lt;=1080"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</si>
  <si>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"&gt;1080 và &lt;=1440"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</si>
  <si>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"&gt;1440 và &lt;=1800"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</si>
  <si>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"&gt;1800 và &lt;=2160"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</si>
  <si>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"&gt;2160 và &lt;=2520"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</si>
  <si>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"&gt;2520 và &lt;=2880"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</si>
  <si>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"&gt;2880 và &lt;=3240"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</si>
  <si>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"&gt;3240 và &lt;=3600"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</si>
  <si>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"&gt;3600 và &lt;=5400"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</si>
  <si>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"&gt;5400 và &lt;=7200"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</si>
  <si>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"&gt;7200"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 xml:space="preserve">VND" </t>
    </r>
  </si>
  <si>
    <r>
      <rPr>
        <rFont val="Times New Roman"/>
        <color theme="1"/>
        <sz val="10.0"/>
      </rPr>
      <t xml:space="preserve">"Tiền gửi có kỳ hạn thị trường 1: Tổng cột SODU_QUYDOI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[4212, 4222, 4232, 4238, 4242, 4252, 4262]
b. </t>
    </r>
    <r>
      <rPr>
        <rFont val="Times New Roman"/>
        <color rgb="FF0000FF"/>
        <sz val="10.0"/>
      </rPr>
      <t xml:space="preserve">NGAY_KY_HAN_2 (NGAY_DEN_HAN - ngày báo cáo) </t>
    </r>
    <r>
      <rPr>
        <rFont val="Times New Roman"/>
        <color theme="1"/>
        <sz val="10.0"/>
      </rPr>
      <t xml:space="preserve">"&lt;0"
c. </t>
    </r>
    <r>
      <rPr>
        <rFont val="Times New Roman"/>
        <color rgb="FF0000FF"/>
        <sz val="10.0"/>
      </rPr>
      <t xml:space="preserve">VND/USD </t>
    </r>
    <r>
      <rPr>
        <rFont val="Times New Roman"/>
        <color theme="1"/>
        <sz val="10.0"/>
      </rPr>
      <t>VND"</t>
    </r>
  </si>
  <si>
    <t>=SUM(C21:W21)</t>
  </si>
  <si>
    <t>Các công cụ tài chính phái sinh và các khoản nợ tài chính khác-TSN</t>
  </si>
  <si>
    <t>=SUM(C22:W22)</t>
  </si>
  <si>
    <t xml:space="preserve"> </t>
  </si>
  <si>
    <t>Vốn tài trợ, uỷ thác đầu tư, cho vay mà TCTD chịu rủi ro</t>
  </si>
  <si>
    <t>=SUM(C23:W23)</t>
  </si>
  <si>
    <t>Phát hành GTCG</t>
  </si>
  <si>
    <t>=SUM(C24:W24)</t>
  </si>
  <si>
    <t>Các khoản nợ khác</t>
  </si>
  <si>
    <r>
      <rPr>
        <rFont val="Times New Roman"/>
        <color theme="1"/>
        <sz val="10.0"/>
      </rPr>
      <t xml:space="preserve">1. Tiền gửi CKH TT1: Tổng cột LAI_DU_CHI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>: 49*
b, N</t>
    </r>
    <r>
      <rPr>
        <rFont val="Times New Roman"/>
        <color rgb="FF0000FF"/>
        <sz val="10.0"/>
      </rPr>
      <t>GAY_KY_HAN_2 (NGAY_DEN_HAN - ngày báo cáo)</t>
    </r>
    <r>
      <rPr>
        <rFont val="Times New Roman"/>
        <color theme="1"/>
        <sz val="10.0"/>
      </rPr>
      <t xml:space="preserve">: </t>
    </r>
    <r>
      <rPr>
        <rFont val="Times New Roman"/>
        <color rgb="FFFF0000"/>
        <sz val="10.0"/>
      </rPr>
      <t>&lt;</t>
    </r>
    <r>
      <rPr>
        <rFont val="Times New Roman"/>
        <color theme="1"/>
        <sz val="10.0"/>
      </rPr>
      <t xml:space="preserve"> 0
c, LOAI_TIEN: VND
2. Tiền gửi TT2: Tổng cột LAI_DU_CHI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"&lt;0"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3. Tiền vay TT2: Tổng cột TONG_LAIPHAITRA_NT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: "&lt;0"
c, LOAI_TIEN: VND
4. Báo cáo tài chính: Tổng cột SODU_CUOIKY với điều kiện </t>
    </r>
    <r>
      <rPr>
        <rFont val="Times New Roman"/>
        <color rgb="FFFF0000"/>
        <sz val="10.0"/>
      </rPr>
      <t>MCT "B730"</t>
    </r>
    <r>
      <rPr>
        <rFont val="Times New Roman"/>
        <color theme="1"/>
        <sz val="10.0"/>
      </rPr>
      <t xml:space="preserve">
=&gt; Lấy 1 + 2 + 3 + 4</t>
    </r>
  </si>
  <si>
    <r>
      <rPr>
        <rFont val="Times New Roman"/>
        <color theme="1"/>
        <sz val="10.0"/>
      </rPr>
      <t xml:space="preserve">1. Tiền gửi CKH TT1: Tổng cột LAI_DU_CHI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>: 49*
b, N</t>
    </r>
    <r>
      <rPr>
        <rFont val="Times New Roman"/>
        <color rgb="FF0000FF"/>
        <sz val="10.0"/>
      </rPr>
      <t>GAY_KY_HAN_2 (NGAY_DEN_HAN - ngày báo cáo)</t>
    </r>
    <r>
      <rPr>
        <rFont val="Times New Roman"/>
        <color theme="1"/>
        <sz val="10.0"/>
      </rPr>
      <t xml:space="preserve">: &gt;= 0
c, LOAI_TIEN: VND
2. Tiền gửi TT2: Tổng cột LAI_DU_CHI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"&gt;=0"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3. Tiền vay TT2: Tổng cột TONG_LAIPHAITRA_NT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: "&gt;=0"
c, LOAI_TIEN: VND
4. Tiền gửi CKH TT1: Tổng cột LAI_DEN_HAN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>: &gt;= 0
c, LOAI_TIEN: VND
=&gt; Lấy 1 + 2 + 3 + 4</t>
    </r>
  </si>
  <si>
    <t>=SUM(C25:W25)</t>
  </si>
  <si>
    <t>Các khoản lãi và phí phải trả (khoản mục này không tính vào)</t>
  </si>
  <si>
    <r>
      <rPr>
        <rFont val="Times New Roman"/>
        <color theme="1"/>
        <sz val="10.0"/>
      </rPr>
      <t xml:space="preserve">1. Tiền gửi CKH TT1: Tổng cột LAI_DU_CHI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&lt; 0
c, LOAI_TIEN: VND
2. Tiền gửi TT2: Tổng cột LAI_DU_CHI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"&lt;0"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3. Tiền vay TT2: Tổng cột TONG_LAIPHAITRA_NT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"&lt;0"
c, LOAI_TIEN: VND
=&gt; Lấy 1 + 2 + 3</t>
    </r>
  </si>
  <si>
    <r>
      <rPr>
        <rFont val="Times New Roman"/>
        <color theme="1"/>
        <sz val="10.0"/>
      </rPr>
      <t xml:space="preserve">1. Tiền gửi CKH TT1: Tổng cột LAI_DU_CHI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&gt;= 0
c, LOAI_TIEN: VND
2. Tiền gửi TT2: Tổng cột LAI_DU_CHI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"&gt;=0"
c, </t>
    </r>
    <r>
      <rPr>
        <rFont val="Times New Roman"/>
        <color rgb="FF0000FF"/>
        <sz val="10.0"/>
      </rPr>
      <t>VND/USD</t>
    </r>
    <r>
      <rPr>
        <rFont val="Times New Roman"/>
        <color theme="1"/>
        <sz val="10.0"/>
      </rPr>
      <t xml:space="preserve">: VND
3. Tiền vay TT2: Tổng cột TONG_LAIPHAITRA_NT với điều kiện
a,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49*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 xml:space="preserve">: "&gt;=0"
c, LOAI_TIEN: VND
4. Tiền gửi CKH TT1: Tổng cột LAI_DEN_HAN với điều kiện
a, </t>
    </r>
    <r>
      <rPr>
        <rFont val="Times New Roman"/>
        <color rgb="FF0000FF"/>
        <sz val="10.0"/>
      </rPr>
      <t>SBVCOD_GL_LAI</t>
    </r>
    <r>
      <rPr>
        <rFont val="Times New Roman"/>
        <color theme="1"/>
        <sz val="10.0"/>
      </rPr>
      <t xml:space="preserve">: 49*
b, LOAI_TIEN: VND
=&gt; Lấy 1 + 2 + 3 + 4
</t>
    </r>
  </si>
  <si>
    <t>TỔNG NỢ PHẢI TRẢ</t>
  </si>
  <si>
    <t>=SUM(C18:C25)</t>
  </si>
  <si>
    <t>=SUM(D18:D25)</t>
  </si>
  <si>
    <t>=SUM(E18:E25)</t>
  </si>
  <si>
    <t>=SUM(F18:F25)</t>
  </si>
  <si>
    <t>=SUM(G18:G25)</t>
  </si>
  <si>
    <t>=SUM(H18:H25)</t>
  </si>
  <si>
    <t>=SUM(I18:I25)</t>
  </si>
  <si>
    <t>=SUM(J18:J25)</t>
  </si>
  <si>
    <t>=SUM(K18:K25)</t>
  </si>
  <si>
    <t>=SUM(L18:L25)</t>
  </si>
  <si>
    <t>=SUM(M18:M25)</t>
  </si>
  <si>
    <t>=SUM(N18:N25)</t>
  </si>
  <si>
    <t>=SUM(O18:O25)</t>
  </si>
  <si>
    <t>=SUM(P18:P25)</t>
  </si>
  <si>
    <t>=SUM(Q18:Q25)</t>
  </si>
  <si>
    <t>=SUM(R18:R25)</t>
  </si>
  <si>
    <t>=SUM(S18:S25)</t>
  </si>
  <si>
    <t>=SUM(T18:T25)</t>
  </si>
  <si>
    <t>=SUM(U18:U25)</t>
  </si>
  <si>
    <t>=SUM(V18:V25)</t>
  </si>
  <si>
    <t>=SUM(W18:W25)</t>
  </si>
  <si>
    <t>=SUM(C27:W27)</t>
  </si>
  <si>
    <t>Mức chênh lệch nhạy cảm ròng với LS nội bảng</t>
  </si>
  <si>
    <t>=C16-C27</t>
  </si>
  <si>
    <t>=D16-D27</t>
  </si>
  <si>
    <t>=E16-E27</t>
  </si>
  <si>
    <t xml:space="preserve"> =F16-F27</t>
  </si>
  <si>
    <t xml:space="preserve"> =G16-G27</t>
  </si>
  <si>
    <t xml:space="preserve"> =H16-H27</t>
  </si>
  <si>
    <t xml:space="preserve"> =I16-I27</t>
  </si>
  <si>
    <t xml:space="preserve"> =J16-J27</t>
  </si>
  <si>
    <t xml:space="preserve"> =K16-K27</t>
  </si>
  <si>
    <t xml:space="preserve"> =L16-L27</t>
  </si>
  <si>
    <t xml:space="preserve"> =M16-M27</t>
  </si>
  <si>
    <t xml:space="preserve"> =N16-N27</t>
  </si>
  <si>
    <t xml:space="preserve"> =O16-O27</t>
  </si>
  <si>
    <t xml:space="preserve"> =P16-P27</t>
  </si>
  <si>
    <t xml:space="preserve"> =Q16-Q27</t>
  </si>
  <si>
    <t xml:space="preserve"> =R16-R27</t>
  </si>
  <si>
    <t xml:space="preserve"> =S16-S27</t>
  </si>
  <si>
    <t xml:space="preserve"> =T16-T27</t>
  </si>
  <si>
    <t xml:space="preserve"> =U16-U27</t>
  </si>
  <si>
    <t xml:space="preserve"> =V16-V27</t>
  </si>
  <si>
    <t xml:space="preserve"> =W16-W27</t>
  </si>
  <si>
    <t xml:space="preserve"> =X16-X27</t>
  </si>
  <si>
    <t>Các cam kết ngoại bảng có tác động tới mức độ nhạy cảm với LS của các TS và công nợ (Ròng)</t>
  </si>
  <si>
    <t>*Tạm thời chưa phát sinh, nếu khi phát sinh cần chỉnh sửa URD</t>
  </si>
  <si>
    <t>Mức CL nhạy cảm với LS nội, ngoại bảng</t>
  </si>
  <si>
    <t>=C28-C29</t>
  </si>
  <si>
    <t>=D28-D29</t>
  </si>
  <si>
    <t>=E28-E29</t>
  </si>
  <si>
    <t>=F28-F29</t>
  </si>
  <si>
    <t>=G28-G29</t>
  </si>
  <si>
    <t>=H28-H29</t>
  </si>
  <si>
    <t>=I28-I29</t>
  </si>
  <si>
    <t>=J28-J29</t>
  </si>
  <si>
    <t>=K28-K29</t>
  </si>
  <si>
    <t>=L28-L29</t>
  </si>
  <si>
    <t>=M28-M29</t>
  </si>
  <si>
    <t>=N28-N29</t>
  </si>
  <si>
    <t>=O28-O29</t>
  </si>
  <si>
    <t>=P28-P29</t>
  </si>
  <si>
    <t>=Q28-Q29</t>
  </si>
  <si>
    <t>=R28-R29</t>
  </si>
  <si>
    <t>=S28-S29</t>
  </si>
  <si>
    <t>=T28-T29</t>
  </si>
  <si>
    <t>=U28-U29</t>
  </si>
  <si>
    <t>=V28-V29</t>
  </si>
  <si>
    <t>=W28-W29</t>
  </si>
  <si>
    <t>=X28-X29</t>
  </si>
  <si>
    <t>Mức chênh lệch nhạy cảm với LS tích lũy</t>
  </si>
  <si>
    <t>=C30</t>
  </si>
  <si>
    <t>=C31+D30</t>
  </si>
  <si>
    <t xml:space="preserve"> =D31+E30</t>
  </si>
  <si>
    <t xml:space="preserve"> =E31+F30</t>
  </si>
  <si>
    <t xml:space="preserve"> =F31+G30</t>
  </si>
  <si>
    <t xml:space="preserve"> =G31+H30</t>
  </si>
  <si>
    <t xml:space="preserve"> =H31+I30</t>
  </si>
  <si>
    <t xml:space="preserve"> =I31+J30</t>
  </si>
  <si>
    <t xml:space="preserve"> =J31+K30</t>
  </si>
  <si>
    <t xml:space="preserve"> =K31+L30</t>
  </si>
  <si>
    <t xml:space="preserve"> =L31+M30</t>
  </si>
  <si>
    <t xml:space="preserve"> =M31+N30</t>
  </si>
  <si>
    <t xml:space="preserve"> =N31+O30</t>
  </si>
  <si>
    <t xml:space="preserve"> =O31+P30</t>
  </si>
  <si>
    <t xml:space="preserve"> =P31+Q30</t>
  </si>
  <si>
    <t xml:space="preserve"> =Q31+R30</t>
  </si>
  <si>
    <t xml:space="preserve"> =R31+S30</t>
  </si>
  <si>
    <t xml:space="preserve"> =S31+T30</t>
  </si>
  <si>
    <t xml:space="preserve"> =T31+U30</t>
  </si>
  <si>
    <t xml:space="preserve"> =U31+V30</t>
  </si>
  <si>
    <t xml:space="preserve"> =V31+W30</t>
  </si>
  <si>
    <t>=W31</t>
  </si>
  <si>
    <t xml:space="preserve">II. Các kịch bản kiểm tra sức chịu đựng </t>
  </si>
  <si>
    <t>Thu thập và xử lý các yếu tổ để tính toán kịch bản</t>
  </si>
  <si>
    <t>Yếu tố</t>
  </si>
  <si>
    <t>Công thức</t>
  </si>
  <si>
    <t>Đường cong ZIC</t>
  </si>
  <si>
    <t>Dữ liệu do VCB cung cấp</t>
  </si>
  <si>
    <t>Lãi suất trung bình ngày</t>
  </si>
  <si>
    <t>Bằng LS VNIBOR - VBMA ở các thang kỳ hạn trong 5 năm gần nhất (tham khảo tại sheet LSTB</t>
  </si>
  <si>
    <t>=(Bình quân lãi suất VNIBOR - VBMA ở các thang kỳ hạn trong 5 năm gần nhất)/100</t>
  </si>
  <si>
    <t>R - parallel</t>
  </si>
  <si>
    <t>Max(Min(400,60%*lãi suất trung bình ngày*10000),100)</t>
  </si>
  <si>
    <t>=MAX(MIN(4%,60%*$D$38),1%)</t>
  </si>
  <si>
    <t>R-short</t>
  </si>
  <si>
    <t>Max(Min(500, 85%*lãi suất trung bình ngày*10000),100)</t>
  </si>
  <si>
    <t>=MAX(MIN(5%,85%*$D$38),1%)</t>
  </si>
  <si>
    <t>R - long</t>
  </si>
  <si>
    <t>Max(Min(300, 40%*lãi suất trung bình ngày*10000),100)</t>
  </si>
  <si>
    <t>=MAX(MIN(3%,40%*$D$38),1%)</t>
  </si>
  <si>
    <t>ABS (Delta R short bucket)</t>
  </si>
  <si>
    <t>ABS(R - short * e^ (- điểm giữa thang kỳ hạn / 4)</t>
  </si>
  <si>
    <t>=ABS($D$40*EXP(-D48/4))</t>
  </si>
  <si>
    <t>=ABS($D$40*EXP(-E48/4))</t>
  </si>
  <si>
    <t>=ABS($D$40*EXP(-F48/4))</t>
  </si>
  <si>
    <t>=ABS($D$40*EXP(-G48/4))</t>
  </si>
  <si>
    <t>=ABS($D$40*EXP(-H48/4))</t>
  </si>
  <si>
    <t>=ABS($D$40*EXP(-I48/4))</t>
  </si>
  <si>
    <t>=ABS($D$40*EXP(-J48/4))</t>
  </si>
  <si>
    <t>=ABS($D$40*EXP(-K48/4))</t>
  </si>
  <si>
    <t>=ABS($D$40*EXP(-L48/4))</t>
  </si>
  <si>
    <t>=ABS($D$40*EXP(-M48/4))</t>
  </si>
  <si>
    <t>=ABS($D$40*EXP(-N48/4))</t>
  </si>
  <si>
    <t>=ABS($D$40*EXP(-O48/4))</t>
  </si>
  <si>
    <t>=ABS($D$40*EXP(-P48/4))</t>
  </si>
  <si>
    <t>=ABS($D$40*EXP(-Q48/4))</t>
  </si>
  <si>
    <t>=ABS($D$40*EXP(-R48/4))</t>
  </si>
  <si>
    <t>=ABS($D$40*EXP(-S48/4))</t>
  </si>
  <si>
    <t>=ABS($D$40*EXP(-T48/4))</t>
  </si>
  <si>
    <t>=ABS($D$40*EXP(-U48/4))</t>
  </si>
  <si>
    <t>=ABS($D$40*EXP(-V48/4))</t>
  </si>
  <si>
    <t>ABS (Delta R long bucket)</t>
  </si>
  <si>
    <t>RLong × ( 1 - e-mid/4 )</t>
  </si>
  <si>
    <t>=$D$41*(1-EXP(-D48/4))</t>
  </si>
  <si>
    <t>=$D$41*(1-EXP(-E48/4))</t>
  </si>
  <si>
    <t>=$D$41*(1-EXP(-F48/4))</t>
  </si>
  <si>
    <t>=$D$41*(1-EXP(-G48/4))</t>
  </si>
  <si>
    <t>=$D$41*(1-EXP(-H48/4))</t>
  </si>
  <si>
    <t>=$D$41*(1-EXP(-I48/4))</t>
  </si>
  <si>
    <t>=$D$41*(1-EXP(-J48/4))</t>
  </si>
  <si>
    <t>=$D$41*(1-EXP(-K48/4))</t>
  </si>
  <si>
    <t>=$D$41*(1-EXP(-L48/4))</t>
  </si>
  <si>
    <t>=$D$41*(1-EXP(-M48/4))</t>
  </si>
  <si>
    <t>=$D$41*(1-EXP(-N48/4))</t>
  </si>
  <si>
    <t>=$D$41*(1-EXP(-O48/4))</t>
  </si>
  <si>
    <t>=$D$41*(1-EXP(-P48/4))</t>
  </si>
  <si>
    <t>=$D$41*(1-EXP(-Q48/4))</t>
  </si>
  <si>
    <t>=$D$41*(1-EXP(-R48/4))</t>
  </si>
  <si>
    <t>=$D$41*(1-EXP(-S48/4))</t>
  </si>
  <si>
    <t>=$D$41*(1-EXP(-T48/4))</t>
  </si>
  <si>
    <t>=$D$41*(1-EXP(-U48/4))</t>
  </si>
  <si>
    <t>=$D$41*(1-EXP(-V48/4))</t>
  </si>
  <si>
    <t>Chi tiết kịch bản lãi suất (EVE)</t>
  </si>
  <si>
    <t>Điểm giữa thang kỳ hạn (tk)</t>
  </si>
  <si>
    <t>Tham số</t>
  </si>
  <si>
    <t>KB1</t>
  </si>
  <si>
    <t>Đường cong dịch lên trên với biên độ Rparallel</t>
  </si>
  <si>
    <t>=D37/100+$D$39</t>
  </si>
  <si>
    <t>=E37/100+$D$39</t>
  </si>
  <si>
    <t>=F37/100+$D$39</t>
  </si>
  <si>
    <t>=G37/100+$D$39</t>
  </si>
  <si>
    <t>=H37/100+$D$39</t>
  </si>
  <si>
    <t>=I37/100+$D$39</t>
  </si>
  <si>
    <t>=J37/100+$D$39</t>
  </si>
  <si>
    <t>=K37/100+$D$39</t>
  </si>
  <si>
    <t>=L37/100+$D$39</t>
  </si>
  <si>
    <t>=M37/100+$D$39</t>
  </si>
  <si>
    <t>=N37/100+$D$39</t>
  </si>
  <si>
    <t>=O37/100+$D$39</t>
  </si>
  <si>
    <t>=P37/100+$D$39</t>
  </si>
  <si>
    <t>=Q37/100+$D$39</t>
  </si>
  <si>
    <t>=R37/100+$D$39</t>
  </si>
  <si>
    <t>=S37/100+$D$39</t>
  </si>
  <si>
    <t>=T37/100+$D$39</t>
  </si>
  <si>
    <t>=U37/100+$D$39</t>
  </si>
  <si>
    <t>=V37/100+$D$39</t>
  </si>
  <si>
    <t>KB2</t>
  </si>
  <si>
    <t>Đường cong dịch xuống dưới với biên độ Rparallel</t>
  </si>
  <si>
    <t>=D37/100-$D$39</t>
  </si>
  <si>
    <t>=E37/100-$D$39</t>
  </si>
  <si>
    <t>=F37/100-$D$39</t>
  </si>
  <si>
    <t>=G37/100-$D$39</t>
  </si>
  <si>
    <t>KB3</t>
  </si>
  <si>
    <t xml:space="preserve">Kịch bản dốc hơn. Tăng lãi suất mỗi khung thời gian bằng -0,65* ABS (Delta R short bucket) + 0,9 * ABS (Delta R long bucket)
</t>
  </si>
  <si>
    <t>=D37/100 - 0.65*D42 + 0.9*D43</t>
  </si>
  <si>
    <t>=E37/100 - 0.65*E42 + 0.9*E43</t>
  </si>
  <si>
    <t>=F37/100 - 0.65*F42 + 0.9*F43</t>
  </si>
  <si>
    <t>=G37/100 - 0.65*G42 + 0.9*G43</t>
  </si>
  <si>
    <t>=H37/100 - 0.65*H42 + 0.9*H43</t>
  </si>
  <si>
    <t>=I37/100 - 0.65*I42 + 0.9*I43</t>
  </si>
  <si>
    <t>=J37/100 - 0.65*J42 + 0.9*J43</t>
  </si>
  <si>
    <t>=K37/100 - 0.65*K42 + 0.9*K43</t>
  </si>
  <si>
    <t>=L37/100 - 0.65*L42 + 0.9*L43</t>
  </si>
  <si>
    <t>=M37/100 - 0.65*M42 + 0.9*M43</t>
  </si>
  <si>
    <t>=N37/100 - 0.65*N42 + 0.9*N43</t>
  </si>
  <si>
    <t>=O37/100 - 0.65*O42 + 0.9*O43</t>
  </si>
  <si>
    <t>=P37/100 - 0.65*P42 + 0.9*P43</t>
  </si>
  <si>
    <t>=Q37/100 - 0.65*Q42 + 0.9*Q43</t>
  </si>
  <si>
    <t>=R37/100 - 0.65*R42 + 0.9*R43</t>
  </si>
  <si>
    <t>=S37/100 - 0.65*S42 + 0.9*S43</t>
  </si>
  <si>
    <t>=T37/100 - 0.65*T42 + 0.9*T43</t>
  </si>
  <si>
    <t>=U37/100 - 0.65*U42 + 0.9*U43</t>
  </si>
  <si>
    <t>=V37/100 - 0.65*V42 + 0.9*V43</t>
  </si>
  <si>
    <t>KB4</t>
  </si>
  <si>
    <t xml:space="preserve">Kịch bản thoải hơn. Tăng lãi suất mỗi khung thời gian bằng +0,8* ABS (Delta R short bucket) - 0,6 * ABS (Delta R long bucket) </t>
  </si>
  <si>
    <t>=D37/100 + 0.8*D42 - 0.6*D43</t>
  </si>
  <si>
    <t>=E37/100 + 0.8*E42 - 0.6*E43</t>
  </si>
  <si>
    <t>=F37/100 + 0.8*F42 - 0.6*F43</t>
  </si>
  <si>
    <t>=G37/100 + 0.8*G42 - 0.6*G43</t>
  </si>
  <si>
    <t>=H37/100 + 0.8*H42 - 0.6*H43</t>
  </si>
  <si>
    <t>=I37/100 + 0.8*I42 - 0.6*I43</t>
  </si>
  <si>
    <t>=J37/100 + 0.8*J42 - 0.6*J43</t>
  </si>
  <si>
    <t>=K37/100 + 0.8*K42 - 0.6*K43</t>
  </si>
  <si>
    <t>=L37/100 + 0.8*L42 - 0.6*L43</t>
  </si>
  <si>
    <t>=M37/100 + 0.8*M42 - 0.6*M43</t>
  </si>
  <si>
    <t>=N37/100 + 0.8*N42 - 0.6*N43</t>
  </si>
  <si>
    <t>=O37/100 + 0.8*O42 - 0.6*O43</t>
  </si>
  <si>
    <t>=P37/100 + 0.8*P42 - 0.6*P43</t>
  </si>
  <si>
    <t>=Q37/100 + 0.8*Q42 - 0.6*Q43</t>
  </si>
  <si>
    <t>=R37/100 + 0.8*R42 - 0.6*R43</t>
  </si>
  <si>
    <t>=S37/100 + 0.8*S42 - 0.6*S43</t>
  </si>
  <si>
    <t>=T37/100 + 0.8*T42 - 0.6*T43</t>
  </si>
  <si>
    <t>=U37/100 + 0.8*U42 - 0.6*U43</t>
  </si>
  <si>
    <t>=V37/100 + 0.8*V42 - 0.6*V43</t>
  </si>
  <si>
    <t>KB5</t>
  </si>
  <si>
    <t>Lãi suất ngắn hạn tăng, tăng lãi suất mỗi khung thời gian bằng + R - short * e ^ (-mid/4)</t>
  </si>
  <si>
    <t>=D37/100+$D$40*EXP(-D48/4)</t>
  </si>
  <si>
    <t>=E37/100+$D$40*EXP(-E48/4)</t>
  </si>
  <si>
    <t>=F37/100+$D$40*EXP(-F48/4)</t>
  </si>
  <si>
    <t>=G37/100+$D$40*EXP(-G48/4)</t>
  </si>
  <si>
    <t>=H37/100+$D$40*EXP(-H48/4)</t>
  </si>
  <si>
    <t>=I37/100+$D$40*EXP(-I48/4)</t>
  </si>
  <si>
    <t>=J37/100+$D$40*EXP(-J48/4)</t>
  </si>
  <si>
    <t>=K37/100+$D$40*EXP(-K48/4)</t>
  </si>
  <si>
    <t>=L37/100+$D$40*EXP(-L48/4)</t>
  </si>
  <si>
    <t>=M37/100+$D$40*EXP(-M48/4)</t>
  </si>
  <si>
    <t>=N37/100+$D$40*EXP(-N48/4)</t>
  </si>
  <si>
    <t>=O37/100+$D$40*EXP(-O48/4)</t>
  </si>
  <si>
    <t>=P37/100+$D$40*EXP(-P48/4)</t>
  </si>
  <si>
    <t>=Q37/100+$D$40*EXP(-Q48/4)</t>
  </si>
  <si>
    <t>=R37/100+$D$40*EXP(-R48/4)</t>
  </si>
  <si>
    <t>=S37/100+$D$40*EXP(-S48/4)</t>
  </si>
  <si>
    <t>=T37/100+$D$40*EXP(-T48/4)</t>
  </si>
  <si>
    <t>=U37/100+$D$40*EXP(-U48/4)</t>
  </si>
  <si>
    <t>=V37/100+$D$40*EXP(-V48/4)</t>
  </si>
  <si>
    <t>KB6</t>
  </si>
  <si>
    <t>Lãi suất ngắn hạn giảm, giảm lãi suất mỗi khung thời gian bằng -  R - short * e ^ (-mid/4)</t>
  </si>
  <si>
    <t>=MAX(0,(D37/100-$D$40*EXP(-D48/4)))</t>
  </si>
  <si>
    <t>=MAX(0,(E37/100-$D$40*EXP(-E48/4)))</t>
  </si>
  <si>
    <t>=MAX(0,(F37/100-$D$40*EXP(-F48/4)))</t>
  </si>
  <si>
    <t>=MAX(0,(G37/100-$D$40*EXP(-G48/4)))</t>
  </si>
  <si>
    <t>=MAX(0,(H37/100-$D$40*EXP(-H48/4)))</t>
  </si>
  <si>
    <t>=MAX(0,(I37/100-$D$40*EXP(-I48/4)))</t>
  </si>
  <si>
    <t>=MAX(0,(J37/100-$D$40*EXP(-J48/4)))</t>
  </si>
  <si>
    <t>=MAX(0,(K37/100-$D$40*EXP(-K48/4)))</t>
  </si>
  <si>
    <t>=MAX(0,(L37/100-$D$40*EXP(-L48/4)))</t>
  </si>
  <si>
    <t>=MAX(0,(M37/100-$D$40*EXP(-M48/4)))</t>
  </si>
  <si>
    <t>=MAX(0,(N37/100-$D$40*EXP(-N48/4)))</t>
  </si>
  <si>
    <t>=MAX(0,(O37/100-$D$40*EXP(-O48/4)))</t>
  </si>
  <si>
    <t>=MAX(0,(P37/100-$D$40*EXP(-P48/4)))</t>
  </si>
  <si>
    <t>=MAX(0,(Q37/100-$D$40*EXP(-Q48/4)))</t>
  </si>
  <si>
    <t>=MAX(0,(R37/100-$D$40*EXP(-R48/4)))</t>
  </si>
  <si>
    <t>=MAX(0,(S37/100-$D$40*EXP(-S48/4)))</t>
  </si>
  <si>
    <t>=MAX(0,(T37/100-$D$40*EXP(-T48/4)))</t>
  </si>
  <si>
    <t>=MAX(0,(U37/100-$D$40*EXP(-U48/4)))</t>
  </si>
  <si>
    <t>=MAX(0,(V37/100-$D$40*EXP(-V48/4)))</t>
  </si>
  <si>
    <t>III. Đo lường NII</t>
  </si>
  <si>
    <t>Thang kỳ hạn</t>
  </si>
  <si>
    <t>Tổng cộng</t>
  </si>
  <si>
    <t>LK (từ thời điểm báo cáo đến điểm giữa thang kỳ hạn)</t>
  </si>
  <si>
    <t>=1</t>
  </si>
  <si>
    <t>=30/2</t>
  </si>
  <si>
    <t>=(30+90)/2</t>
  </si>
  <si>
    <t>=(90+180)/2</t>
  </si>
  <si>
    <t>=(180+270)/2</t>
  </si>
  <si>
    <t>=(270+360)/2</t>
  </si>
  <si>
    <t>Thời gian chịu ảnh hưởng LS tại mốc K(tk)</t>
  </si>
  <si>
    <t>=(365-D61)/365</t>
  </si>
  <si>
    <t>=(365-E61)/365</t>
  </si>
  <si>
    <t>=(365-F61)/365</t>
  </si>
  <si>
    <t>=(365-G61)/365</t>
  </si>
  <si>
    <t>=(365-H61)/365</t>
  </si>
  <si>
    <t>=(365-I61)/365</t>
  </si>
  <si>
    <t>=D39</t>
  </si>
  <si>
    <t>=$C$63*C30*D62</t>
  </si>
  <si>
    <t>=$C$63*D30*E62</t>
  </si>
  <si>
    <t>=$C$63*E30*F62</t>
  </si>
  <si>
    <t>=$C$63*F30*G62</t>
  </si>
  <si>
    <t>=$C$63*G30*H62</t>
  </si>
  <si>
    <t>=$C$63*H30*I62</t>
  </si>
  <si>
    <t>=SUM(D63:I63)</t>
  </si>
  <si>
    <t>=-D39</t>
  </si>
  <si>
    <t>=$C$64*C30*D62</t>
  </si>
  <si>
    <t>=$C$64*D30*E62</t>
  </si>
  <si>
    <t>=$C$64*E30*F62</t>
  </si>
  <si>
    <t>=$C$64*F30*G62</t>
  </si>
  <si>
    <t>=$C$64*G30*H62</t>
  </si>
  <si>
    <t>=$C$64*H30*I62</t>
  </si>
  <si>
    <t>=SUM(D64:I64)</t>
  </si>
  <si>
    <t>Tỷ lệ thay đổi NII/ Tổng tài sản</t>
  </si>
  <si>
    <t>=min(J63,J64)/(Báo cáo tài chính: Tổng cột SODU_CUOIKY với điều kiện MCT "A000")</t>
  </si>
  <si>
    <t>IV. Đo lường EVE</t>
  </si>
  <si>
    <t>Tính toán EVEo</t>
  </si>
  <si>
    <t>Ro * tk</t>
  </si>
  <si>
    <t>=(D48*D37)/100</t>
  </si>
  <si>
    <t>=(E48*E37)/100</t>
  </si>
  <si>
    <t>=(F48*F37)/100</t>
  </si>
  <si>
    <t>=(G48*G37)/100</t>
  </si>
  <si>
    <t>=(H48*H37)/100</t>
  </si>
  <si>
    <t>=(I48*I37)/100</t>
  </si>
  <si>
    <t>=(J48*J37)/100</t>
  </si>
  <si>
    <t>=(K48*K37)/100</t>
  </si>
  <si>
    <t>=(L48*L37)/100</t>
  </si>
  <si>
    <t>=(M48*M37)/100</t>
  </si>
  <si>
    <t>=(N48*N37)/100</t>
  </si>
  <si>
    <t>=(O48*O37)/100</t>
  </si>
  <si>
    <t>=(P48*P37)/100</t>
  </si>
  <si>
    <t>=(Q48*Q37)/100</t>
  </si>
  <si>
    <t>=(R48*R37)/100</t>
  </si>
  <si>
    <t>=(S48*S37)/100</t>
  </si>
  <si>
    <t>=(T48*T37)/100</t>
  </si>
  <si>
    <t>=(U48*U37)/100</t>
  </si>
  <si>
    <t>=(V48*V37)/100</t>
  </si>
  <si>
    <t>DF</t>
  </si>
  <si>
    <t>=EXP(-D72)</t>
  </si>
  <si>
    <t>=EXP(-E72)</t>
  </si>
  <si>
    <t>=EXP(-F72)</t>
  </si>
  <si>
    <t>=EXP(-G72)</t>
  </si>
  <si>
    <t>=EXP(-H72)</t>
  </si>
  <si>
    <t>=EXP(-I72)</t>
  </si>
  <si>
    <t>=EXP(-J72)</t>
  </si>
  <si>
    <t>=EXP(-K72)</t>
  </si>
  <si>
    <t>=EXP(-L72)</t>
  </si>
  <si>
    <t>=EXP(-M72)</t>
  </si>
  <si>
    <t>=EXP(-N72)</t>
  </si>
  <si>
    <t>=EXP(-O72)</t>
  </si>
  <si>
    <t>=EXP(-P72)</t>
  </si>
  <si>
    <t>=EXP(-Q72)</t>
  </si>
  <si>
    <t>=EXP(-R72)</t>
  </si>
  <si>
    <t>=EXP(-S72)</t>
  </si>
  <si>
    <t>=EXP(-T72)</t>
  </si>
  <si>
    <t>=EXP(-U72)</t>
  </si>
  <si>
    <t>=EXP(-V72)</t>
  </si>
  <si>
    <t>EVEo</t>
  </si>
  <si>
    <t>=C30*D73</t>
  </si>
  <si>
    <t>=D30*E73</t>
  </si>
  <si>
    <t>=E30*F73</t>
  </si>
  <si>
    <t>=F30*G73</t>
  </si>
  <si>
    <t>=G30*H73</t>
  </si>
  <si>
    <t>=H30*I73</t>
  </si>
  <si>
    <t>=I30*J73</t>
  </si>
  <si>
    <t>=J30*K73</t>
  </si>
  <si>
    <t>=K30*L73</t>
  </si>
  <si>
    <t>=L30*M73</t>
  </si>
  <si>
    <t>=M30*N73</t>
  </si>
  <si>
    <t>=N30*O73</t>
  </si>
  <si>
    <t>=O30*P73</t>
  </si>
  <si>
    <t>=P30*Q73</t>
  </si>
  <si>
    <t>=Q30*R73</t>
  </si>
  <si>
    <t>=R30*S73</t>
  </si>
  <si>
    <t>=S30*T73</t>
  </si>
  <si>
    <t>=T30*U73</t>
  </si>
  <si>
    <t>=U30*V73</t>
  </si>
  <si>
    <t>=SUM(D74:V74)</t>
  </si>
  <si>
    <t>Tính toán DeltaEVE</t>
  </si>
  <si>
    <t>Kịch bản</t>
  </si>
  <si>
    <t>Chi tiết</t>
  </si>
  <si>
    <t>Ri</t>
  </si>
  <si>
    <t>=MAX(0,D51)</t>
  </si>
  <si>
    <t>=MAX(0,E51)</t>
  </si>
  <si>
    <t>=MAX(0,F51)</t>
  </si>
  <si>
    <t>=MAX(0,G51)</t>
  </si>
  <si>
    <t>=MAX(0,H51)</t>
  </si>
  <si>
    <t>=MAX(0,I51)</t>
  </si>
  <si>
    <t>=MAX(0,J51)</t>
  </si>
  <si>
    <t>=MAX(0,K51)</t>
  </si>
  <si>
    <t>=MAX(0,L51)</t>
  </si>
  <si>
    <t>=MAX(0,M51)</t>
  </si>
  <si>
    <t>=MAX(0,N51)</t>
  </si>
  <si>
    <t>=MAX(0,O51)</t>
  </si>
  <si>
    <t>=MAX(0,P51)</t>
  </si>
  <si>
    <t>=MAX(0,Q51)</t>
  </si>
  <si>
    <t>=MAX(0,R51)</t>
  </si>
  <si>
    <t>=MAX(0,S51)</t>
  </si>
  <si>
    <t>=MAX(0,T51)</t>
  </si>
  <si>
    <t>=MAX(0,U51)</t>
  </si>
  <si>
    <t>=MAX(0,V51)</t>
  </si>
  <si>
    <t>EVE</t>
  </si>
  <si>
    <t>=C30*EXP(-D48*D78)</t>
  </si>
  <si>
    <t>=D30*EXP(-E48*E78)</t>
  </si>
  <si>
    <t>=E30*EXP(-F48*F78)</t>
  </si>
  <si>
    <t>=F30*EXP(-G48*G78)</t>
  </si>
  <si>
    <t>=G30*EXP(-H48*H78)</t>
  </si>
  <si>
    <t>=H30*EXP(-I48*I78)</t>
  </si>
  <si>
    <t>=I30*EXP(-J48*J78)</t>
  </si>
  <si>
    <t>=J30*EXP(-K48*K78)</t>
  </si>
  <si>
    <t>=K30*EXP(-L48*L78)</t>
  </si>
  <si>
    <t>=L30*EXP(-M48*M78)</t>
  </si>
  <si>
    <t>=M30*EXP(-N48*N78)</t>
  </si>
  <si>
    <t>=N30*EXP(-O48*O78)</t>
  </si>
  <si>
    <t>=O30*EXP(-P48*P78)</t>
  </si>
  <si>
    <t>=P30*EXP(-Q48*Q78)</t>
  </si>
  <si>
    <t>=Q30*EXP(-R48*R78)</t>
  </si>
  <si>
    <t>=R30*EXP(-S48*S78)</t>
  </si>
  <si>
    <t>=S30*EXP(-T48*T78)</t>
  </si>
  <si>
    <t>=T30*EXP(-U48*U78)</t>
  </si>
  <si>
    <t>=U30*EXP(-V48*V78)</t>
  </si>
  <si>
    <t>=SUM(D79:V79)</t>
  </si>
  <si>
    <t>Delta EVE</t>
  </si>
  <si>
    <t>=W79-$W$74</t>
  </si>
  <si>
    <t>=MAX(0,D52)</t>
  </si>
  <si>
    <t>=MAX(0,E52)</t>
  </si>
  <si>
    <t>=MAX(0,F52)</t>
  </si>
  <si>
    <t>=MAX(0,G52)</t>
  </si>
  <si>
    <t>=MAX(0,H52)</t>
  </si>
  <si>
    <t>=MAX(0,I52)</t>
  </si>
  <si>
    <t>=MAX(0,J52)</t>
  </si>
  <si>
    <t>=MAX(0,K52)</t>
  </si>
  <si>
    <t>=MAX(0,L52)</t>
  </si>
  <si>
    <t>=MAX(0,M52)</t>
  </si>
  <si>
    <t>=MAX(0,N52)</t>
  </si>
  <si>
    <t>=MAX(0,O52)</t>
  </si>
  <si>
    <t>=MAX(0,P52)</t>
  </si>
  <si>
    <t>=MAX(0,Q52)</t>
  </si>
  <si>
    <t>=MAX(0,R52)</t>
  </si>
  <si>
    <t>=MAX(0,S52)</t>
  </si>
  <si>
    <t>=MAX(0,T52)</t>
  </si>
  <si>
    <t>=MAX(0,U52)</t>
  </si>
  <si>
    <t>=MAX(0,V52)</t>
  </si>
  <si>
    <t>=C30*EXP(-D48*D81)</t>
  </si>
  <si>
    <t>=D30*EXP(-E48*E81)</t>
  </si>
  <si>
    <t>=E30*EXP(-F48*F81)</t>
  </si>
  <si>
    <t>=F30*EXP(-G48*G81)</t>
  </si>
  <si>
    <t>=G30*EXP(-H48*H81)</t>
  </si>
  <si>
    <t>=H30*EXP(-I48*I81)</t>
  </si>
  <si>
    <t>=I30*EXP(-J48*J81)</t>
  </si>
  <si>
    <t>=J30*EXP(-K48*K81)</t>
  </si>
  <si>
    <t>=K30*EXP(-L48*L81)</t>
  </si>
  <si>
    <t>=L30*EXP(-M48*M81)</t>
  </si>
  <si>
    <t>=M30*EXP(-N48*N81)</t>
  </si>
  <si>
    <t>=N30*EXP(-O48*O81)</t>
  </si>
  <si>
    <t>=O30*EXP(-P48*P81)</t>
  </si>
  <si>
    <t>=P30*EXP(-Q48*Q81)</t>
  </si>
  <si>
    <t>=Q30*EXP(-R48*R81)</t>
  </si>
  <si>
    <t>=R30*EXP(-S48*S81)</t>
  </si>
  <si>
    <t>=S30*EXP(-T48*T81)</t>
  </si>
  <si>
    <t>=T30*EXP(-U48*U81)</t>
  </si>
  <si>
    <t>=U30*EXP(-V48*V81)</t>
  </si>
  <si>
    <t>=SUM(D82:V82)</t>
  </si>
  <si>
    <t>=W82-$W$74</t>
  </si>
  <si>
    <t>=MAX(0,D53)</t>
  </si>
  <si>
    <t>=MAX(0,E53)</t>
  </si>
  <si>
    <t>=MAX(0,F53)</t>
  </si>
  <si>
    <t>=MAX(0,G53)</t>
  </si>
  <si>
    <t>=MAX(0,H53)</t>
  </si>
  <si>
    <t>=MAX(0,I53)</t>
  </si>
  <si>
    <t>=MAX(0,J53)</t>
  </si>
  <si>
    <t>=MAX(0,K53)</t>
  </si>
  <si>
    <t>=MAX(0,L53)</t>
  </si>
  <si>
    <t>=MAX(0,M53)</t>
  </si>
  <si>
    <t>=MAX(0,N53)</t>
  </si>
  <si>
    <t>=MAX(0,O53)</t>
  </si>
  <si>
    <t>=MAX(0,P53)</t>
  </si>
  <si>
    <t>=MAX(0,Q53)</t>
  </si>
  <si>
    <t>=MAX(0,R53)</t>
  </si>
  <si>
    <t>=MAX(0,S53)</t>
  </si>
  <si>
    <t>=MAX(0,T53)</t>
  </si>
  <si>
    <t>=MAX(0,U53)</t>
  </si>
  <si>
    <t>=MAX(0,V53)</t>
  </si>
  <si>
    <t>=C30*EXP(-D48*D84)</t>
  </si>
  <si>
    <t>=D30*EXP(-E48*E84)</t>
  </si>
  <si>
    <t>=E30*EXP(-F48*F84)</t>
  </si>
  <si>
    <t>=F30*EXP(-G48*G84)</t>
  </si>
  <si>
    <t>=G30*EXP(-H48*H84)</t>
  </si>
  <si>
    <t>=H30*EXP(-I48*I84)</t>
  </si>
  <si>
    <t>=I30*EXP(-J48*J84)</t>
  </si>
  <si>
    <t>=J30*EXP(-K48*K84)</t>
  </si>
  <si>
    <t>=K30*EXP(-L48*L84)</t>
  </si>
  <si>
    <t>=L30*EXP(-M48*M84)</t>
  </si>
  <si>
    <t>=M30*EXP(-N48*N84)</t>
  </si>
  <si>
    <t>=N30*EXP(-O48*O84)</t>
  </si>
  <si>
    <t>=O30*EXP(-P48*P84)</t>
  </si>
  <si>
    <t>=P30*EXP(-Q48*Q84)</t>
  </si>
  <si>
    <t>=Q30*EXP(-R48*R84)</t>
  </si>
  <si>
    <t>=R30*EXP(-S48*S84)</t>
  </si>
  <si>
    <t>=S30*EXP(-T48*T84)</t>
  </si>
  <si>
    <t>=T30*EXP(-U48*U84)</t>
  </si>
  <si>
    <t>=U30*EXP(-V48*V84)</t>
  </si>
  <si>
    <t>=SUM(D85:V85)</t>
  </si>
  <si>
    <t>=W85-$W$74</t>
  </si>
  <si>
    <t>=MAX(0,D54)</t>
  </si>
  <si>
    <t>=MAX(0,E54)</t>
  </si>
  <si>
    <t>=MAX(0,F54)</t>
  </si>
  <si>
    <t>=MAX(0,G54)</t>
  </si>
  <si>
    <t>=MAX(0,H54)</t>
  </si>
  <si>
    <t>=MAX(0,I54)</t>
  </si>
  <si>
    <t>=MAX(0,J54)</t>
  </si>
  <si>
    <t>=MAX(0,K54)</t>
  </si>
  <si>
    <t>=MAX(0,L54)</t>
  </si>
  <si>
    <t>=MAX(0,M54)</t>
  </si>
  <si>
    <t>=MAX(0,N54)</t>
  </si>
  <si>
    <t>=MAX(0,O54)</t>
  </si>
  <si>
    <t>=MAX(0,P54)</t>
  </si>
  <si>
    <t>=MAX(0,Q54)</t>
  </si>
  <si>
    <t>=MAX(0,R54)</t>
  </si>
  <si>
    <t>=MAX(0,S54)</t>
  </si>
  <si>
    <t>=MAX(0,T54)</t>
  </si>
  <si>
    <t>=MAX(0,U54)</t>
  </si>
  <si>
    <t>=MAX(0,V54)</t>
  </si>
  <si>
    <t>=C30*EXP(-D48*D87)</t>
  </si>
  <si>
    <t>=D30*EXP(-E48*E87)</t>
  </si>
  <si>
    <t>=E30*EXP(-F48*F87)</t>
  </si>
  <si>
    <t>=F30*EXP(-G48*G87)</t>
  </si>
  <si>
    <t>=G30*EXP(-H48*H87)</t>
  </si>
  <si>
    <t>=H30*EXP(-I48*I87)</t>
  </si>
  <si>
    <t>=I30*EXP(-J48*J87)</t>
  </si>
  <si>
    <t>=J30*EXP(-K48*K87)</t>
  </si>
  <si>
    <t>=K30*EXP(-L48*L87)</t>
  </si>
  <si>
    <t>=L30*EXP(-M48*M87)</t>
  </si>
  <si>
    <t>=M30*EXP(-N48*N87)</t>
  </si>
  <si>
    <t>=N30*EXP(-O48*O87)</t>
  </si>
  <si>
    <t>=O30*EXP(-P48*P87)</t>
  </si>
  <si>
    <t>=P30*EXP(-Q48*Q87)</t>
  </si>
  <si>
    <t>=Q30*EXP(-R48*R87)</t>
  </si>
  <si>
    <t>=R30*EXP(-S48*S87)</t>
  </si>
  <si>
    <t>=S30*EXP(-T48*T87)</t>
  </si>
  <si>
    <t>=T30*EXP(-U48*U87)</t>
  </si>
  <si>
    <t>=U30*EXP(-V48*V87)</t>
  </si>
  <si>
    <t>=SUM(D88:V88)</t>
  </si>
  <si>
    <t>=W88-$W$74</t>
  </si>
  <si>
    <t>=MAX(0,D55)</t>
  </si>
  <si>
    <t>=MAX(0,E55)</t>
  </si>
  <si>
    <t>=MAX(0,F55)</t>
  </si>
  <si>
    <t>=MAX(0,G55)</t>
  </si>
  <si>
    <t>=MAX(0,H55)</t>
  </si>
  <si>
    <t>=MAX(0,I55)</t>
  </si>
  <si>
    <t>=MAX(0,J55)</t>
  </si>
  <si>
    <t>=MAX(0,K55)</t>
  </si>
  <si>
    <t>=MAX(0,L55)</t>
  </si>
  <si>
    <t>=MAX(0,M55)</t>
  </si>
  <si>
    <t>=MAX(0,N55)</t>
  </si>
  <si>
    <t>=MAX(0,O55)</t>
  </si>
  <si>
    <t>=MAX(0,P55)</t>
  </si>
  <si>
    <t>=MAX(0,Q55)</t>
  </si>
  <si>
    <t>=MAX(0,R55)</t>
  </si>
  <si>
    <t>=MAX(0,S55)</t>
  </si>
  <si>
    <t>=MAX(0,T55)</t>
  </si>
  <si>
    <t>=MAX(0,U55)</t>
  </si>
  <si>
    <t>=MAX(0,V55)</t>
  </si>
  <si>
    <t>=C30*EXP(-D48*D90)</t>
  </si>
  <si>
    <t>=D30*EXP(-E48*E90)</t>
  </si>
  <si>
    <t>=E30*EXP(-F48*F90)</t>
  </si>
  <si>
    <t>=F30*EXP(-G48*G90)</t>
  </si>
  <si>
    <t>=G30*EXP(-H48*H90)</t>
  </si>
  <si>
    <t>=H30*EXP(-I48*I90)</t>
  </si>
  <si>
    <t>=I30*EXP(-J48*J90)</t>
  </si>
  <si>
    <t>=J30*EXP(-K48*K90)</t>
  </si>
  <si>
    <t>=K30*EXP(-L48*L90)</t>
  </si>
  <si>
    <t>=L30*EXP(-M48*M90)</t>
  </si>
  <si>
    <t>=M30*EXP(-N48*N90)</t>
  </si>
  <si>
    <t>=N30*EXP(-O48*O90)</t>
  </si>
  <si>
    <t>=O30*EXP(-P48*P90)</t>
  </si>
  <si>
    <t>=P30*EXP(-Q48*Q90)</t>
  </si>
  <si>
    <t>=Q30*EXP(-R48*R90)</t>
  </si>
  <si>
    <t>=R30*EXP(-S48*S90)</t>
  </si>
  <si>
    <t>=S30*EXP(-T48*T90)</t>
  </si>
  <si>
    <t>=T30*EXP(-U48*U90)</t>
  </si>
  <si>
    <t>=U30*EXP(-V48*V90)</t>
  </si>
  <si>
    <t>=SUM(D91:V91)</t>
  </si>
  <si>
    <t>=W91-$W$74</t>
  </si>
  <si>
    <t>=MAX(0,D56)</t>
  </si>
  <si>
    <t>=MAX(0,E56)</t>
  </si>
  <si>
    <t>=MAX(0,F56)</t>
  </si>
  <si>
    <t>=MAX(0,G56)</t>
  </si>
  <si>
    <t>=MAX(0,H56)</t>
  </si>
  <si>
    <t>=MAX(0,I56)</t>
  </si>
  <si>
    <t>=MAX(0,J56)</t>
  </si>
  <si>
    <t>=MAX(0,K56)</t>
  </si>
  <si>
    <t>=MAX(0,L56)</t>
  </si>
  <si>
    <t>=MAX(0,M56)</t>
  </si>
  <si>
    <t>=MAX(0,N56)</t>
  </si>
  <si>
    <t>=MAX(0,O56)</t>
  </si>
  <si>
    <t>=MAX(0,P56)</t>
  </si>
  <si>
    <t>=MAX(0,Q56)</t>
  </si>
  <si>
    <t>=MAX(0,R56)</t>
  </si>
  <si>
    <t>=MAX(0,S56)</t>
  </si>
  <si>
    <t>=MAX(0,T56)</t>
  </si>
  <si>
    <t>=MAX(0,U56)</t>
  </si>
  <si>
    <t>=MAX(0,V56)</t>
  </si>
  <si>
    <t>=C30*EXP(-D48*D93)</t>
  </si>
  <si>
    <t>=D30*EXP(-E48*E93)</t>
  </si>
  <si>
    <t>=E30*EXP(-F48*F93)</t>
  </si>
  <si>
    <t>=F30*EXP(-G48*G93)</t>
  </si>
  <si>
    <t>=G30*EXP(-H48*H93)</t>
  </si>
  <si>
    <t>=H30*EXP(-I48*I93)</t>
  </si>
  <si>
    <t>=I30*EXP(-J48*J93)</t>
  </si>
  <si>
    <t>=J30*EXP(-K48*K93)</t>
  </si>
  <si>
    <t>=K30*EXP(-L48*L93)</t>
  </si>
  <si>
    <t>=L30*EXP(-M48*M93)</t>
  </si>
  <si>
    <t>=M30*EXP(-N48*N93)</t>
  </si>
  <si>
    <t>=N30*EXP(-O48*O93)</t>
  </si>
  <si>
    <t>=O30*EXP(-P48*P93)</t>
  </si>
  <si>
    <t>=P30*EXP(-Q48*Q93)</t>
  </si>
  <si>
    <t>=Q30*EXP(-R48*R93)</t>
  </si>
  <si>
    <t>=R30*EXP(-S48*S93)</t>
  </si>
  <si>
    <t>=S30*EXP(-T48*T93)</t>
  </si>
  <si>
    <t>=T30*EXP(-U48*U93)</t>
  </si>
  <si>
    <t>=U30*EXP(-V48*V93)</t>
  </si>
  <si>
    <t>=SUM(D94:V94)</t>
  </si>
  <si>
    <t>=W94-$W$74</t>
  </si>
  <si>
    <t>Tổng kết</t>
  </si>
  <si>
    <t>=MIN(0;MIN(W84;W87;W90;W93;W96;W99))</t>
  </si>
  <si>
    <t>Tổng tài sản</t>
  </si>
  <si>
    <t>Báo cáo tài chính: Tổng cột SODU_CUOIKY với điều kiện MCT "A000"</t>
  </si>
  <si>
    <t>Thay đổi giá trị vốn kinh tế trên vốn chủ sở hữu</t>
  </si>
  <si>
    <t>=C98/C99</t>
  </si>
  <si>
    <r>
      <rPr>
        <rFont val="Times New Roman"/>
        <b/>
        <color theme="1"/>
        <sz val="12.0"/>
      </rPr>
      <t>V.</t>
    </r>
    <r>
      <rPr>
        <rFont val="Times New Roman"/>
        <b/>
        <color theme="1"/>
        <sz val="7.0"/>
      </rPr>
      <t xml:space="preserve">                   </t>
    </r>
    <r>
      <rPr>
        <rFont val="Times New Roman"/>
        <b/>
        <color theme="1"/>
        <sz val="12.0"/>
      </rPr>
      <t>Tình hình tuân thủ các chỉ số rủi ro lãi suất trên sổ ngân hàng</t>
    </r>
  </si>
  <si>
    <t>TT</t>
  </si>
  <si>
    <t>Chỉ tiêu</t>
  </si>
  <si>
    <t>Hạn mức rủi ro</t>
  </si>
  <si>
    <t>Ngưỡng Đỏ</t>
  </si>
  <si>
    <t>Ngưỡng Vàng</t>
  </si>
  <si>
    <t>Ngưỡng Xanh</t>
  </si>
  <si>
    <t xml:space="preserve">Giá trị thực hiện </t>
  </si>
  <si>
    <t>Tình hình tuân thủ NCB vàng</t>
  </si>
  <si>
    <t>Tình hình tuân thủ NCB Đỏ</t>
  </si>
  <si>
    <t>Tình hình tuân thủ HMRR</t>
  </si>
  <si>
    <t>Trạng thái chênh lệch kỳ định lại lãi suất</t>
  </si>
  <si>
    <t>Tất cả các thang kỳ hạn chạm ngưỡng 0</t>
  </si>
  <si>
    <t>≥90% số thang kỳ hạn chạm ngưỡng 0</t>
  </si>
  <si>
    <t>≥80% và &lt;90% số thang kỳ hạn chạm ngưỡng 0</t>
  </si>
  <si>
    <t>&lt;80% số thang kỳ hạn chạm ngưỡng 0</t>
  </si>
  <si>
    <t>=COUNTIF(C31,"&lt;&gt;0")&amp;"/19 thang kỳ hạn chạm ngưỡng 0"</t>
  </si>
  <si>
    <t>Thay đổi thu nhập lãi thuần ∆NII</t>
  </si>
  <si>
    <t>Tối đa -4,1%</t>
  </si>
  <si>
    <t>≤-3,5%</t>
  </si>
  <si>
    <t>&gt;-3,5% và ≤ -2,9%</t>
  </si>
  <si>
    <t>&gt;-2,9%</t>
  </si>
  <si>
    <t>=D66</t>
  </si>
  <si>
    <t>Thay đổi giá trị kinh tế của vốn chủ sở hữu ∆EVE</t>
  </si>
  <si>
    <t>Tối đa -15,4%</t>
  </si>
  <si>
    <t>≤-13,1%</t>
  </si>
  <si>
    <t>&gt;-13,1% và ≤-10,8%</t>
  </si>
  <si>
    <t>&gt;-10,8%</t>
  </si>
  <si>
    <t>=C100</t>
  </si>
  <si>
    <t>… (các chỉ tiêu khác theo quy định hạn mức)</t>
  </si>
  <si>
    <t>Đầu mối liên hệ tại VCB</t>
  </si>
  <si>
    <t>Mai Công Thùy Trang (0661)</t>
  </si>
  <si>
    <t>Ghi chú:</t>
  </si>
  <si>
    <t xml:space="preserve">Các nội dung về thay đổi ∆NII, ∆EVE dựa theo QĐ hiện hành 298/2023/QĐ-TGĐ ngày 03/06/2025, trong đó </t>
  </si>
  <si>
    <t>STT</t>
  </si>
  <si>
    <t>Nội dung</t>
  </si>
  <si>
    <t>Quy định hiện hành</t>
  </si>
  <si>
    <t>Lãi suất chiết khấu</t>
  </si>
  <si>
    <t>Căn cứ đường cong lãi suất Zero Coupon Bond của từng thời điểm</t>
  </si>
  <si>
    <t>Thay đổi NII</t>
  </si>
  <si>
    <t xml:space="preserve"> ∆NII / Tổng tài sản</t>
  </si>
  <si>
    <t>Thay đổi EVE</t>
  </si>
  <si>
    <t xml:space="preserve"> ∆EVE / Tổng tài sản</t>
  </si>
  <si>
    <t>BM_RRLS_02</t>
  </si>
  <si>
    <t xml:space="preserve"> 6T-12T </t>
  </si>
  <si>
    <t xml:space="preserve"> 1-5N </t>
  </si>
  <si>
    <t>Trên 5 năm</t>
  </si>
  <si>
    <r>
      <rPr>
        <rFont val="Times New Roman"/>
        <color theme="1"/>
        <sz val="10.0"/>
      </rPr>
      <t xml:space="preserve">Bảng cân đối tài khoản: Tổng SODU_CUOIKY_NO với điều kiện: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[101*, 103*, 1051]</t>
    </r>
  </si>
  <si>
    <t>=SUM(C5:J5)</t>
  </si>
  <si>
    <r>
      <rPr>
        <rFont val="Times New Roman"/>
        <color theme="1"/>
        <sz val="10.0"/>
      </rPr>
      <t xml:space="preserve">Bảng cân đối tài khoản: Tổng SODU_CUOIKY_NO với điều kiện: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[111*, 112*]</t>
    </r>
  </si>
  <si>
    <t>=SUM(C6:J6)</t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</si>
  <si>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"&lt;0"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"&lt;0"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</si>
  <si>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 và &lt;=30"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 và &lt;=30"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</si>
  <si>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"&gt;30 và &lt;=90"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"&gt;30 và &lt;=90"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</si>
  <si>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"&gt;90 và &lt;=180"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"&gt;90 và &lt;=180"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</si>
  <si>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"&gt;180 và &lt;=360"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"&gt;180 và &lt;=360"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</si>
  <si>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"&gt;360 và &lt;=1800"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"&gt;360 và &lt;=1800"
Lấy 1 + 2</t>
    </r>
  </si>
  <si>
    <r>
      <rPr>
        <rFont val="Times New Roman"/>
        <color theme="1"/>
        <sz val="10.0"/>
      </rPr>
      <t xml:space="preserve">1. Tiền gửi thị trường 2: Tổng cột SO_TIEN với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[131*, 132*, 133*, 134*, 135*, 136*]
b,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 "&gt;1800"
2. Tiền vay thị trường 2: Tổng cột DUNO_GOC_NT với các điều kiện
a,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[201*, 202*, 203*, 205*]
b, </t>
    </r>
    <r>
      <rPr>
        <rFont val="Times New Roman"/>
        <color rgb="FF0000FF"/>
        <sz val="10.0"/>
      </rPr>
      <t>NGAY_KY_HAN_2 (NGAY_DAOHAN - ngày báo cáo)</t>
    </r>
    <r>
      <rPr>
        <rFont val="Times New Roman"/>
        <color theme="1"/>
        <sz val="10.0"/>
      </rPr>
      <t>:  "&gt;1800"
Lấy 1 + 2</t>
    </r>
  </si>
  <si>
    <t>=SUM(C7:J7)</t>
  </si>
  <si>
    <t>=SUM(C8:J8)</t>
  </si>
  <si>
    <t>=SUM(C9:J9)</t>
  </si>
  <si>
    <t>Cho vay khách hàng (Không ao gồm mua nợ)</t>
  </si>
  <si>
    <r>
      <rPr>
        <rFont val="Times New Roman"/>
        <color theme="1"/>
        <sz val="10.0"/>
      </rPr>
      <t xml:space="preserve">1. Cho vay khách hàng: Tổng cột DUNO_VAYTT_QD với điều kiện
a, CHI_SO_NO_QUA_HAN &lt;&gt; 0
b, MA_SAN_PHAM: &lt;&gt; [1744, 2541, 2543]
</t>
    </r>
    <r>
      <rPr>
        <rFont val="Times New Roman"/>
        <color rgb="FFFF0000"/>
        <sz val="10.0"/>
      </rPr>
      <t>2. Thẻ: Tổng cột Principle Debit Amount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</si>
  <si>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 và &lt;=30"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</si>
  <si>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"&gt;30 và &lt;=90"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</si>
  <si>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"&gt;90 và &lt;=180"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</si>
  <si>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"&gt;180 và &lt;=360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</si>
  <si>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"&gt;360 và &lt;=1800"
c, MA_SAN_PHAM: &lt;&gt; [1744, 2541, 2543]
</t>
    </r>
  </si>
  <si>
    <r>
      <rPr>
        <rFont val="Times New Roman"/>
        <color theme="1"/>
        <sz val="10.0"/>
      </rPr>
      <t xml:space="preserve">1. Dòng lịch gốc: Tổng cột </t>
    </r>
    <r>
      <rPr>
        <rFont val="Times New Roman"/>
        <color rgb="FF0000FF"/>
        <sz val="10.0"/>
      </rPr>
      <t xml:space="preserve">GOC_SE_TRA (GOC_PHAI_TRA - GOC_DA_TRA) </t>
    </r>
    <r>
      <rPr>
        <rFont val="Times New Roman"/>
        <color theme="1"/>
        <sz val="10.0"/>
      </rPr>
      <t xml:space="preserve">với điều kiện:
a, CHI_SO_NO_QUA_HAN = 0
b, </t>
    </r>
    <r>
      <rPr>
        <rFont val="Times New Roman"/>
        <color rgb="FF0000FF"/>
        <sz val="10.0"/>
      </rPr>
      <t xml:space="preserve">NGAY_KY_HAN_2 (NGAY_DINH_LAI_LAI_SUAT_2 - ngày báo cáo) </t>
    </r>
    <r>
      <rPr>
        <rFont val="Times New Roman"/>
        <color theme="1"/>
        <sz val="10.0"/>
      </rPr>
      <t xml:space="preserve">"&gt;1800"
c, MA_SAN_PHAM: &lt;&gt; [1744, 2541, 2543]
</t>
    </r>
  </si>
  <si>
    <t>=SUM(C10:J10)</t>
  </si>
  <si>
    <t>Danh mục chứng khoán: Tổng cột GIA_TRI_SO_SACH với điều kiện
a, TKGL: [12*, 15*, 16*]
b, NGAY_KY_HAN_2: "&lt;0"
c, PHAN_LOAI_TT35: ["TP"]</t>
  </si>
  <si>
    <t>Danh mục chứng khoán: Tổng cột GIA_TRI_SO_SACH với điều kiện
a, TKGL: [12*, 15*, 16*]
b, NGAY_KY_HAN_2: "&gt;=0 và &lt;=30"
c, PHAN_LOAI_TT35: ["TP"]</t>
  </si>
  <si>
    <t>Danh mục chứng khoán: Tổng cột GIA_TRI_SO_SACH với điều kiện
a, TKGL: [12*, 15*, 16*]
b, NGAY_KY_HAN_2: "&gt;30 và &lt;=90"
c, PHAN_LOAI_TT35: ["TP"]</t>
  </si>
  <si>
    <t>Danh mục chứng khoán: Tổng cột GIA_TRI_SO_SACH với điều kiện
a, TKGL: [12*, 15*, 16*]
b, NGAY_KY_HAN_2: "&gt;90 và &lt;=180"
c, PHAN_LOAI_TT35: ["TP"]</t>
  </si>
  <si>
    <t>Danh mục chứng khoán: Tổng cột GIA_TRI_SO_SACH với điều kiện
a, TKGL: [12*, 15*, 16*]
b, NGAY_KY_HAN_2: "&gt;180 và &lt;=360"
c, PHAN_LOAI_TT35: ["TP"]</t>
  </si>
  <si>
    <t>Danh mục chứng khoán: Tổng cột GIA_TRI_SO_SACH với điều kiện
a, TKGL: [12*, 15*, 16*]
b, NGAY_KY_HAN_2: "&gt;360 và &lt;=1800"
c, PHAN_LOAI_TT35: ["TP"]</t>
  </si>
  <si>
    <t>Danh mục chứng khoán: Tổng cột GIA_TRI_SO_SACH với điều kiện
a, TKGL: [12*, 15*, 16*]
b, NGAY_KY_HAN_2: "&gt;1800"
c, PHAN_LOAI_TT35: ["TP"]</t>
  </si>
  <si>
    <t>=SUM(C11:J11)</t>
  </si>
  <si>
    <r>
      <rPr>
        <rFont val="Times New Roman"/>
        <color theme="1"/>
        <sz val="10.0"/>
      </rPr>
      <t xml:space="preserve">1. Bảng cân đối tài khoản: SODU_CUOIKY_NO với điều kiện
a,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34*
2. 766,139,000,000
=&gt; Lấy 1 -2 </t>
    </r>
  </si>
  <si>
    <t>=SUM(C12:J12)</t>
  </si>
  <si>
    <r>
      <rPr>
        <rFont val="Times New Roman"/>
        <color theme="1"/>
        <sz val="10.0"/>
      </rPr>
      <t xml:space="preserve">1. BẢNG CÂN ĐỐI TÀI KHOẢN: Tổng giá trị SODU_CUOIKY_NO với điều kiện
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30*
2. Tổng giá trị SODU_CUOIKY_NO với điều kiện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>305*
=&gt;1 -2</t>
    </r>
  </si>
  <si>
    <t>=SUM(C13:J13)</t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</si>
  <si>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&lt;0
2. Tiền vay thị trường 2: Tổng cột DUNO_GOC_NT với điều kiện
a. </t>
    </r>
    <r>
      <rPr>
        <rFont val="Times New Roman"/>
        <color rgb="FF0000FF"/>
        <sz val="10.0"/>
      </rPr>
      <t>TKGL_GOC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&lt; 0
3. Cho vay khách hàng: Tổng cột LAI_HTGL_DUTHU với điều kiện
a. CHI_SO_NO_QUA_HAN &gt; 0
4. 5.888.637,751
5. Báo cáo tài chính: Tổng cột SODU_CUOIKY với điều kiện </t>
    </r>
    <r>
      <rPr>
        <rFont val="Times New Roman"/>
        <color rgb="FFFF0000"/>
        <sz val="10.0"/>
      </rPr>
      <t>MCT "AC10"</t>
    </r>
    <r>
      <rPr>
        <rFont val="Times New Roman"/>
        <color theme="1"/>
        <sz val="10.0"/>
      </rPr>
      <t xml:space="preserve">
=&gt; 1+2+3-4+5</t>
    </r>
  </si>
  <si>
    <r>
      <rPr>
        <rFont val="Times New Roman"/>
        <color theme="1"/>
        <sz val="10.0"/>
      </rPr>
      <t xml:space="preserve">1. Tiền gửi thị trường 2: Tổng cột SO_TIEN với điều kiện
a. </t>
    </r>
    <r>
      <rPr>
        <rFont val="Times New Roman"/>
        <color rgb="FF0000FF"/>
        <sz val="10.0"/>
      </rPr>
      <t>TKGL_LAI</t>
    </r>
    <r>
      <rPr>
        <rFont val="Times New Roman"/>
        <color theme="1"/>
        <sz val="10.0"/>
      </rPr>
      <t xml:space="preserve">: [3911, 3912, 3921, 3922, 3923] 
b. </t>
    </r>
    <r>
      <rPr>
        <rFont val="Times New Roman"/>
        <color rgb="FF0000FF"/>
        <sz val="10.0"/>
      </rPr>
      <t>NGAY_KY_HAN_2 (NGAY_DEN_HAN - ngày báo cáo)</t>
    </r>
    <r>
      <rPr>
        <rFont val="Times New Roman"/>
        <color theme="1"/>
        <sz val="10.0"/>
      </rPr>
      <t xml:space="preserve">: &gt;=0
2. Tiền vay thị trường 2: Tổng cột DUNO_GOC_NT với điều kiện
a. </t>
    </r>
    <r>
      <rPr>
        <rFont val="Times New Roman"/>
        <color rgb="FF0000FF"/>
        <sz val="10.0"/>
      </rPr>
      <t xml:space="preserve">TKGL_GOC </t>
    </r>
    <r>
      <rPr>
        <rFont val="Times New Roman"/>
        <color theme="1"/>
        <sz val="10.0"/>
      </rPr>
      <t xml:space="preserve">: [2011, 2051]
b. </t>
    </r>
    <r>
      <rPr>
        <rFont val="Times New Roman"/>
        <color rgb="FF0000FF"/>
        <sz val="10.0"/>
      </rPr>
      <t xml:space="preserve">NGAY_KY_HAN_2 (NGAY_DAOHAN - ngày báo cáo) </t>
    </r>
    <r>
      <rPr>
        <rFont val="Times New Roman"/>
        <color theme="1"/>
        <sz val="10.0"/>
      </rPr>
      <t xml:space="preserve">&gt;= 0
3. BẢNG CÂN ĐỐI TÀI KHOẢN: Tổng cột SODU_CUOIKY_NO với điều kiện </t>
    </r>
    <r>
      <rPr>
        <rFont val="Times New Roman"/>
        <color rgb="FF0000FF"/>
        <sz val="10.0"/>
      </rPr>
      <t xml:space="preserve">TK_SBV </t>
    </r>
    <r>
      <rPr>
        <rFont val="Times New Roman"/>
        <color theme="1"/>
        <sz val="10.0"/>
      </rPr>
      <t xml:space="preserve">[392, 397]
4. Cho vay khách hàng: Tổng cột LAI_HTGL_DUTHU với điều kiện
a. CHI_SO_NO_QUA_HAN = 0
5. Báo cáo tài chính: Tổng cột SODU_CUOIKY với điều kiện </t>
    </r>
    <r>
      <rPr>
        <rFont val="Times New Roman"/>
        <color rgb="FFFF0000"/>
        <sz val="10.0"/>
      </rPr>
      <t xml:space="preserve">MCT "AC40"
</t>
    </r>
    <r>
      <rPr>
        <rFont val="Times New Roman"/>
        <color theme="1"/>
        <sz val="10.0"/>
      </rPr>
      <t>6. 5.888.637.751
=&gt; 1+2+3+4+5+6</t>
    </r>
  </si>
  <si>
    <t>=SUM(C14:J14)</t>
  </si>
  <si>
    <t>1. Tiền gửi thị trường 2: Tổng cột SO_TIEN với điều kiện
a. TKGL_LAI_SBV: [3911, 3912, 3921, 3922, 3923] 
b. NGAY_KY_HAN_2: &lt;0
2. Tiền vay thị trường 2: Tổng cột DUNO_GOC_NT với điều kiện
a. TKGL_GOC_SBV: [2011, 2051]
b. NGAY_KY_HAN_2 &lt; 0
3. Cho vay khách hàng: Tổng cột LAI_HTGL_DUTHU với điều kiện
a. CHI_SO_NO_QUA_HAN &gt; 0
Lấy 1 + 2 + 3</t>
  </si>
  <si>
    <t>1. Tiền gửi thị trường 2: Tổng cột SO_TIEN với điều kiện
a. TKGL_LAI_SBV: [3911, 3912, 3921, 3922, 3923] 
b. NGAY_KY_HAN_2: &gt;=0
2. Tiền vay thị trường 2: Tổng cột DUNO_GOC_NT với điều kiện
a. TKGL_GOC_SBV: [2011, 2051]
b. NGAY_KY_HAN_2 &gt;= 0
3. BẢNG CÂN ĐỐI TÀI KHOẢN: Tổng cột SODU_CUOIKY_NO với điều kiện TKGL_SBV [392, 397]
4. Cho vay khách hàng: Tổng cột LAI_HTGL_DUTHU với điều kiện
a. CHI_SO_NO_QUA_HAN = 0
Lấy 1 + 2 + 3 + 4</t>
  </si>
  <si>
    <t xml:space="preserve"> =SUM(D5:D14)</t>
  </si>
  <si>
    <t xml:space="preserve"> =SUM(E5:E14)</t>
  </si>
  <si>
    <t xml:space="preserve"> =SUM(F5:F14)</t>
  </si>
  <si>
    <t xml:space="preserve"> =SUM(G5:G14)</t>
  </si>
  <si>
    <t xml:space="preserve"> =SUM(H5:H14)</t>
  </si>
  <si>
    <t xml:space="preserve"> =SUM(I5:I14)</t>
  </si>
  <si>
    <t>=SUM(C16:J16)</t>
  </si>
  <si>
    <t xml:space="preserve">1. Tiền gửi thị trường 2: Tổng cột SO_TIEN với các điều kiện
a, TKGL_GOC_SBV: 41*
b, NGAY_KY_HAN_2: "&lt;0"
2. Tiền vay thị trường 2: Tổng cột DUNO_GOC_NT với các điền kiện:
a, TKGL_GOC_SBV: [401*, 402*, 403*, 404*, 415*, 416*, 417*, 418*]
b, NGAY_KY_HAN_2 "&lt;0"
3. Tiền vay thị trường 2: Tổng cột DUNO_GOC_NT với các điền kiện:
a, TKGL_GOC_SBV: [4032, 4033]
b, NGAY_KY_HAN_2 "&lt;0"
Lấy 1 +2 -3
</t>
  </si>
  <si>
    <t xml:space="preserve">Tiền gửi thị trường 2: Tổng cột SO_TIEN với các điều kiện
a, TKGL_GOC_SBV: 41*
b, NGAY_KY_HAN_2: "&gt;1 và &lt;=30"
Tiền vay thị trường 2: Tổng cột DUNO_GOC_NT với các điền kiện:
a, TKGL_GOC_SBV: [401*, 402*, 403*, 404*, 415*, 416*, 417*, 418*]
b, NGAY_KY_HAN_2 "&gt;1 và &lt;=30"
3. Tiền vay thị trường 2: Tổng cột DUNO_GOC_NT với các điền kiện:
a, TKGL_GOC_SBV: [4032, 4033]
b, NGAY_KY_HAN_2 "&gt;1 và &lt;=30"
Lấy 1 +2 -3
</t>
  </si>
  <si>
    <t>Tiền gửi thị trường 2: Tổng cột SO_TIEN với các điều kiện
a, TKGL_GOC_SBV: 41*
b, NGAY_KY_HAN_2: "&gt;30 và &lt;=90"
Tiền vay thị trường 2: Tổng cột DUNO_GOC_NT với các điền kiện:
a, TKGL_GOC_SBV: [401*, 402*, 403*, 404*, 415*, 416*, 417*, 418*]
b, NGAY_KY_HAN_2 "&gt;30 và &lt;=90"
 3. Tiền vay thị trường 2: Tổng cột DUNO_GOC_NT với các điền kiện:
a, TKGL_GOC_SBV: [4032, 4033]
b, NGAY_KY_HAN_2 "&gt;30 và &lt;=90"
Lấy 1 +2 -3</t>
  </si>
  <si>
    <t>Tiền gửi thị trường 2: Tổng cột SO_TIEN với các điều kiện
a, TKGL_GOC_SBV: 41*
b, NGAY_KY_HAN_2: "&gt;90 và &lt;=180"
Tiền vay thị trường 2: Tổng cột DUNO_GOC_NT với các điền kiện:
a, TKGL_GOC_SBV: [401*, 402*, 403*, 404*, 415*, 416*, 417*, 418*]
b, NGAY_KY_HAN_2 "&gt;90 và &lt;=180"
3. Tiền vay thị trường 2: Tổng cột DUNO_GOC_NT với các điền kiện:
a, TKGL_GOC_SBV: [4032, 4033]
b, NGAY_KY_HAN_2 "&gt;90 và &lt;=180"
Lấy 1 +2 -3</t>
  </si>
  <si>
    <t>Tiền gửi thị trường 2: Tổng cột SO_TIEN với các điều kiện
a, TKGL_GOC_SBV: 41*
b, NGAY_KY_HAN_2: "&gt;180 và &lt;=360"
Tiền vay thị trường 2: Tổng cột DUNO_GOC_NT với các điền kiện:
a, TKGL_GOC_SBV: [401*, 402*, 403*, 404*, 415*, 416*, 417*, 418*]
b, NGAY_KY_HAN_2 "&gt;180 và &lt;=360"
 3. Tiền vay thị trường 2: Tổng cột DUNO_GOC_NT với các điền kiện:
a, TKGL_GOC_SBV: [4032, 4033]
b, NGAY_KY_HAN_2 "&gt;180 và &lt;=360"
Lấy 1 +2 -3</t>
  </si>
  <si>
    <t>Tiền gửi thị trường 2: Tổng cột SO_TIEN với các điều kiện
a, TKGL_GOC_SBV: 41*
b, NGAY_KY_HAN_2: "&gt;360 và &lt;=1800"
Tiền vay thị trường 2: Tổng cột DUNO_GOC_NT với các điền kiện:
a, TKGL_GOC_SBV: [401*, 402*, 403*, 404*, 415*, 416*, 417*, 418*]
b, NGAY_KY_HAN_2 "&gt;360 và &lt;=1800"
3. Tiền vay thị trường 2: Tổng cột DUNO_GOC_NT với các điền kiện:
a, TKGL_GOC_SBV: [4032, 4033]
b, NGAY_KY_HAN_2 "&gt;360 và &lt;=1800"
Lấy 1 +2 -3</t>
  </si>
  <si>
    <t>Tiền gửi thị trường 2: Tổng cột SO_TIEN với các điều kiện
a, TKGL_GOC_SBV: 41*
b, NGAY_KY_HAN_2: "&gt;1800"
Tiền vay thị trường 2: Tổng cột DUNO_GOC_NT với các điền kiện:
a, TKGL_GOC_SBV: [401*, 402*, 403*, 404*, 415*, 416*, 417*, 418*]
b, NGAY_KY_HAN_2 "&gt;1800"
3. Tiền vay thị trường 2: Tổng cột DUNO_GOC_NT với các điền kiện:
a, TKGL_GOC_SBV: [4032, 4033]
b, NGAY_KY_HAN_2 "&gt;1800"
Lấy 1 +2 -3</t>
  </si>
  <si>
    <t>=SUM(C18:J18)</t>
  </si>
  <si>
    <t>Bảng cân đối tài khoản: Tổng cột SODU_CUOIKY_CO với điều kiện TKGL_SBV: [4211, 4221, 4231, 4241, 4251, 4261, 4214, 4254, 4264, 427*, 4224, 428*]</t>
  </si>
  <si>
    <t>=SUM(C20:J20)</t>
  </si>
  <si>
    <t>"Tiền gửi có kỳ hạn thị trường 1: Tổng cột SODU_QUYDOI với điều kiện
a. TKGL_GOC_SBV: [4212, 4222, 4232, 4238, 4242, 4252, 4262]
b. NGAY_KY_HAN_2 "&lt;0"</t>
  </si>
  <si>
    <t>"Tiền gửi có kỳ hạn thị trường 1: Tổng cột SODU_QUYDOI với điều kiện
a. TKGL_GOC_SBV: [4212, 4222, 4232, 4238, 4242, 4252, 4262]
b. NGAY_KY_HAN_2 "&gt;1 và &lt;=30"</t>
  </si>
  <si>
    <t>"Tiền gửi có kỳ hạn thị trường 1: Tổng cột SODU_QUYDOI với điều kiện
a. TKGL_GOC_SBV: [4212, 4222, 4232, 4238, 4242, 4252, 4262]
b. NGAY_KY_HAN_2 "&gt;30 và &lt;=90"</t>
  </si>
  <si>
    <t>"Tiền gửi có kỳ hạn thị trường 1: Tổng cột SODU_QUYDOI với điều kiện
a. TKGL_GOC_SBV: [4212, 4222, 4232, 4238, 4242, 4252, 4262]
b. NGAY_KY_HAN_2 "&gt;90 và &lt;=180"</t>
  </si>
  <si>
    <t>"Tiền gửi có kỳ hạn thị trường 1: Tổng cột SODU_QUYDOI với điều kiện
a. TKGL_GOC_SBV: [4212, 4222, 4232, 4238, 4242, 4252, 4262]
b. NGAY_KY_HAN_2 "&gt;180 và &lt;=360"</t>
  </si>
  <si>
    <t>"Tiền gửi có kỳ hạn thị trường 1: Tổng cột SODU_QUYDOI với điều kiện
a. TKGL_GOC_SBV: [4212, 4222, 4232, 4238, 4242, 4252, 4262]
b. NGAY_KY_HAN_2 "&gt;360 và &lt;=1800"</t>
  </si>
  <si>
    <t>"Tiền gửi có kỳ hạn thị trường 1: Tổng cột SODU_QUYDOI với điều kiện
a. TKGL_GOC_SBV: [4212, 4222, 4232, 4238, 4242, 4252, 4262]
b. NGAY_KY_HAN_2 "&gt;1800"</t>
  </si>
  <si>
    <t>=SUM(C21:J21)</t>
  </si>
  <si>
    <t>=SUM(C22:J22)</t>
  </si>
  <si>
    <t>=SUM(C23:J23)</t>
  </si>
  <si>
    <t>=SUM(C24:J24)</t>
  </si>
  <si>
    <t>1. Tiền gửi CKH TT1: Tổng cột LAI_DU_CHI với điều kiện
a, TKGL_LAI_SBV: 49*
b, NGAY_KY_HAN_2: &lt; 0
2. Tiền gửi TT2: Tổng cột LAI_DU_CHI với điều kiện
a, TKGL_LAI_SBV: 49*
b, NGAY_KY_HAN_2: "&lt;0"
3. Tiền vay TT2: Tổng cột TONG_LAIPHAITRA_NT với điều kiện
a, TKGL_LAI_SBV: 49*
b, NGAY_KY_HAN_2: "&lt;0"
4. Báo cáo tài chính: Tổng cột SODU_CUOIKY với điều kiện CHI_TIEU "Các khoản nợ phải trả và công nợ khác"
Lấy 1 + 2 + 3 + 4</t>
  </si>
  <si>
    <t>1. Tiền gửi CKH TT1: Tổng cột LAI_DU_CHI với điều kiện
a, TKGL_LAI_SBV: 49*
b, NGAY_KY_HAN_2: &gt;= 0
2. Tiền gửi TT2: Tổng cột LAI_DU_CHI với điều kiện
a, TKGL_LAI_SBV: 49*
b, NGAY_KY_HAN_2: "&gt;=0"
3. Tiền vay TT2: Tổng cột TONG_LAIPHAITRA_NT với điều kiện
a, TKGL_LAI_SBV: 49*
b, NGAY_KY_HAN_2: "&gt;=0"
4. Tiền gửi CKH TT1: Tổng cột LAI_DEN_HAN với điều kiện
a, TKGL_LAI_SBV: 49*
b, NGAY_KY_HAN_2: &gt;= 0
Lấy 1 + 2 + 3 + 4</t>
  </si>
  <si>
    <t>=SUM(C25:J25)</t>
  </si>
  <si>
    <t>1. Tiền gửi CKH TT1: Tổng cột LAI_DU_CHI với điều kiện
a, TKGL_LAI_SBV: 49*
b, NGAY_KY_HAN_2: &lt; 0
2. Tiền gửi TT2: Tổng cột LAI_DU_CHI với điều kiện
a, TKGL_LAI_SBV: 49*
b, NGAY_KY_HAN_2: "&lt;0"
3. Tiền vay TT2: Tổng cột TONG_LAIPHAITRA_NT với điều kiện
a, TKGL_LAI_SBV: 49*
b, NGAY_KY_HAN_2: "&lt;0"
=&gt; Lấy 1 + 2 + 3</t>
  </si>
  <si>
    <t>1. Tiền gửi CKH TT1: Tổng cột LAI_DU_CHI với điều kiện
a, TKGL_LAI_SBV: 49*
b, NGAY_KY_HAN_2: &gt;= 0
c, LOAI_TIEN: VND
2. Tiền gửi TT2: Tổng cột LAI_DU_CHI với điều kiện
a, TKGL_LAI_SBV: 49*
b, NGAY_KY_HAN_2: "&gt;=0"
c, LOAI_TIEN: VND
3. Tiền vay TT2: Tổng cột TONG_LAIPHAITRA_NT với điều kiện
a, TKGL_LAI_SBV: 49*
b, NGAY_KY_HAN_2: "&gt;=0"
c, LOAI_TIEN: VND
4. Tiền gửi CKH TT1: Tổng cột LAI_DEN_HAN với điều kiện
a, TKGL_LAI_SBV: 49*
b, NGAY_KY_HAN_2: &gt;= 0
c, LOAI_TIEN: VND
=&gt; Lấy 1 + 2 + 3 + 4</t>
  </si>
  <si>
    <t>=SUM(C26:J26)</t>
  </si>
  <si>
    <t xml:space="preserve"> =SUM(E18:E25)</t>
  </si>
  <si>
    <t xml:space="preserve"> =SUM(F18:F25)</t>
  </si>
  <si>
    <t xml:space="preserve"> =SUM(G18:G25)</t>
  </si>
  <si>
    <t xml:space="preserve"> =SUM(H18:H25)</t>
  </si>
  <si>
    <t xml:space="preserve"> =SUM(I18:I25)</t>
  </si>
  <si>
    <t xml:space="preserve"> =SUM(J18:J25)</t>
  </si>
  <si>
    <t>=SUM(C27:J27)</t>
  </si>
  <si>
    <t xml:space="preserve"> =D16-D27</t>
  </si>
  <si>
    <t xml:space="preserve"> =E16-E27</t>
  </si>
  <si>
    <t>=SUM(C28:J28)</t>
  </si>
  <si>
    <t xml:space="preserve"> =C28-C29</t>
  </si>
  <si>
    <t xml:space="preserve"> =D28-D29</t>
  </si>
  <si>
    <t xml:space="preserve"> =E28-E29</t>
  </si>
  <si>
    <t>=SUM(C30:J30)</t>
  </si>
  <si>
    <t>=D31+E30</t>
  </si>
  <si>
    <t>=E31+F30</t>
  </si>
  <si>
    <t>=F31+G30</t>
  </si>
  <si>
    <t>=G31+H30</t>
  </si>
  <si>
    <t>=H31+I30</t>
  </si>
  <si>
    <t>=I31+J30</t>
  </si>
  <si>
    <t>=J31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</si>
</sst>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000_-;\-* #,##0.0000_-;_-* &quot;-&quot;??_-;_-@"/>
  </numFmts>
  <fonts count="18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b/>
      <i/>
      <sz val="10.0"/>
      <color rgb="FF000000"/>
      <name val="Times New Roman"/>
    </font>
    <font>
      <sz val="11.0"/>
      <color theme="1"/>
      <name val="Times New Roman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FF0000"/>
      <name val="Times New Roman"/>
    </font>
    <font>
      <b/>
      <sz val="11.0"/>
      <color theme="1"/>
      <name val="Calibri"/>
    </font>
    <font>
      <sz val="10.0"/>
      <color rgb="FFFF0000"/>
      <name val="Times New Roman"/>
    </font>
    <font>
      <sz val="11.0"/>
      <color rgb="FFFF0000"/>
      <name val="Calibri"/>
    </font>
    <font/>
    <font>
      <sz val="12.0"/>
      <color rgb="FFFF0000"/>
      <name val="Times New Roman"/>
    </font>
    <font>
      <sz val="12.0"/>
      <color theme="1"/>
      <name val="Calibri"/>
    </font>
    <font>
      <b/>
      <sz val="11.0"/>
      <color rgb="FF222222"/>
      <name val="&quot;Google Sans&quot;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D8E5F8"/>
        <bgColor rgb="FFD8E5F8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readingOrder="0" vertical="center"/>
    </xf>
    <xf borderId="0" fillId="0" fontId="3" numFmtId="164" xfId="0" applyFont="1" applyNumberFormat="1"/>
    <xf borderId="1" fillId="0" fontId="4" numFmtId="164" xfId="0" applyAlignment="1" applyBorder="1" applyFont="1" applyNumberFormat="1">
      <alignment shrinkToFit="0" vertical="center" wrapText="1"/>
    </xf>
    <xf borderId="1" fillId="2" fontId="4" numFmtId="164" xfId="0" applyAlignment="1" applyBorder="1" applyFill="1" applyFont="1" applyNumberFormat="1">
      <alignment horizontal="center" shrinkToFit="0" vertical="center" wrapText="1"/>
    </xf>
    <xf borderId="2" fillId="3" fontId="5" numFmtId="0" xfId="0" applyBorder="1" applyFill="1" applyFont="1"/>
    <xf borderId="1" fillId="4" fontId="6" numFmtId="164" xfId="0" applyAlignment="1" applyBorder="1" applyFill="1" applyFont="1" applyNumberFormat="1">
      <alignment horizontal="center" vertical="center"/>
    </xf>
    <xf borderId="1" fillId="4" fontId="6" numFmtId="164" xfId="0" applyAlignment="1" applyBorder="1" applyFont="1" applyNumberFormat="1">
      <alignment shrinkToFit="0" vertical="center" wrapText="1"/>
    </xf>
    <xf borderId="1" fillId="4" fontId="7" numFmtId="164" xfId="0" applyAlignment="1" applyBorder="1" applyFont="1" applyNumberFormat="1">
      <alignment shrinkToFit="0" vertical="center" wrapText="1"/>
    </xf>
    <xf borderId="1" fillId="4" fontId="7" numFmtId="164" xfId="0" applyAlignment="1" applyBorder="1" applyFont="1" applyNumberFormat="1">
      <alignment vertical="center"/>
    </xf>
    <xf borderId="1" fillId="0" fontId="7" numFmtId="164" xfId="0" applyAlignment="1" applyBorder="1" applyFont="1" applyNumberFormat="1">
      <alignment vertical="center"/>
    </xf>
    <xf borderId="1" fillId="4" fontId="7" numFmtId="164" xfId="0" applyAlignment="1" applyBorder="1" applyFont="1" applyNumberFormat="1">
      <alignment horizontal="center" vertical="center"/>
    </xf>
    <xf borderId="1" fillId="0" fontId="3" numFmtId="164" xfId="0" applyBorder="1" applyFont="1" applyNumberFormat="1"/>
    <xf borderId="1" fillId="4" fontId="8" numFmtId="164" xfId="0" applyAlignment="1" applyBorder="1" applyFont="1" applyNumberFormat="1">
      <alignment horizontal="center" vertical="center"/>
    </xf>
    <xf borderId="1" fillId="4" fontId="8" numFmtId="164" xfId="0" applyAlignment="1" applyBorder="1" applyFont="1" applyNumberFormat="1">
      <alignment shrinkToFit="0" vertical="center" wrapText="1"/>
    </xf>
    <xf borderId="1" fillId="4" fontId="9" numFmtId="164" xfId="0" applyAlignment="1" applyBorder="1" applyFont="1" applyNumberFormat="1">
      <alignment vertical="center"/>
    </xf>
    <xf borderId="1" fillId="0" fontId="9" numFmtId="164" xfId="0" applyAlignment="1" applyBorder="1" applyFont="1" applyNumberFormat="1">
      <alignment vertical="center"/>
    </xf>
    <xf borderId="1" fillId="4" fontId="9" numFmtId="164" xfId="0" applyAlignment="1" applyBorder="1" applyFont="1" applyNumberFormat="1">
      <alignment readingOrder="0" shrinkToFit="0" vertical="center" wrapText="1"/>
    </xf>
    <xf quotePrefix="1" borderId="1" fillId="4" fontId="9" numFmtId="164" xfId="0" applyAlignment="1" applyBorder="1" applyFont="1" applyNumberFormat="1">
      <alignment vertical="center"/>
    </xf>
    <xf borderId="1" fillId="0" fontId="3" numFmtId="164" xfId="0" applyAlignment="1" applyBorder="1" applyFont="1" applyNumberFormat="1">
      <alignment vertical="center"/>
    </xf>
    <xf borderId="1" fillId="3" fontId="8" numFmtId="164" xfId="0" applyAlignment="1" applyBorder="1" applyFont="1" applyNumberFormat="1">
      <alignment horizontal="center" vertical="center"/>
    </xf>
    <xf borderId="1" fillId="3" fontId="8" numFmtId="164" xfId="0" applyAlignment="1" applyBorder="1" applyFont="1" applyNumberFormat="1">
      <alignment shrinkToFit="0" vertical="center" wrapText="1"/>
    </xf>
    <xf borderId="2" fillId="3" fontId="3" numFmtId="164" xfId="0" applyBorder="1" applyFont="1" applyNumberFormat="1"/>
    <xf borderId="3" fillId="4" fontId="9" numFmtId="49" xfId="0" applyAlignment="1" applyBorder="1" applyFont="1" applyNumberFormat="1">
      <alignment readingOrder="0" shrinkToFit="0" vertical="center" wrapText="1"/>
    </xf>
    <xf borderId="4" fillId="4" fontId="9" numFmtId="49" xfId="0" applyAlignment="1" applyBorder="1" applyFont="1" applyNumberFormat="1">
      <alignment shrinkToFit="0" vertical="center" wrapText="1"/>
    </xf>
    <xf borderId="3" fillId="4" fontId="9" numFmtId="49" xfId="0" applyAlignment="1" applyBorder="1" applyFont="1" applyNumberFormat="1">
      <alignment shrinkToFit="0" vertical="center" wrapText="1"/>
    </xf>
    <xf borderId="5" fillId="4" fontId="9" numFmtId="49" xfId="0" applyAlignment="1" applyBorder="1" applyFont="1" applyNumberFormat="1">
      <alignment vertical="center"/>
    </xf>
    <xf borderId="4" fillId="4" fontId="9" numFmtId="49" xfId="0" applyAlignment="1" applyBorder="1" applyFont="1" applyNumberFormat="1">
      <alignment vertical="center"/>
    </xf>
    <xf borderId="1" fillId="3" fontId="9" numFmtId="164" xfId="0" applyAlignment="1" applyBorder="1" applyFont="1" applyNumberFormat="1">
      <alignment horizontal="center" vertical="center"/>
    </xf>
    <xf borderId="1" fillId="3" fontId="9" numFmtId="164" xfId="0" applyAlignment="1" applyBorder="1" applyFont="1" applyNumberFormat="1">
      <alignment shrinkToFit="0" vertical="center" wrapText="1"/>
    </xf>
    <xf borderId="3" fillId="4" fontId="9" numFmtId="49" xfId="0" applyAlignment="1" applyBorder="1" applyFont="1" applyNumberFormat="1">
      <alignment readingOrder="0" shrinkToFit="0" vertical="top" wrapText="1"/>
    </xf>
    <xf borderId="4" fillId="4" fontId="9" numFmtId="49" xfId="0" applyAlignment="1" applyBorder="1" applyFont="1" applyNumberFormat="1">
      <alignment vertical="top"/>
    </xf>
    <xf borderId="1" fillId="4" fontId="9" numFmtId="49" xfId="0" applyAlignment="1" applyBorder="1" applyFont="1" applyNumberFormat="1">
      <alignment readingOrder="0" shrinkToFit="0" vertical="center" wrapText="1"/>
    </xf>
    <xf borderId="1" fillId="5" fontId="8" numFmtId="164" xfId="0" applyAlignment="1" applyBorder="1" applyFill="1" applyFont="1" applyNumberFormat="1">
      <alignment horizontal="center" vertical="center"/>
    </xf>
    <xf borderId="1" fillId="5" fontId="8" numFmtId="164" xfId="0" applyAlignment="1" applyBorder="1" applyFont="1" applyNumberFormat="1">
      <alignment shrinkToFit="0" vertical="center" wrapText="1"/>
    </xf>
    <xf borderId="1" fillId="5" fontId="9" numFmtId="164" xfId="0" applyAlignment="1" applyBorder="1" applyFont="1" applyNumberFormat="1">
      <alignment vertical="center"/>
    </xf>
    <xf borderId="1" fillId="5" fontId="9" numFmtId="49" xfId="0" applyAlignment="1" applyBorder="1" applyFont="1" applyNumberFormat="1">
      <alignment readingOrder="0" shrinkToFit="0" vertical="center" wrapText="1"/>
    </xf>
    <xf borderId="1" fillId="2" fontId="3" numFmtId="164" xfId="0" applyBorder="1" applyFont="1" applyNumberFormat="1"/>
    <xf quotePrefix="1" borderId="3" fillId="2" fontId="10" numFmtId="0" xfId="0" applyAlignment="1" applyBorder="1" applyFont="1">
      <alignment readingOrder="0" vertical="center"/>
    </xf>
    <xf quotePrefix="1" borderId="3" fillId="2" fontId="10" numFmtId="164" xfId="0" applyAlignment="1" applyBorder="1" applyFont="1" applyNumberFormat="1">
      <alignment vertical="center"/>
    </xf>
    <xf borderId="1" fillId="0" fontId="11" numFmtId="164" xfId="0" applyBorder="1" applyFont="1" applyNumberFormat="1"/>
    <xf borderId="1" fillId="3" fontId="6" numFmtId="164" xfId="0" applyAlignment="1" applyBorder="1" applyFont="1" applyNumberFormat="1">
      <alignment horizontal="center" vertical="center"/>
    </xf>
    <xf borderId="1" fillId="3" fontId="6" numFmtId="164" xfId="0" applyAlignment="1" applyBorder="1" applyFont="1" applyNumberFormat="1">
      <alignment shrinkToFit="0" vertical="center" wrapText="1"/>
    </xf>
    <xf borderId="1" fillId="6" fontId="8" numFmtId="164" xfId="0" applyAlignment="1" applyBorder="1" applyFill="1" applyFont="1" applyNumberFormat="1">
      <alignment horizontal="center" vertical="center"/>
    </xf>
    <xf borderId="1" fillId="6" fontId="8" numFmtId="164" xfId="0" applyAlignment="1" applyBorder="1" applyFont="1" applyNumberFormat="1">
      <alignment shrinkToFit="0" vertical="center" wrapText="1"/>
    </xf>
    <xf borderId="3" fillId="6" fontId="9" numFmtId="49" xfId="0" applyAlignment="1" applyBorder="1" applyFont="1" applyNumberFormat="1">
      <alignment readingOrder="0" shrinkToFit="0" vertical="top" wrapText="1"/>
    </xf>
    <xf borderId="1" fillId="6" fontId="9" numFmtId="164" xfId="0" applyAlignment="1" applyBorder="1" applyFont="1" applyNumberFormat="1">
      <alignment vertical="center"/>
    </xf>
    <xf quotePrefix="1" borderId="3" fillId="6" fontId="7" numFmtId="164" xfId="0" applyAlignment="1" applyBorder="1" applyFont="1" applyNumberFormat="1">
      <alignment vertical="center"/>
    </xf>
    <xf borderId="1" fillId="6" fontId="3" numFmtId="164" xfId="0" applyBorder="1" applyFont="1" applyNumberFormat="1"/>
    <xf borderId="2" fillId="6" fontId="3" numFmtId="164" xfId="0" applyBorder="1" applyFont="1" applyNumberFormat="1"/>
    <xf borderId="1" fillId="3" fontId="9" numFmtId="164" xfId="0" applyAlignment="1" applyBorder="1" applyFont="1" applyNumberFormat="1">
      <alignment readingOrder="0" shrinkToFit="0" vertical="center" wrapText="1"/>
    </xf>
    <xf quotePrefix="1" borderId="3" fillId="4" fontId="7" numFmtId="164" xfId="0" applyAlignment="1" applyBorder="1" applyFont="1" applyNumberFormat="1">
      <alignment vertical="center"/>
    </xf>
    <xf borderId="3" fillId="4" fontId="9" numFmtId="164" xfId="0" applyAlignment="1" applyBorder="1" applyFont="1" applyNumberFormat="1">
      <alignment readingOrder="0" shrinkToFit="0" vertical="center" wrapText="1"/>
    </xf>
    <xf borderId="3" fillId="4" fontId="9" numFmtId="164" xfId="0" applyAlignment="1" applyBorder="1" applyFont="1" applyNumberFormat="1">
      <alignment shrinkToFit="0" vertical="center" wrapText="1"/>
    </xf>
    <xf borderId="5" fillId="4" fontId="9" numFmtId="164" xfId="0" applyAlignment="1" applyBorder="1" applyFont="1" applyNumberFormat="1">
      <alignment vertical="center"/>
    </xf>
    <xf borderId="4" fillId="4" fontId="9" numFmtId="164" xfId="0" applyAlignment="1" applyBorder="1" applyFont="1" applyNumberFormat="1">
      <alignment vertical="center"/>
    </xf>
    <xf borderId="5" fillId="4" fontId="9" numFmtId="49" xfId="0" applyAlignment="1" applyBorder="1" applyFont="1" applyNumberFormat="1">
      <alignment shrinkToFit="0" vertical="center" wrapText="1"/>
    </xf>
    <xf quotePrefix="1" borderId="1" fillId="4" fontId="9" numFmtId="49" xfId="0" applyAlignment="1" applyBorder="1" applyFont="1" applyNumberFormat="1">
      <alignment readingOrder="0" shrinkToFit="0" vertical="center" wrapText="1"/>
    </xf>
    <xf borderId="1" fillId="5" fontId="9" numFmtId="164" xfId="0" applyAlignment="1" applyBorder="1" applyFont="1" applyNumberFormat="1">
      <alignment horizontal="center" vertical="center"/>
    </xf>
    <xf borderId="1" fillId="5" fontId="9" numFmtId="164" xfId="0" applyAlignment="1" applyBorder="1" applyFont="1" applyNumberFormat="1">
      <alignment shrinkToFit="0" vertical="center" wrapText="1"/>
    </xf>
    <xf borderId="1" fillId="2" fontId="3" numFmtId="164" xfId="0" applyAlignment="1" applyBorder="1" applyFont="1" applyNumberFormat="1">
      <alignment horizontal="center" vertical="center"/>
    </xf>
    <xf borderId="2" fillId="2" fontId="3" numFmtId="164" xfId="0" applyBorder="1" applyFont="1" applyNumberFormat="1"/>
    <xf borderId="1" fillId="0" fontId="7" numFmtId="164" xfId="0" applyAlignment="1" applyBorder="1" applyFont="1" applyNumberFormat="1">
      <alignment horizontal="center" vertical="center"/>
    </xf>
    <xf borderId="1" fillId="0" fontId="7" numFmtId="164" xfId="0" applyAlignment="1" applyBorder="1" applyFont="1" applyNumberFormat="1">
      <alignment shrinkToFit="0" vertical="center" wrapText="1"/>
    </xf>
    <xf quotePrefix="1" borderId="1" fillId="2" fontId="10" numFmtId="0" xfId="0" applyAlignment="1" applyBorder="1" applyFont="1">
      <alignment readingOrder="0" vertical="center"/>
    </xf>
    <xf borderId="0" fillId="0" fontId="11" numFmtId="164" xfId="0" applyFont="1" applyNumberFormat="1"/>
    <xf borderId="1" fillId="0" fontId="9" numFmtId="164" xfId="0" applyAlignment="1" applyBorder="1" applyFont="1" applyNumberFormat="1">
      <alignment horizontal="center" vertical="center"/>
    </xf>
    <xf borderId="1" fillId="7" fontId="7" numFmtId="164" xfId="0" applyAlignment="1" applyBorder="1" applyFill="1" applyFont="1" applyNumberFormat="1">
      <alignment shrinkToFit="0" vertical="center" wrapText="1"/>
    </xf>
    <xf quotePrefix="1" borderId="3" fillId="2" fontId="12" numFmtId="0" xfId="0" applyAlignment="1" applyBorder="1" applyFont="1">
      <alignment readingOrder="0" vertical="center"/>
    </xf>
    <xf borderId="1" fillId="0" fontId="9" numFmtId="164" xfId="0" applyAlignment="1" applyBorder="1" applyFont="1" applyNumberFormat="1">
      <alignment horizontal="center" shrinkToFit="0" vertical="center" wrapText="1"/>
    </xf>
    <xf borderId="3" fillId="2" fontId="12" numFmtId="164" xfId="0" applyAlignment="1" applyBorder="1" applyFont="1" applyNumberFormat="1">
      <alignment vertical="center"/>
    </xf>
    <xf borderId="5" fillId="2" fontId="12" numFmtId="164" xfId="0" applyAlignment="1" applyBorder="1" applyFont="1" applyNumberFormat="1">
      <alignment vertical="center"/>
    </xf>
    <xf borderId="4" fillId="2" fontId="12" numFmtId="164" xfId="0" applyAlignment="1" applyBorder="1" applyFont="1" applyNumberFormat="1">
      <alignment vertical="center"/>
    </xf>
    <xf borderId="1" fillId="2" fontId="12" numFmtId="164" xfId="0" applyAlignment="1" applyBorder="1" applyFont="1" applyNumberFormat="1">
      <alignment vertical="center"/>
    </xf>
    <xf borderId="1" fillId="0" fontId="7" numFmtId="164" xfId="0" applyAlignment="1" applyBorder="1" applyFont="1" applyNumberFormat="1">
      <alignment horizontal="center" shrinkToFit="0" vertical="center" wrapText="1"/>
    </xf>
    <xf quotePrefix="1" borderId="3" fillId="2" fontId="12" numFmtId="164" xfId="0" applyAlignment="1" applyBorder="1" applyFont="1" applyNumberFormat="1">
      <alignment vertical="center"/>
    </xf>
    <xf borderId="1" fillId="4" fontId="8" numFmtId="164" xfId="0" applyAlignment="1" applyBorder="1" applyFont="1" applyNumberFormat="1">
      <alignment horizontal="center" shrinkToFit="0" vertical="center" wrapText="1"/>
    </xf>
    <xf quotePrefix="1" borderId="5" fillId="2" fontId="12" numFmtId="0" xfId="0" applyAlignment="1" applyBorder="1" applyFont="1">
      <alignment readingOrder="0" vertical="center"/>
    </xf>
    <xf borderId="1" fillId="0" fontId="11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left"/>
    </xf>
    <xf borderId="1" fillId="8" fontId="3" numFmtId="165" xfId="0" applyAlignment="1" applyBorder="1" applyFill="1" applyFont="1" applyNumberFormat="1">
      <alignment horizontal="center"/>
    </xf>
    <xf borderId="1" fillId="8" fontId="3" numFmtId="165" xfId="0" applyBorder="1" applyFont="1" applyNumberFormat="1"/>
    <xf borderId="1" fillId="0" fontId="3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shrinkToFit="0" wrapText="1"/>
    </xf>
    <xf quotePrefix="1" borderId="1" fillId="2" fontId="13" numFmtId="0" xfId="0" applyAlignment="1" applyBorder="1" applyFont="1">
      <alignment readingOrder="0"/>
    </xf>
    <xf borderId="1" fillId="2" fontId="13" numFmtId="164" xfId="0" applyBorder="1" applyFont="1" applyNumberFormat="1"/>
    <xf quotePrefix="1" borderId="1" fillId="0" fontId="3" numFmtId="164" xfId="0" applyBorder="1" applyFont="1" applyNumberFormat="1"/>
    <xf borderId="1" fillId="2" fontId="3" numFmtId="165" xfId="0" applyBorder="1" applyFont="1" applyNumberFormat="1"/>
    <xf quotePrefix="1" borderId="1" fillId="2" fontId="3" numFmtId="0" xfId="0" applyAlignment="1" applyBorder="1" applyFont="1">
      <alignment readingOrder="0"/>
    </xf>
    <xf quotePrefix="1" borderId="1" fillId="0" fontId="3" numFmtId="0" xfId="0" applyAlignment="1" applyBorder="1" applyFont="1">
      <alignment readingOrder="0"/>
    </xf>
    <xf borderId="1" fillId="9" fontId="3" numFmtId="164" xfId="0" applyBorder="1" applyFill="1" applyFont="1" applyNumberFormat="1"/>
    <xf borderId="6" fillId="9" fontId="3" numFmtId="164" xfId="0" applyAlignment="1" applyBorder="1" applyFont="1" applyNumberFormat="1">
      <alignment horizontal="center"/>
    </xf>
    <xf borderId="7" fillId="0" fontId="14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quotePrefix="1" borderId="1" fillId="2" fontId="15" numFmtId="0" xfId="0" applyAlignment="1" applyBorder="1" applyFont="1">
      <alignment horizontal="center" readingOrder="0" shrinkToFit="0" vertical="center" wrapText="1"/>
    </xf>
    <xf borderId="0" fillId="0" fontId="3" numFmtId="9" xfId="0" applyFont="1" applyNumberFormat="1"/>
    <xf borderId="1" fillId="0" fontId="16" numFmtId="164" xfId="0" applyAlignment="1" applyBorder="1" applyFont="1" applyNumberFormat="1">
      <alignment horizontal="center" shrinkToFit="0" vertical="center" wrapText="1"/>
    </xf>
    <xf borderId="0" fillId="0" fontId="5" numFmtId="164" xfId="0" applyFont="1" applyNumberFormat="1"/>
    <xf quotePrefix="1" borderId="0" fillId="0" fontId="3" numFmtId="164" xfId="0" applyAlignment="1" applyFont="1" applyNumberFormat="1">
      <alignment vertical="center"/>
    </xf>
    <xf borderId="0" fillId="0" fontId="11" numFmtId="164" xfId="0" applyAlignment="1" applyFont="1" applyNumberFormat="1">
      <alignment horizontal="center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0" fillId="10" fontId="17" numFmtId="164" xfId="0" applyAlignment="1" applyFill="1" applyFont="1" applyNumberFormat="1">
      <alignment readingOrder="0"/>
    </xf>
    <xf borderId="1" fillId="4" fontId="9" numFmtId="49" xfId="0" applyAlignment="1" applyBorder="1" applyFont="1" applyNumberFormat="1">
      <alignment shrinkToFit="0" vertical="center" wrapText="1"/>
    </xf>
    <xf borderId="1" fillId="4" fontId="9" numFmtId="49" xfId="0" applyAlignment="1" applyBorder="1" applyFont="1" applyNumberFormat="1">
      <alignment vertical="center"/>
    </xf>
    <xf borderId="1" fillId="4" fontId="9" numFmtId="49" xfId="0" applyAlignment="1" applyBorder="1" applyFont="1" applyNumberFormat="1">
      <alignment vertical="top"/>
    </xf>
    <xf borderId="1" fillId="5" fontId="9" numFmtId="49" xfId="0" applyAlignment="1" applyBorder="1" applyFont="1" applyNumberFormat="1">
      <alignment shrinkToFit="0" vertical="center" wrapText="1"/>
    </xf>
    <xf borderId="1" fillId="4" fontId="9" numFmtId="164" xfId="0" applyAlignment="1" applyBorder="1" applyFont="1" applyNumberFormat="1">
      <alignment shrinkToFit="0" vertical="center" wrapText="1"/>
    </xf>
    <xf quotePrefix="1" borderId="1" fillId="5" fontId="9" numFmtId="0" xfId="0" applyAlignment="1" applyBorder="1" applyFont="1">
      <alignment readingOrder="0" vertical="center"/>
    </xf>
    <xf borderId="1" fillId="11" fontId="7" numFmtId="164" xfId="0" applyAlignment="1" applyBorder="1" applyFill="1" applyFont="1" applyNumberFormat="1">
      <alignment horizontal="center" shrinkToFit="0" vertical="center" wrapText="1"/>
    </xf>
    <xf borderId="1" fillId="11" fontId="7" numFmtId="164" xfId="0" applyAlignment="1" applyBorder="1" applyFont="1" applyNumberFormat="1">
      <alignment shrinkToFit="0" vertical="center" wrapText="1"/>
    </xf>
    <xf borderId="0" fillId="11" fontId="3" numFmtId="164" xfId="0" applyFont="1" applyNumberFormat="1"/>
    <xf borderId="1" fillId="11" fontId="8" numFmtId="164" xfId="0" applyAlignment="1" applyBorder="1" applyFont="1" applyNumberFormat="1">
      <alignment horizontal="center" shrinkToFit="0" vertical="center" wrapText="1"/>
    </xf>
    <xf borderId="1" fillId="11" fontId="6" numFmtId="164" xfId="0" applyAlignment="1" applyBorder="1" applyFont="1" applyNumberFormat="1">
      <alignment shrinkToFit="0" vertical="center" wrapText="1"/>
    </xf>
    <xf borderId="0" fillId="11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Documents%20and%20Settings\cnhn\Local%20Settings\Temporary%20Internet%20Files\Content.IE5\RB55PX9I\SaoLuu\O%20C\Accouthp\CTMT\HLC\tha\Tai%20Chinh-%20QT-Halang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QLRRTT/01.%20B&#225;o%20c&#225;o/06.B&#225;o%20c&#225;o%20c&#225;c%20m&#7843;ng%20r&#7911;i%20ro/02.%20RRTK/URD/File%20t&#237;nh%20RRLSTSNH%20l&#224;m%20URD%20g&#7917;i%20CNT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Paramètres"/>
      <sheetName val="Options"/>
      <sheetName val="Tai Chinh- QT-H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C1"/>
      <sheetName val="URD"/>
      <sheetName val="LSTB"/>
      <sheetName val="CĐKT"/>
      <sheetName val="BCTC"/>
      <sheetName val="GL0204"/>
      <sheetName val="BS TOAN HANG"/>
      <sheetName val="REPO GTCG"/>
      <sheetName val="FILE CHUNG KHOAN"/>
      <sheetName val="CHUNG KHOAN"/>
      <sheetName val="CDTK-USD"/>
      <sheetName val="CDTK-VND"/>
      <sheetName val="MM-gui"/>
      <sheetName val="MM-vay"/>
      <sheetName val="LN"/>
      <sheetName val="FD"/>
      <sheetName val="PL6"/>
      <sheetName val="Sheet2"/>
      <sheetName val="GAP - KY HAN NGAN"/>
      <sheetName val="THE"/>
      <sheetName val="Sheet1"/>
      <sheetName val="GAP - BAO CAO NG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5.43"/>
    <col customWidth="1" min="3" max="21" width="35.43"/>
    <col customWidth="1" min="22" max="22" width="42.0"/>
    <col customWidth="1" min="23" max="23" width="42.14"/>
    <col customWidth="1" min="24" max="24" width="24.43"/>
    <col customWidth="1" hidden="1" min="25" max="25" width="27.71"/>
    <col customWidth="1" hidden="1" min="26" max="26" width="25.86"/>
    <col customWidth="1" min="27" max="31" width="9.14"/>
  </cols>
  <sheetData>
    <row r="1">
      <c r="A1" s="1"/>
      <c r="B1" s="2" t="s">
        <v>0</v>
      </c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7.0" customHeight="1">
      <c r="A2" s="3"/>
      <c r="B2" s="3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/>
      <c r="Y2" s="3"/>
      <c r="Z2" s="3"/>
      <c r="AA2" s="3"/>
      <c r="AB2" s="3"/>
      <c r="AC2" s="3"/>
      <c r="AD2" s="3"/>
      <c r="AE2" s="3"/>
    </row>
    <row r="3">
      <c r="A3" s="4"/>
      <c r="B3" s="4"/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  <c r="S3" s="4" t="s">
        <v>38</v>
      </c>
      <c r="T3" s="4" t="s">
        <v>39</v>
      </c>
      <c r="U3" s="4" t="s">
        <v>40</v>
      </c>
      <c r="V3" s="4" t="s">
        <v>41</v>
      </c>
      <c r="W3" s="4" t="s">
        <v>42</v>
      </c>
      <c r="X3" s="4" t="s">
        <v>43</v>
      </c>
      <c r="Y3" s="5" t="s">
        <v>44</v>
      </c>
      <c r="Z3" s="5" t="s">
        <v>45</v>
      </c>
      <c r="AA3" s="3"/>
      <c r="AB3" s="3"/>
      <c r="AC3" s="3"/>
      <c r="AD3" s="6"/>
      <c r="AE3" s="6"/>
    </row>
    <row r="4">
      <c r="A4" s="7"/>
      <c r="B4" s="8" t="s">
        <v>46</v>
      </c>
      <c r="C4" s="9"/>
      <c r="D4" s="10"/>
      <c r="E4" s="10"/>
      <c r="F4" s="10"/>
      <c r="G4" s="10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2"/>
      <c r="V4" s="10"/>
      <c r="W4" s="10"/>
      <c r="X4" s="10"/>
      <c r="Y4" s="13"/>
      <c r="Z4" s="13"/>
      <c r="AA4" s="3"/>
      <c r="AB4" s="3"/>
      <c r="AC4" s="3"/>
      <c r="AD4" s="6"/>
      <c r="AE4" s="6"/>
    </row>
    <row r="5">
      <c r="A5" s="14" t="s">
        <v>9</v>
      </c>
      <c r="B5" s="15" t="s">
        <v>47</v>
      </c>
      <c r="C5" s="16"/>
      <c r="D5" s="16"/>
      <c r="E5" s="17"/>
      <c r="F5" s="16"/>
      <c r="G5" s="16"/>
      <c r="H5" s="17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8" t="s">
        <v>48</v>
      </c>
      <c r="X5" s="19" t="s">
        <v>49</v>
      </c>
      <c r="Y5" s="20">
        <v>1.65652933555E11</v>
      </c>
      <c r="Z5" s="13">
        <v>0.0</v>
      </c>
      <c r="AA5" s="3"/>
      <c r="AB5" s="3"/>
      <c r="AC5" s="3"/>
      <c r="AD5" s="3"/>
      <c r="AE5" s="3"/>
    </row>
    <row r="6">
      <c r="A6" s="21" t="s">
        <v>50</v>
      </c>
      <c r="B6" s="22" t="s">
        <v>51</v>
      </c>
      <c r="C6" s="3"/>
      <c r="D6" s="3"/>
      <c r="E6" s="17"/>
      <c r="F6" s="16"/>
      <c r="G6" s="16"/>
      <c r="H6" s="17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8" t="s">
        <v>52</v>
      </c>
      <c r="X6" s="19" t="s">
        <v>53</v>
      </c>
      <c r="Y6" s="13">
        <v>5.98548848148E11</v>
      </c>
      <c r="Z6" s="13">
        <v>0.0</v>
      </c>
      <c r="AA6" s="23"/>
      <c r="AB6" s="23"/>
      <c r="AC6" s="23"/>
      <c r="AD6" s="23"/>
      <c r="AE6" s="23"/>
    </row>
    <row r="7" ht="221.25" customHeight="1">
      <c r="A7" s="21" t="s">
        <v>54</v>
      </c>
      <c r="B7" s="22" t="s">
        <v>55</v>
      </c>
      <c r="C7" s="24" t="s">
        <v>56</v>
      </c>
      <c r="D7" s="24" t="s">
        <v>57</v>
      </c>
      <c r="E7" s="24" t="s">
        <v>58</v>
      </c>
      <c r="F7" s="24" t="s">
        <v>59</v>
      </c>
      <c r="G7" s="24" t="s">
        <v>60</v>
      </c>
      <c r="H7" s="24" t="s">
        <v>61</v>
      </c>
      <c r="I7" s="24" t="s">
        <v>62</v>
      </c>
      <c r="J7" s="24" t="s">
        <v>63</v>
      </c>
      <c r="K7" s="24" t="s">
        <v>64</v>
      </c>
      <c r="L7" s="24" t="s">
        <v>65</v>
      </c>
      <c r="M7" s="24" t="s">
        <v>66</v>
      </c>
      <c r="N7" s="24" t="s">
        <v>67</v>
      </c>
      <c r="O7" s="24" t="s">
        <v>68</v>
      </c>
      <c r="P7" s="24" t="s">
        <v>69</v>
      </c>
      <c r="Q7" s="24" t="s">
        <v>70</v>
      </c>
      <c r="R7" s="24" t="s">
        <v>71</v>
      </c>
      <c r="S7" s="24" t="s">
        <v>72</v>
      </c>
      <c r="T7" s="24" t="s">
        <v>73</v>
      </c>
      <c r="U7" s="24" t="s">
        <v>74</v>
      </c>
      <c r="V7" s="24" t="s">
        <v>75</v>
      </c>
      <c r="W7" s="25"/>
      <c r="X7" s="19" t="s">
        <v>76</v>
      </c>
      <c r="Y7" s="13">
        <v>8.83743153703E11</v>
      </c>
      <c r="Z7" s="13">
        <v>0.0</v>
      </c>
      <c r="AA7" s="23"/>
      <c r="AB7" s="23"/>
      <c r="AC7" s="23"/>
      <c r="AD7" s="23"/>
      <c r="AE7" s="23"/>
    </row>
    <row r="8" ht="66.0" customHeight="1">
      <c r="A8" s="21" t="s">
        <v>77</v>
      </c>
      <c r="B8" s="22" t="s">
        <v>78</v>
      </c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8"/>
      <c r="X8" s="19" t="s">
        <v>79</v>
      </c>
      <c r="Y8" s="13" t="b">
        <v>0</v>
      </c>
      <c r="Z8" s="13">
        <v>0.0</v>
      </c>
      <c r="AA8" s="23"/>
      <c r="AB8" s="23"/>
      <c r="AC8" s="23"/>
      <c r="AD8" s="23"/>
      <c r="AE8" s="23"/>
    </row>
    <row r="9" ht="63.0" customHeight="1">
      <c r="A9" s="21" t="s">
        <v>80</v>
      </c>
      <c r="B9" s="22" t="s">
        <v>81</v>
      </c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8"/>
      <c r="X9" s="19" t="s">
        <v>82</v>
      </c>
      <c r="Y9" s="13" t="b">
        <v>0</v>
      </c>
      <c r="Z9" s="13">
        <v>0.0</v>
      </c>
      <c r="AA9" s="23"/>
      <c r="AB9" s="23"/>
      <c r="AC9" s="23"/>
      <c r="AD9" s="23"/>
      <c r="AE9" s="23"/>
    </row>
    <row r="10" ht="147.0" customHeight="1">
      <c r="A10" s="29" t="s">
        <v>83</v>
      </c>
      <c r="B10" s="30" t="s">
        <v>84</v>
      </c>
      <c r="C10" s="31" t="s">
        <v>85</v>
      </c>
      <c r="D10" s="31" t="s">
        <v>86</v>
      </c>
      <c r="E10" s="31" t="s">
        <v>87</v>
      </c>
      <c r="F10" s="31" t="s">
        <v>88</v>
      </c>
      <c r="G10" s="31" t="s">
        <v>89</v>
      </c>
      <c r="H10" s="31" t="s">
        <v>90</v>
      </c>
      <c r="I10" s="31" t="s">
        <v>91</v>
      </c>
      <c r="J10" s="31" t="s">
        <v>92</v>
      </c>
      <c r="K10" s="31" t="s">
        <v>93</v>
      </c>
      <c r="L10" s="31" t="s">
        <v>94</v>
      </c>
      <c r="M10" s="31" t="s">
        <v>95</v>
      </c>
      <c r="N10" s="31" t="s">
        <v>96</v>
      </c>
      <c r="O10" s="31" t="s">
        <v>97</v>
      </c>
      <c r="P10" s="31" t="s">
        <v>98</v>
      </c>
      <c r="Q10" s="31" t="s">
        <v>99</v>
      </c>
      <c r="R10" s="31" t="s">
        <v>100</v>
      </c>
      <c r="S10" s="31" t="s">
        <v>101</v>
      </c>
      <c r="T10" s="31" t="s">
        <v>102</v>
      </c>
      <c r="U10" s="31" t="s">
        <v>103</v>
      </c>
      <c r="V10" s="31" t="s">
        <v>104</v>
      </c>
      <c r="W10" s="32"/>
      <c r="X10" s="19" t="s">
        <v>105</v>
      </c>
      <c r="Y10" s="13">
        <v>6.4790461824992E13</v>
      </c>
      <c r="Z10" s="13">
        <v>0.0</v>
      </c>
      <c r="AA10" s="23"/>
      <c r="AB10" s="23"/>
      <c r="AC10" s="23"/>
      <c r="AD10" s="23"/>
      <c r="AE10" s="23"/>
    </row>
    <row r="11" ht="135.75" customHeight="1">
      <c r="A11" s="21" t="s">
        <v>106</v>
      </c>
      <c r="B11" s="22" t="s">
        <v>107</v>
      </c>
      <c r="C11" s="26" t="s">
        <v>108</v>
      </c>
      <c r="D11" s="26" t="s">
        <v>109</v>
      </c>
      <c r="E11" s="26" t="s">
        <v>110</v>
      </c>
      <c r="F11" s="26" t="s">
        <v>111</v>
      </c>
      <c r="G11" s="26" t="s">
        <v>112</v>
      </c>
      <c r="H11" s="26" t="s">
        <v>113</v>
      </c>
      <c r="I11" s="26" t="s">
        <v>114</v>
      </c>
      <c r="J11" s="26" t="s">
        <v>115</v>
      </c>
      <c r="K11" s="26" t="s">
        <v>116</v>
      </c>
      <c r="L11" s="26" t="s">
        <v>117</v>
      </c>
      <c r="M11" s="26" t="s">
        <v>118</v>
      </c>
      <c r="N11" s="26" t="s">
        <v>119</v>
      </c>
      <c r="O11" s="26" t="s">
        <v>108</v>
      </c>
      <c r="P11" s="26" t="s">
        <v>108</v>
      </c>
      <c r="Q11" s="26" t="s">
        <v>108</v>
      </c>
      <c r="R11" s="26" t="s">
        <v>108</v>
      </c>
      <c r="S11" s="26" t="s">
        <v>120</v>
      </c>
      <c r="T11" s="26" t="s">
        <v>121</v>
      </c>
      <c r="U11" s="26" t="s">
        <v>122</v>
      </c>
      <c r="V11" s="26" t="s">
        <v>123</v>
      </c>
      <c r="W11" s="26" t="s">
        <v>124</v>
      </c>
      <c r="X11" s="19" t="s">
        <v>125</v>
      </c>
      <c r="Y11" s="13">
        <v>1.885809709421E12</v>
      </c>
      <c r="Z11" s="13">
        <v>0.0</v>
      </c>
      <c r="AA11" s="23"/>
      <c r="AB11" s="23"/>
      <c r="AC11" s="23"/>
      <c r="AD11" s="23"/>
      <c r="AE11" s="23"/>
    </row>
    <row r="12" ht="117.0" customHeight="1">
      <c r="A12" s="21" t="s">
        <v>126</v>
      </c>
      <c r="B12" s="22" t="s">
        <v>127</v>
      </c>
      <c r="C12" s="16"/>
      <c r="D12" s="16"/>
      <c r="E12" s="17"/>
      <c r="F12" s="16"/>
      <c r="G12" s="16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9" t="s">
        <v>128</v>
      </c>
      <c r="W12" s="18" t="s">
        <v>129</v>
      </c>
      <c r="X12" s="19" t="s">
        <v>130</v>
      </c>
      <c r="Y12" s="13">
        <v>9.35202755E11</v>
      </c>
      <c r="Z12" s="13">
        <v>0.0</v>
      </c>
      <c r="AA12" s="23"/>
      <c r="AB12" s="23"/>
      <c r="AC12" s="23"/>
      <c r="AD12" s="23"/>
      <c r="AE12" s="23"/>
    </row>
    <row r="13" ht="128.25" customHeight="1">
      <c r="A13" s="21" t="s">
        <v>131</v>
      </c>
      <c r="B13" s="22" t="s">
        <v>132</v>
      </c>
      <c r="C13" s="16"/>
      <c r="D13" s="16"/>
      <c r="E13" s="17"/>
      <c r="F13" s="16"/>
      <c r="G13" s="16"/>
      <c r="H13" s="1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8" t="s">
        <v>133</v>
      </c>
      <c r="X13" s="19" t="s">
        <v>134</v>
      </c>
      <c r="Y13" s="13">
        <v>1.77820390013E12</v>
      </c>
      <c r="Z13" s="13">
        <v>0.0</v>
      </c>
      <c r="AA13" s="23"/>
      <c r="AB13" s="23"/>
      <c r="AC13" s="23"/>
      <c r="AD13" s="23"/>
      <c r="AE13" s="23"/>
    </row>
    <row r="14" ht="303.75" customHeight="1">
      <c r="A14" s="21" t="s">
        <v>135</v>
      </c>
      <c r="B14" s="22" t="s">
        <v>136</v>
      </c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8"/>
      <c r="V14" s="33" t="s">
        <v>137</v>
      </c>
      <c r="W14" s="33" t="s">
        <v>138</v>
      </c>
      <c r="X14" s="19" t="s">
        <v>139</v>
      </c>
      <c r="Y14" s="13">
        <v>2.8726374077855E13</v>
      </c>
      <c r="Z14" s="13">
        <v>0.0</v>
      </c>
      <c r="AA14" s="23"/>
      <c r="AB14" s="23"/>
      <c r="AC14" s="23"/>
      <c r="AD14" s="23"/>
      <c r="AE14" s="23"/>
    </row>
    <row r="15" ht="264.75" customHeight="1">
      <c r="A15" s="34" t="s">
        <v>140</v>
      </c>
      <c r="B15" s="35" t="s">
        <v>141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7" t="s">
        <v>142</v>
      </c>
      <c r="W15" s="37" t="s">
        <v>143</v>
      </c>
      <c r="X15" s="36"/>
      <c r="Y15" s="38">
        <v>1.93187119648E11</v>
      </c>
      <c r="Z15" s="38">
        <v>0.0</v>
      </c>
      <c r="AA15" s="3"/>
      <c r="AB15" s="3"/>
      <c r="AC15" s="3"/>
      <c r="AD15" s="3"/>
      <c r="AE15" s="3"/>
    </row>
    <row r="16">
      <c r="A16" s="7"/>
      <c r="B16" s="8" t="s">
        <v>144</v>
      </c>
      <c r="C16" s="39" t="s">
        <v>145</v>
      </c>
      <c r="D16" s="39" t="s">
        <v>146</v>
      </c>
      <c r="E16" s="39" t="s">
        <v>147</v>
      </c>
      <c r="F16" s="39" t="s">
        <v>148</v>
      </c>
      <c r="G16" s="39" t="s">
        <v>149</v>
      </c>
      <c r="H16" s="39" t="s">
        <v>150</v>
      </c>
      <c r="I16" s="39" t="s">
        <v>151</v>
      </c>
      <c r="J16" s="39" t="s">
        <v>152</v>
      </c>
      <c r="K16" s="39" t="s">
        <v>153</v>
      </c>
      <c r="L16" s="39" t="s">
        <v>154</v>
      </c>
      <c r="M16" s="39" t="s">
        <v>155</v>
      </c>
      <c r="N16" s="39" t="s">
        <v>156</v>
      </c>
      <c r="O16" s="39" t="s">
        <v>157</v>
      </c>
      <c r="P16" s="39" t="s">
        <v>158</v>
      </c>
      <c r="Q16" s="39" t="s">
        <v>159</v>
      </c>
      <c r="R16" s="39" t="s">
        <v>160</v>
      </c>
      <c r="S16" s="39" t="s">
        <v>161</v>
      </c>
      <c r="T16" s="39" t="s">
        <v>162</v>
      </c>
      <c r="U16" s="39" t="s">
        <v>163</v>
      </c>
      <c r="V16" s="39" t="s">
        <v>164</v>
      </c>
      <c r="W16" s="39" t="s">
        <v>165</v>
      </c>
      <c r="X16" s="40" t="s">
        <v>166</v>
      </c>
      <c r="Y16" s="10">
        <v>9.9763997202804E13</v>
      </c>
      <c r="Z16" s="41">
        <v>0.0</v>
      </c>
      <c r="AA16" s="3"/>
      <c r="AB16" s="3"/>
      <c r="AC16" s="3"/>
      <c r="AD16" s="3"/>
      <c r="AE16" s="3"/>
    </row>
    <row r="17" ht="48.0" customHeight="1">
      <c r="A17" s="42"/>
      <c r="B17" s="43" t="s">
        <v>167</v>
      </c>
      <c r="C17" s="16"/>
      <c r="D17" s="16"/>
      <c r="E17" s="17"/>
      <c r="F17" s="16"/>
      <c r="G17" s="16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3"/>
      <c r="Z17" s="13"/>
      <c r="AA17" s="23"/>
      <c r="AB17" s="23"/>
      <c r="AC17" s="23"/>
      <c r="AD17" s="23"/>
      <c r="AE17" s="23"/>
    </row>
    <row r="18" ht="287.25" customHeight="1">
      <c r="A18" s="44" t="s">
        <v>9</v>
      </c>
      <c r="B18" s="45" t="s">
        <v>168</v>
      </c>
      <c r="C18" s="46" t="s">
        <v>169</v>
      </c>
      <c r="D18" s="46" t="s">
        <v>170</v>
      </c>
      <c r="E18" s="46" t="s">
        <v>171</v>
      </c>
      <c r="F18" s="46" t="s">
        <v>172</v>
      </c>
      <c r="G18" s="46" t="s">
        <v>173</v>
      </c>
      <c r="H18" s="46" t="s">
        <v>174</v>
      </c>
      <c r="I18" s="46" t="s">
        <v>175</v>
      </c>
      <c r="J18" s="46" t="s">
        <v>176</v>
      </c>
      <c r="K18" s="46" t="s">
        <v>177</v>
      </c>
      <c r="L18" s="46" t="s">
        <v>178</v>
      </c>
      <c r="M18" s="46" t="s">
        <v>179</v>
      </c>
      <c r="N18" s="46" t="s">
        <v>180</v>
      </c>
      <c r="O18" s="46" t="s">
        <v>181</v>
      </c>
      <c r="P18" s="46" t="s">
        <v>182</v>
      </c>
      <c r="Q18" s="46" t="s">
        <v>183</v>
      </c>
      <c r="R18" s="46" t="s">
        <v>184</v>
      </c>
      <c r="S18" s="46" t="s">
        <v>185</v>
      </c>
      <c r="T18" s="46" t="s">
        <v>186</v>
      </c>
      <c r="U18" s="46" t="s">
        <v>187</v>
      </c>
      <c r="V18" s="46" t="s">
        <v>188</v>
      </c>
      <c r="W18" s="47"/>
      <c r="X18" s="48" t="s">
        <v>189</v>
      </c>
      <c r="Y18" s="49">
        <v>5.5100900439667E13</v>
      </c>
      <c r="Z18" s="49">
        <v>0.0</v>
      </c>
      <c r="AA18" s="50"/>
      <c r="AB18" s="50"/>
      <c r="AC18" s="50"/>
      <c r="AD18" s="50"/>
      <c r="AE18" s="50"/>
    </row>
    <row r="19" ht="42.75" customHeight="1">
      <c r="A19" s="29" t="s">
        <v>50</v>
      </c>
      <c r="B19" s="30" t="s">
        <v>190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>
        <v>0.0</v>
      </c>
      <c r="X19" s="16"/>
      <c r="Y19" s="13">
        <v>4.9251624354353E13</v>
      </c>
      <c r="Z19" s="13">
        <v>0.0</v>
      </c>
      <c r="AA19" s="23"/>
      <c r="AB19" s="23"/>
      <c r="AC19" s="23"/>
      <c r="AD19" s="23"/>
      <c r="AE19" s="23"/>
    </row>
    <row r="20" ht="108.0" customHeight="1">
      <c r="A20" s="29" t="s">
        <v>191</v>
      </c>
      <c r="B20" s="30" t="s">
        <v>192</v>
      </c>
      <c r="C20" s="51" t="s">
        <v>193</v>
      </c>
      <c r="D20" s="16"/>
      <c r="E20" s="17"/>
      <c r="F20" s="16"/>
      <c r="G20" s="17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3"/>
      <c r="X20" s="52" t="s">
        <v>194</v>
      </c>
      <c r="Y20" s="13"/>
      <c r="Z20" s="13"/>
      <c r="AA20" s="23"/>
      <c r="AB20" s="23"/>
      <c r="AC20" s="23"/>
      <c r="AD20" s="23"/>
      <c r="AE20" s="23"/>
    </row>
    <row r="21" ht="106.5" customHeight="1">
      <c r="A21" s="29" t="s">
        <v>191</v>
      </c>
      <c r="B21" s="30" t="s">
        <v>195</v>
      </c>
      <c r="C21" s="53" t="s">
        <v>196</v>
      </c>
      <c r="D21" s="53" t="s">
        <v>197</v>
      </c>
      <c r="E21" s="53" t="s">
        <v>198</v>
      </c>
      <c r="F21" s="53" t="s">
        <v>199</v>
      </c>
      <c r="G21" s="53" t="s">
        <v>200</v>
      </c>
      <c r="H21" s="53" t="s">
        <v>201</v>
      </c>
      <c r="I21" s="53" t="s">
        <v>202</v>
      </c>
      <c r="J21" s="53" t="s">
        <v>203</v>
      </c>
      <c r="K21" s="53" t="s">
        <v>204</v>
      </c>
      <c r="L21" s="53" t="s">
        <v>205</v>
      </c>
      <c r="M21" s="53" t="s">
        <v>206</v>
      </c>
      <c r="N21" s="53" t="s">
        <v>207</v>
      </c>
      <c r="O21" s="53" t="s">
        <v>208</v>
      </c>
      <c r="P21" s="53" t="s">
        <v>209</v>
      </c>
      <c r="Q21" s="53" t="s">
        <v>210</v>
      </c>
      <c r="R21" s="53" t="s">
        <v>211</v>
      </c>
      <c r="S21" s="53" t="s">
        <v>212</v>
      </c>
      <c r="T21" s="53" t="s">
        <v>213</v>
      </c>
      <c r="U21" s="53" t="s">
        <v>214</v>
      </c>
      <c r="V21" s="53" t="s">
        <v>215</v>
      </c>
      <c r="W21" s="16"/>
      <c r="X21" s="52" t="s">
        <v>216</v>
      </c>
      <c r="Y21" s="13"/>
      <c r="Z21" s="13"/>
      <c r="AA21" s="23"/>
      <c r="AB21" s="23"/>
      <c r="AC21" s="23"/>
      <c r="AD21" s="23"/>
      <c r="AE21" s="23"/>
    </row>
    <row r="22" ht="38.25" customHeight="1">
      <c r="A22" s="29" t="s">
        <v>54</v>
      </c>
      <c r="B22" s="30" t="s">
        <v>217</v>
      </c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/>
      <c r="V22" s="16"/>
      <c r="W22" s="16"/>
      <c r="X22" s="52" t="s">
        <v>218</v>
      </c>
      <c r="Y22" s="13" t="s">
        <v>219</v>
      </c>
      <c r="Z22" s="13">
        <v>0.0</v>
      </c>
      <c r="AA22" s="23"/>
      <c r="AB22" s="23"/>
      <c r="AC22" s="23"/>
      <c r="AD22" s="23"/>
      <c r="AE22" s="23"/>
    </row>
    <row r="23" ht="41.25" customHeight="1">
      <c r="A23" s="29" t="s">
        <v>77</v>
      </c>
      <c r="B23" s="30" t="s">
        <v>220</v>
      </c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8"/>
      <c r="V23" s="16"/>
      <c r="W23" s="16"/>
      <c r="X23" s="52" t="s">
        <v>221</v>
      </c>
      <c r="Y23" s="13" t="s">
        <v>219</v>
      </c>
      <c r="Z23" s="13">
        <v>0.0</v>
      </c>
      <c r="AA23" s="23"/>
      <c r="AB23" s="23"/>
      <c r="AC23" s="23"/>
      <c r="AD23" s="23"/>
      <c r="AE23" s="23"/>
    </row>
    <row r="24" ht="57.0" customHeight="1">
      <c r="A24" s="29" t="s">
        <v>80</v>
      </c>
      <c r="B24" s="30" t="s">
        <v>222</v>
      </c>
      <c r="C24" s="2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25"/>
      <c r="V24" s="16"/>
      <c r="W24" s="16"/>
      <c r="X24" s="52" t="s">
        <v>223</v>
      </c>
      <c r="Y24" s="13" t="s">
        <v>219</v>
      </c>
      <c r="Z24" s="13">
        <v>0.0</v>
      </c>
      <c r="AA24" s="23"/>
      <c r="AB24" s="23"/>
      <c r="AC24" s="23"/>
      <c r="AD24" s="23"/>
      <c r="AE24" s="23"/>
    </row>
    <row r="25" ht="310.5" customHeight="1">
      <c r="A25" s="29" t="s">
        <v>83</v>
      </c>
      <c r="B25" s="30" t="s">
        <v>224</v>
      </c>
      <c r="C25" s="16"/>
      <c r="D25" s="16"/>
      <c r="E25" s="16"/>
      <c r="F25" s="16"/>
      <c r="G25" s="16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33" t="s">
        <v>225</v>
      </c>
      <c r="W25" s="58" t="s">
        <v>226</v>
      </c>
      <c r="X25" s="52" t="s">
        <v>227</v>
      </c>
      <c r="Y25" s="13">
        <v>1.4220386364813E13</v>
      </c>
      <c r="Z25" s="13">
        <v>0.0</v>
      </c>
      <c r="AA25" s="23"/>
      <c r="AB25" s="23"/>
      <c r="AC25" s="23"/>
      <c r="AD25" s="23"/>
      <c r="AE25" s="23"/>
    </row>
    <row r="26" ht="300.0" customHeight="1">
      <c r="A26" s="59" t="s">
        <v>106</v>
      </c>
      <c r="B26" s="60" t="s">
        <v>228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7" t="s">
        <v>229</v>
      </c>
      <c r="W26" s="37" t="s">
        <v>230</v>
      </c>
      <c r="X26" s="36"/>
      <c r="Y26" s="61">
        <v>3.094257093473E12</v>
      </c>
      <c r="Z26" s="38">
        <v>0.0</v>
      </c>
      <c r="AA26" s="62"/>
      <c r="AB26" s="62"/>
      <c r="AC26" s="62"/>
      <c r="AD26" s="62"/>
      <c r="AE26" s="62"/>
    </row>
    <row r="27" ht="15.75" customHeight="1">
      <c r="A27" s="63"/>
      <c r="B27" s="64" t="s">
        <v>231</v>
      </c>
      <c r="C27" s="65" t="s">
        <v>232</v>
      </c>
      <c r="D27" s="65" t="s">
        <v>233</v>
      </c>
      <c r="E27" s="65" t="s">
        <v>234</v>
      </c>
      <c r="F27" s="65" t="s">
        <v>235</v>
      </c>
      <c r="G27" s="65" t="s">
        <v>236</v>
      </c>
      <c r="H27" s="65" t="s">
        <v>237</v>
      </c>
      <c r="I27" s="65" t="s">
        <v>238</v>
      </c>
      <c r="J27" s="65" t="s">
        <v>239</v>
      </c>
      <c r="K27" s="65" t="s">
        <v>240</v>
      </c>
      <c r="L27" s="65" t="s">
        <v>241</v>
      </c>
      <c r="M27" s="65" t="s">
        <v>242</v>
      </c>
      <c r="N27" s="65" t="s">
        <v>243</v>
      </c>
      <c r="O27" s="65" t="s">
        <v>244</v>
      </c>
      <c r="P27" s="65" t="s">
        <v>245</v>
      </c>
      <c r="Q27" s="65" t="s">
        <v>246</v>
      </c>
      <c r="R27" s="65" t="s">
        <v>247</v>
      </c>
      <c r="S27" s="65" t="s">
        <v>248</v>
      </c>
      <c r="T27" s="65" t="s">
        <v>249</v>
      </c>
      <c r="U27" s="65" t="s">
        <v>250</v>
      </c>
      <c r="V27" s="65" t="s">
        <v>251</v>
      </c>
      <c r="W27" s="65" t="s">
        <v>252</v>
      </c>
      <c r="X27" s="40" t="s">
        <v>253</v>
      </c>
      <c r="Y27" s="41">
        <v>1.18572911158833E14</v>
      </c>
      <c r="Z27" s="41">
        <v>0.0</v>
      </c>
      <c r="AA27" s="66"/>
      <c r="AB27" s="66"/>
      <c r="AC27" s="66"/>
      <c r="AD27" s="66"/>
      <c r="AE27" s="66"/>
    </row>
    <row r="28" ht="85.5" customHeight="1">
      <c r="A28" s="67"/>
      <c r="B28" s="68" t="s">
        <v>254</v>
      </c>
      <c r="C28" s="69" t="s">
        <v>255</v>
      </c>
      <c r="D28" s="69" t="s">
        <v>256</v>
      </c>
      <c r="E28" s="69" t="s">
        <v>257</v>
      </c>
      <c r="F28" s="69" t="s">
        <v>258</v>
      </c>
      <c r="G28" s="69" t="s">
        <v>259</v>
      </c>
      <c r="H28" s="69" t="s">
        <v>260</v>
      </c>
      <c r="I28" s="69" t="s">
        <v>261</v>
      </c>
      <c r="J28" s="69" t="s">
        <v>262</v>
      </c>
      <c r="K28" s="69" t="s">
        <v>263</v>
      </c>
      <c r="L28" s="69" t="s">
        <v>264</v>
      </c>
      <c r="M28" s="69" t="s">
        <v>265</v>
      </c>
      <c r="N28" s="69" t="s">
        <v>266</v>
      </c>
      <c r="O28" s="69" t="s">
        <v>267</v>
      </c>
      <c r="P28" s="69" t="s">
        <v>268</v>
      </c>
      <c r="Q28" s="69" t="s">
        <v>269</v>
      </c>
      <c r="R28" s="69" t="s">
        <v>270</v>
      </c>
      <c r="S28" s="69" t="s">
        <v>271</v>
      </c>
      <c r="T28" s="69" t="s">
        <v>272</v>
      </c>
      <c r="U28" s="69" t="s">
        <v>273</v>
      </c>
      <c r="V28" s="69" t="s">
        <v>274</v>
      </c>
      <c r="W28" s="69" t="s">
        <v>275</v>
      </c>
      <c r="X28" s="69" t="s">
        <v>276</v>
      </c>
      <c r="Y28" s="41">
        <v>-1.8808913956029E13</v>
      </c>
      <c r="Z28" s="13">
        <v>0.0</v>
      </c>
      <c r="AA28" s="3"/>
      <c r="AB28" s="3"/>
      <c r="AC28" s="3"/>
      <c r="AD28" s="3"/>
      <c r="AE28" s="3"/>
    </row>
    <row r="29" ht="73.5" customHeight="1">
      <c r="A29" s="70"/>
      <c r="B29" s="64" t="s">
        <v>277</v>
      </c>
      <c r="C29" s="71" t="s">
        <v>278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3"/>
      <c r="X29" s="74"/>
      <c r="Y29" s="13">
        <v>1.45045928696E11</v>
      </c>
      <c r="Z29" s="13">
        <v>0.0</v>
      </c>
      <c r="AA29" s="3"/>
      <c r="AB29" s="3"/>
      <c r="AC29" s="3"/>
      <c r="AD29" s="3"/>
      <c r="AE29" s="3"/>
    </row>
    <row r="30" ht="54.75" customHeight="1">
      <c r="A30" s="75"/>
      <c r="B30" s="64" t="s">
        <v>279</v>
      </c>
      <c r="C30" s="76" t="s">
        <v>280</v>
      </c>
      <c r="D30" s="76" t="s">
        <v>281</v>
      </c>
      <c r="E30" s="76" t="s">
        <v>282</v>
      </c>
      <c r="F30" s="76" t="s">
        <v>283</v>
      </c>
      <c r="G30" s="76" t="s">
        <v>284</v>
      </c>
      <c r="H30" s="76" t="s">
        <v>285</v>
      </c>
      <c r="I30" s="76" t="s">
        <v>286</v>
      </c>
      <c r="J30" s="76" t="s">
        <v>287</v>
      </c>
      <c r="K30" s="76" t="s">
        <v>288</v>
      </c>
      <c r="L30" s="76" t="s">
        <v>289</v>
      </c>
      <c r="M30" s="76" t="s">
        <v>290</v>
      </c>
      <c r="N30" s="76" t="s">
        <v>291</v>
      </c>
      <c r="O30" s="76" t="s">
        <v>292</v>
      </c>
      <c r="P30" s="76" t="s">
        <v>293</v>
      </c>
      <c r="Q30" s="76" t="s">
        <v>294</v>
      </c>
      <c r="R30" s="76" t="s">
        <v>295</v>
      </c>
      <c r="S30" s="76" t="s">
        <v>296</v>
      </c>
      <c r="T30" s="76" t="s">
        <v>297</v>
      </c>
      <c r="U30" s="76" t="s">
        <v>298</v>
      </c>
      <c r="V30" s="76" t="s">
        <v>299</v>
      </c>
      <c r="W30" s="76" t="s">
        <v>300</v>
      </c>
      <c r="X30" s="76" t="s">
        <v>301</v>
      </c>
      <c r="Y30" s="13">
        <v>-1.8863793511383E13</v>
      </c>
      <c r="Z30" s="13">
        <v>0.0</v>
      </c>
      <c r="AA30" s="3"/>
      <c r="AB30" s="3"/>
      <c r="AC30" s="3"/>
      <c r="AD30" s="3"/>
      <c r="AE30" s="3"/>
    </row>
    <row r="31" ht="15.75" customHeight="1">
      <c r="A31" s="77"/>
      <c r="B31" s="8" t="s">
        <v>302</v>
      </c>
      <c r="C31" s="76" t="s">
        <v>303</v>
      </c>
      <c r="D31" s="78" t="s">
        <v>304</v>
      </c>
      <c r="E31" s="78" t="s">
        <v>305</v>
      </c>
      <c r="F31" s="78" t="s">
        <v>306</v>
      </c>
      <c r="G31" s="78" t="s">
        <v>307</v>
      </c>
      <c r="H31" s="78" t="s">
        <v>308</v>
      </c>
      <c r="I31" s="78" t="s">
        <v>309</v>
      </c>
      <c r="J31" s="78" t="s">
        <v>310</v>
      </c>
      <c r="K31" s="78" t="s">
        <v>311</v>
      </c>
      <c r="L31" s="78" t="s">
        <v>312</v>
      </c>
      <c r="M31" s="78" t="s">
        <v>313</v>
      </c>
      <c r="N31" s="78" t="s">
        <v>314</v>
      </c>
      <c r="O31" s="78" t="s">
        <v>315</v>
      </c>
      <c r="P31" s="78" t="s">
        <v>316</v>
      </c>
      <c r="Q31" s="78" t="s">
        <v>317</v>
      </c>
      <c r="R31" s="78" t="s">
        <v>318</v>
      </c>
      <c r="S31" s="78" t="s">
        <v>319</v>
      </c>
      <c r="T31" s="78" t="s">
        <v>320</v>
      </c>
      <c r="U31" s="78" t="s">
        <v>321</v>
      </c>
      <c r="V31" s="78" t="s">
        <v>322</v>
      </c>
      <c r="W31" s="78" t="s">
        <v>323</v>
      </c>
      <c r="X31" s="78" t="s">
        <v>324</v>
      </c>
      <c r="Y31" s="55" t="str">
        <f t="shared" ref="Y31:Z31" si="1">X30+Y29</f>
        <v>#VALUE!</v>
      </c>
      <c r="Z31" s="55">
        <f t="shared" si="1"/>
        <v>-18863793511383</v>
      </c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 t="s">
        <v>325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 t="s">
        <v>326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79" t="s">
        <v>327</v>
      </c>
      <c r="C36" s="79" t="s">
        <v>328</v>
      </c>
      <c r="D36" s="79" t="s">
        <v>22</v>
      </c>
      <c r="E36" s="13" t="s">
        <v>23</v>
      </c>
      <c r="F36" s="13" t="s">
        <v>24</v>
      </c>
      <c r="G36" s="13" t="s">
        <v>25</v>
      </c>
      <c r="H36" s="13" t="s">
        <v>26</v>
      </c>
      <c r="I36" s="13" t="s">
        <v>27</v>
      </c>
      <c r="J36" s="13" t="s">
        <v>28</v>
      </c>
      <c r="K36" s="13" t="s">
        <v>29</v>
      </c>
      <c r="L36" s="13" t="s">
        <v>30</v>
      </c>
      <c r="M36" s="13" t="s">
        <v>31</v>
      </c>
      <c r="N36" s="13" t="s">
        <v>32</v>
      </c>
      <c r="O36" s="13" t="s">
        <v>33</v>
      </c>
      <c r="P36" s="13" t="s">
        <v>34</v>
      </c>
      <c r="Q36" s="13" t="s">
        <v>35</v>
      </c>
      <c r="R36" s="13" t="s">
        <v>36</v>
      </c>
      <c r="S36" s="13" t="s">
        <v>37</v>
      </c>
      <c r="T36" s="13" t="s">
        <v>38</v>
      </c>
      <c r="U36" s="13" t="s">
        <v>39</v>
      </c>
      <c r="V36" s="13" t="s">
        <v>40</v>
      </c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79" t="s">
        <v>329</v>
      </c>
      <c r="C37" s="80" t="s">
        <v>330</v>
      </c>
      <c r="D37" s="81">
        <v>1.2251</v>
      </c>
      <c r="E37" s="82">
        <v>1.6494428571428572</v>
      </c>
      <c r="F37" s="82">
        <v>1.77072131147541</v>
      </c>
      <c r="G37" s="82">
        <v>1.8793833333333334</v>
      </c>
      <c r="H37" s="82">
        <v>1.9878903225806452</v>
      </c>
      <c r="I37" s="82">
        <v>2.057312903225806</v>
      </c>
      <c r="J37" s="82">
        <v>2.10644</v>
      </c>
      <c r="K37" s="82">
        <v>2.12915</v>
      </c>
      <c r="L37" s="82">
        <v>2.17335</v>
      </c>
      <c r="M37" s="82">
        <v>2.27125</v>
      </c>
      <c r="N37" s="82">
        <v>2.4011</v>
      </c>
      <c r="O37" s="82">
        <v>2.549325</v>
      </c>
      <c r="P37" s="82">
        <v>2.7159750000000003</v>
      </c>
      <c r="Q37" s="82">
        <v>2.8536333333333337</v>
      </c>
      <c r="R37" s="82">
        <v>2.9623</v>
      </c>
      <c r="S37" s="82">
        <v>3.070966666666667</v>
      </c>
      <c r="T37" s="82">
        <v>3.18535</v>
      </c>
      <c r="U37" s="82">
        <v>3.2999</v>
      </c>
      <c r="V37" s="82">
        <v>3.4084000000000003</v>
      </c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83" t="s">
        <v>331</v>
      </c>
      <c r="C38" s="84" t="s">
        <v>332</v>
      </c>
      <c r="D38" s="85" t="s">
        <v>333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83" t="s">
        <v>334</v>
      </c>
      <c r="C39" s="84" t="s">
        <v>335</v>
      </c>
      <c r="D39" s="85" t="s">
        <v>336</v>
      </c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83" t="s">
        <v>337</v>
      </c>
      <c r="C40" s="84" t="s">
        <v>338</v>
      </c>
      <c r="D40" s="85" t="s">
        <v>339</v>
      </c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83" t="s">
        <v>340</v>
      </c>
      <c r="C41" s="84" t="s">
        <v>341</v>
      </c>
      <c r="D41" s="85" t="s">
        <v>342</v>
      </c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83" t="s">
        <v>343</v>
      </c>
      <c r="C42" s="84" t="s">
        <v>344</v>
      </c>
      <c r="D42" s="85" t="s">
        <v>345</v>
      </c>
      <c r="E42" s="85" t="s">
        <v>346</v>
      </c>
      <c r="F42" s="85" t="s">
        <v>347</v>
      </c>
      <c r="G42" s="85" t="s">
        <v>348</v>
      </c>
      <c r="H42" s="85" t="s">
        <v>349</v>
      </c>
      <c r="I42" s="85" t="s">
        <v>350</v>
      </c>
      <c r="J42" s="85" t="s">
        <v>351</v>
      </c>
      <c r="K42" s="85" t="s">
        <v>352</v>
      </c>
      <c r="L42" s="85" t="s">
        <v>353</v>
      </c>
      <c r="M42" s="85" t="s">
        <v>354</v>
      </c>
      <c r="N42" s="85" t="s">
        <v>355</v>
      </c>
      <c r="O42" s="85" t="s">
        <v>356</v>
      </c>
      <c r="P42" s="85" t="s">
        <v>357</v>
      </c>
      <c r="Q42" s="85" t="s">
        <v>358</v>
      </c>
      <c r="R42" s="85" t="s">
        <v>359</v>
      </c>
      <c r="S42" s="85" t="s">
        <v>360</v>
      </c>
      <c r="T42" s="85" t="s">
        <v>361</v>
      </c>
      <c r="U42" s="85" t="s">
        <v>362</v>
      </c>
      <c r="V42" s="85" t="s">
        <v>363</v>
      </c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83" t="s">
        <v>364</v>
      </c>
      <c r="C43" s="87" t="s">
        <v>365</v>
      </c>
      <c r="D43" s="85" t="s">
        <v>366</v>
      </c>
      <c r="E43" s="85" t="s">
        <v>367</v>
      </c>
      <c r="F43" s="85" t="s">
        <v>368</v>
      </c>
      <c r="G43" s="85" t="s">
        <v>369</v>
      </c>
      <c r="H43" s="85" t="s">
        <v>370</v>
      </c>
      <c r="I43" s="85" t="s">
        <v>371</v>
      </c>
      <c r="J43" s="85" t="s">
        <v>372</v>
      </c>
      <c r="K43" s="85" t="s">
        <v>373</v>
      </c>
      <c r="L43" s="85" t="s">
        <v>374</v>
      </c>
      <c r="M43" s="85" t="s">
        <v>375</v>
      </c>
      <c r="N43" s="85" t="s">
        <v>376</v>
      </c>
      <c r="O43" s="85" t="s">
        <v>377</v>
      </c>
      <c r="P43" s="85" t="s">
        <v>378</v>
      </c>
      <c r="Q43" s="85" t="s">
        <v>379</v>
      </c>
      <c r="R43" s="85" t="s">
        <v>380</v>
      </c>
      <c r="S43" s="85" t="s">
        <v>381</v>
      </c>
      <c r="T43" s="85" t="s">
        <v>382</v>
      </c>
      <c r="U43" s="85" t="s">
        <v>383</v>
      </c>
      <c r="V43" s="85" t="s">
        <v>384</v>
      </c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 t="s">
        <v>385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13"/>
      <c r="D47" s="13" t="s">
        <v>22</v>
      </c>
      <c r="E47" s="13" t="s">
        <v>23</v>
      </c>
      <c r="F47" s="13" t="s">
        <v>24</v>
      </c>
      <c r="G47" s="13" t="s">
        <v>25</v>
      </c>
      <c r="H47" s="13" t="s">
        <v>26</v>
      </c>
      <c r="I47" s="13" t="s">
        <v>27</v>
      </c>
      <c r="J47" s="13" t="s">
        <v>28</v>
      </c>
      <c r="K47" s="13" t="s">
        <v>29</v>
      </c>
      <c r="L47" s="13" t="s">
        <v>30</v>
      </c>
      <c r="M47" s="13" t="s">
        <v>31</v>
      </c>
      <c r="N47" s="13" t="s">
        <v>32</v>
      </c>
      <c r="O47" s="13" t="s">
        <v>33</v>
      </c>
      <c r="P47" s="13" t="s">
        <v>34</v>
      </c>
      <c r="Q47" s="13" t="s">
        <v>35</v>
      </c>
      <c r="R47" s="13" t="s">
        <v>36</v>
      </c>
      <c r="S47" s="13" t="s">
        <v>37</v>
      </c>
      <c r="T47" s="13" t="s">
        <v>38</v>
      </c>
      <c r="U47" s="13" t="s">
        <v>39</v>
      </c>
      <c r="V47" s="13" t="s">
        <v>40</v>
      </c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13" t="s">
        <v>386</v>
      </c>
      <c r="D48" s="88">
        <v>0.0028</v>
      </c>
      <c r="E48" s="88">
        <v>0.0417</v>
      </c>
      <c r="F48" s="88">
        <v>0.1667</v>
      </c>
      <c r="G48" s="88">
        <v>0.375</v>
      </c>
      <c r="H48" s="88">
        <v>0.625</v>
      </c>
      <c r="I48" s="88">
        <v>0.875</v>
      </c>
      <c r="J48" s="88">
        <v>1.25</v>
      </c>
      <c r="K48" s="88">
        <v>1.75</v>
      </c>
      <c r="L48" s="88">
        <v>2.5</v>
      </c>
      <c r="M48" s="88">
        <v>3.5</v>
      </c>
      <c r="N48" s="88">
        <v>4.5</v>
      </c>
      <c r="O48" s="88">
        <v>5.5</v>
      </c>
      <c r="P48" s="88">
        <v>6.5</v>
      </c>
      <c r="Q48" s="88">
        <v>7.5</v>
      </c>
      <c r="R48" s="88">
        <v>8.5</v>
      </c>
      <c r="S48" s="88">
        <v>9.5</v>
      </c>
      <c r="T48" s="88">
        <v>12.5</v>
      </c>
      <c r="U48" s="88">
        <v>17.5</v>
      </c>
      <c r="V48" s="88">
        <v>25.0</v>
      </c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13" t="s">
        <v>387</v>
      </c>
      <c r="C50" s="13" t="s">
        <v>328</v>
      </c>
      <c r="D50" s="13" t="s">
        <v>22</v>
      </c>
      <c r="E50" s="13" t="s">
        <v>23</v>
      </c>
      <c r="F50" s="13" t="s">
        <v>24</v>
      </c>
      <c r="G50" s="13" t="s">
        <v>25</v>
      </c>
      <c r="H50" s="13" t="s">
        <v>26</v>
      </c>
      <c r="I50" s="13" t="s">
        <v>27</v>
      </c>
      <c r="J50" s="13" t="s">
        <v>28</v>
      </c>
      <c r="K50" s="13" t="s">
        <v>29</v>
      </c>
      <c r="L50" s="13" t="s">
        <v>30</v>
      </c>
      <c r="M50" s="13" t="s">
        <v>31</v>
      </c>
      <c r="N50" s="13" t="s">
        <v>32</v>
      </c>
      <c r="O50" s="13" t="s">
        <v>33</v>
      </c>
      <c r="P50" s="13" t="s">
        <v>34</v>
      </c>
      <c r="Q50" s="13" t="s">
        <v>35</v>
      </c>
      <c r="R50" s="13" t="s">
        <v>36</v>
      </c>
      <c r="S50" s="13" t="s">
        <v>37</v>
      </c>
      <c r="T50" s="13" t="s">
        <v>38</v>
      </c>
      <c r="U50" s="13" t="s">
        <v>39</v>
      </c>
      <c r="V50" s="13" t="s">
        <v>40</v>
      </c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13" t="s">
        <v>388</v>
      </c>
      <c r="C51" s="84" t="s">
        <v>389</v>
      </c>
      <c r="D51" s="85" t="s">
        <v>390</v>
      </c>
      <c r="E51" s="85" t="s">
        <v>391</v>
      </c>
      <c r="F51" s="85" t="s">
        <v>392</v>
      </c>
      <c r="G51" s="85" t="s">
        <v>393</v>
      </c>
      <c r="H51" s="85" t="s">
        <v>394</v>
      </c>
      <c r="I51" s="85" t="s">
        <v>395</v>
      </c>
      <c r="J51" s="85" t="s">
        <v>396</v>
      </c>
      <c r="K51" s="85" t="s">
        <v>397</v>
      </c>
      <c r="L51" s="85" t="s">
        <v>398</v>
      </c>
      <c r="M51" s="85" t="s">
        <v>399</v>
      </c>
      <c r="N51" s="85" t="s">
        <v>400</v>
      </c>
      <c r="O51" s="85" t="s">
        <v>401</v>
      </c>
      <c r="P51" s="85" t="s">
        <v>402</v>
      </c>
      <c r="Q51" s="85" t="s">
        <v>403</v>
      </c>
      <c r="R51" s="85" t="s">
        <v>404</v>
      </c>
      <c r="S51" s="85" t="s">
        <v>405</v>
      </c>
      <c r="T51" s="85" t="s">
        <v>406</v>
      </c>
      <c r="U51" s="85" t="s">
        <v>407</v>
      </c>
      <c r="V51" s="85" t="s">
        <v>408</v>
      </c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13" t="s">
        <v>409</v>
      </c>
      <c r="C52" s="84" t="s">
        <v>410</v>
      </c>
      <c r="D52" s="85" t="s">
        <v>411</v>
      </c>
      <c r="E52" s="85" t="s">
        <v>412</v>
      </c>
      <c r="F52" s="85" t="s">
        <v>413</v>
      </c>
      <c r="G52" s="85" t="s">
        <v>414</v>
      </c>
      <c r="H52" s="85" t="s">
        <v>394</v>
      </c>
      <c r="I52" s="85" t="s">
        <v>395</v>
      </c>
      <c r="J52" s="85" t="s">
        <v>396</v>
      </c>
      <c r="K52" s="85" t="s">
        <v>397</v>
      </c>
      <c r="L52" s="85" t="s">
        <v>398</v>
      </c>
      <c r="M52" s="85" t="s">
        <v>399</v>
      </c>
      <c r="N52" s="85" t="s">
        <v>400</v>
      </c>
      <c r="O52" s="85" t="s">
        <v>401</v>
      </c>
      <c r="P52" s="85" t="s">
        <v>402</v>
      </c>
      <c r="Q52" s="85" t="s">
        <v>403</v>
      </c>
      <c r="R52" s="85" t="s">
        <v>404</v>
      </c>
      <c r="S52" s="85" t="s">
        <v>405</v>
      </c>
      <c r="T52" s="85" t="s">
        <v>406</v>
      </c>
      <c r="U52" s="85" t="s">
        <v>407</v>
      </c>
      <c r="V52" s="85" t="s">
        <v>408</v>
      </c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13" t="s">
        <v>415</v>
      </c>
      <c r="C53" s="84" t="s">
        <v>416</v>
      </c>
      <c r="D53" s="85" t="s">
        <v>417</v>
      </c>
      <c r="E53" s="85" t="s">
        <v>418</v>
      </c>
      <c r="F53" s="85" t="s">
        <v>419</v>
      </c>
      <c r="G53" s="85" t="s">
        <v>420</v>
      </c>
      <c r="H53" s="85" t="s">
        <v>421</v>
      </c>
      <c r="I53" s="85" t="s">
        <v>422</v>
      </c>
      <c r="J53" s="85" t="s">
        <v>423</v>
      </c>
      <c r="K53" s="85" t="s">
        <v>424</v>
      </c>
      <c r="L53" s="85" t="s">
        <v>425</v>
      </c>
      <c r="M53" s="85" t="s">
        <v>426</v>
      </c>
      <c r="N53" s="85" t="s">
        <v>427</v>
      </c>
      <c r="O53" s="85" t="s">
        <v>428</v>
      </c>
      <c r="P53" s="85" t="s">
        <v>429</v>
      </c>
      <c r="Q53" s="85" t="s">
        <v>430</v>
      </c>
      <c r="R53" s="85" t="s">
        <v>431</v>
      </c>
      <c r="S53" s="85" t="s">
        <v>432</v>
      </c>
      <c r="T53" s="85" t="s">
        <v>433</v>
      </c>
      <c r="U53" s="85" t="s">
        <v>434</v>
      </c>
      <c r="V53" s="85" t="s">
        <v>435</v>
      </c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13" t="s">
        <v>436</v>
      </c>
      <c r="C54" s="84" t="s">
        <v>437</v>
      </c>
      <c r="D54" s="85" t="s">
        <v>438</v>
      </c>
      <c r="E54" s="85" t="s">
        <v>439</v>
      </c>
      <c r="F54" s="85" t="s">
        <v>440</v>
      </c>
      <c r="G54" s="85" t="s">
        <v>441</v>
      </c>
      <c r="H54" s="85" t="s">
        <v>442</v>
      </c>
      <c r="I54" s="85" t="s">
        <v>443</v>
      </c>
      <c r="J54" s="85" t="s">
        <v>444</v>
      </c>
      <c r="K54" s="85" t="s">
        <v>445</v>
      </c>
      <c r="L54" s="85" t="s">
        <v>446</v>
      </c>
      <c r="M54" s="85" t="s">
        <v>447</v>
      </c>
      <c r="N54" s="85" t="s">
        <v>448</v>
      </c>
      <c r="O54" s="85" t="s">
        <v>449</v>
      </c>
      <c r="P54" s="85" t="s">
        <v>450</v>
      </c>
      <c r="Q54" s="85" t="s">
        <v>451</v>
      </c>
      <c r="R54" s="85" t="s">
        <v>452</v>
      </c>
      <c r="S54" s="85" t="s">
        <v>453</v>
      </c>
      <c r="T54" s="85" t="s">
        <v>454</v>
      </c>
      <c r="U54" s="85" t="s">
        <v>455</v>
      </c>
      <c r="V54" s="85" t="s">
        <v>456</v>
      </c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13" t="s">
        <v>457</v>
      </c>
      <c r="C55" s="84" t="s">
        <v>458</v>
      </c>
      <c r="D55" s="85" t="s">
        <v>459</v>
      </c>
      <c r="E55" s="85" t="s">
        <v>460</v>
      </c>
      <c r="F55" s="85" t="s">
        <v>461</v>
      </c>
      <c r="G55" s="85" t="s">
        <v>462</v>
      </c>
      <c r="H55" s="85" t="s">
        <v>463</v>
      </c>
      <c r="I55" s="85" t="s">
        <v>464</v>
      </c>
      <c r="J55" s="85" t="s">
        <v>465</v>
      </c>
      <c r="K55" s="85" t="s">
        <v>466</v>
      </c>
      <c r="L55" s="85" t="s">
        <v>467</v>
      </c>
      <c r="M55" s="85" t="s">
        <v>468</v>
      </c>
      <c r="N55" s="85" t="s">
        <v>469</v>
      </c>
      <c r="O55" s="85" t="s">
        <v>470</v>
      </c>
      <c r="P55" s="85" t="s">
        <v>471</v>
      </c>
      <c r="Q55" s="85" t="s">
        <v>472</v>
      </c>
      <c r="R55" s="85" t="s">
        <v>473</v>
      </c>
      <c r="S55" s="85" t="s">
        <v>474</v>
      </c>
      <c r="T55" s="85" t="s">
        <v>475</v>
      </c>
      <c r="U55" s="85" t="s">
        <v>476</v>
      </c>
      <c r="V55" s="85" t="s">
        <v>477</v>
      </c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13" t="s">
        <v>478</v>
      </c>
      <c r="C56" s="84" t="s">
        <v>479</v>
      </c>
      <c r="D56" s="85" t="s">
        <v>480</v>
      </c>
      <c r="E56" s="85" t="s">
        <v>481</v>
      </c>
      <c r="F56" s="85" t="s">
        <v>482</v>
      </c>
      <c r="G56" s="85" t="s">
        <v>483</v>
      </c>
      <c r="H56" s="85" t="s">
        <v>484</v>
      </c>
      <c r="I56" s="85" t="s">
        <v>485</v>
      </c>
      <c r="J56" s="85" t="s">
        <v>486</v>
      </c>
      <c r="K56" s="85" t="s">
        <v>487</v>
      </c>
      <c r="L56" s="85" t="s">
        <v>488</v>
      </c>
      <c r="M56" s="85" t="s">
        <v>489</v>
      </c>
      <c r="N56" s="85" t="s">
        <v>490</v>
      </c>
      <c r="O56" s="85" t="s">
        <v>491</v>
      </c>
      <c r="P56" s="85" t="s">
        <v>492</v>
      </c>
      <c r="Q56" s="85" t="s">
        <v>493</v>
      </c>
      <c r="R56" s="85" t="s">
        <v>494</v>
      </c>
      <c r="S56" s="85" t="s">
        <v>495</v>
      </c>
      <c r="T56" s="85" t="s">
        <v>496</v>
      </c>
      <c r="U56" s="85" t="s">
        <v>497</v>
      </c>
      <c r="V56" s="85" t="s">
        <v>498</v>
      </c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 t="s">
        <v>499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13"/>
      <c r="C60" s="13" t="s">
        <v>500</v>
      </c>
      <c r="D60" s="13" t="s">
        <v>22</v>
      </c>
      <c r="E60" s="13" t="s">
        <v>23</v>
      </c>
      <c r="F60" s="13" t="s">
        <v>24</v>
      </c>
      <c r="G60" s="13" t="s">
        <v>25</v>
      </c>
      <c r="H60" s="13" t="s">
        <v>26</v>
      </c>
      <c r="I60" s="13" t="s">
        <v>27</v>
      </c>
      <c r="J60" s="13" t="s">
        <v>501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13"/>
      <c r="C61" s="13" t="s">
        <v>502</v>
      </c>
      <c r="D61" s="89" t="s">
        <v>503</v>
      </c>
      <c r="E61" s="89" t="s">
        <v>504</v>
      </c>
      <c r="F61" s="89" t="s">
        <v>505</v>
      </c>
      <c r="G61" s="89" t="s">
        <v>506</v>
      </c>
      <c r="H61" s="89" t="s">
        <v>507</v>
      </c>
      <c r="I61" s="89" t="s">
        <v>508</v>
      </c>
      <c r="J61" s="1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13"/>
      <c r="C62" s="13" t="s">
        <v>509</v>
      </c>
      <c r="D62" s="85" t="s">
        <v>510</v>
      </c>
      <c r="E62" s="85" t="s">
        <v>511</v>
      </c>
      <c r="F62" s="85" t="s">
        <v>512</v>
      </c>
      <c r="G62" s="85" t="s">
        <v>513</v>
      </c>
      <c r="H62" s="85" t="s">
        <v>514</v>
      </c>
      <c r="I62" s="85" t="s">
        <v>515</v>
      </c>
      <c r="J62" s="8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13" t="s">
        <v>388</v>
      </c>
      <c r="C63" s="90" t="s">
        <v>516</v>
      </c>
      <c r="D63" s="85" t="s">
        <v>517</v>
      </c>
      <c r="E63" s="85" t="s">
        <v>518</v>
      </c>
      <c r="F63" s="85" t="s">
        <v>519</v>
      </c>
      <c r="G63" s="85" t="s">
        <v>520</v>
      </c>
      <c r="H63" s="85" t="s">
        <v>521</v>
      </c>
      <c r="I63" s="85" t="s">
        <v>522</v>
      </c>
      <c r="J63" s="85" t="s">
        <v>523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13" t="s">
        <v>409</v>
      </c>
      <c r="C64" s="90" t="s">
        <v>524</v>
      </c>
      <c r="D64" s="85" t="s">
        <v>525</v>
      </c>
      <c r="E64" s="85" t="s">
        <v>526</v>
      </c>
      <c r="F64" s="85" t="s">
        <v>527</v>
      </c>
      <c r="G64" s="85" t="s">
        <v>528</v>
      </c>
      <c r="H64" s="85" t="s">
        <v>529</v>
      </c>
      <c r="I64" s="85" t="s">
        <v>530</v>
      </c>
      <c r="J64" s="85" t="s">
        <v>531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13" t="s">
        <v>532</v>
      </c>
      <c r="D66" s="90" t="s">
        <v>533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 t="s">
        <v>534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 t="s">
        <v>535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13" t="s">
        <v>500</v>
      </c>
      <c r="D71" s="13" t="s">
        <v>22</v>
      </c>
      <c r="E71" s="13" t="s">
        <v>23</v>
      </c>
      <c r="F71" s="13" t="s">
        <v>24</v>
      </c>
      <c r="G71" s="13" t="s">
        <v>25</v>
      </c>
      <c r="H71" s="13" t="s">
        <v>26</v>
      </c>
      <c r="I71" s="13" t="s">
        <v>27</v>
      </c>
      <c r="J71" s="13" t="s">
        <v>28</v>
      </c>
      <c r="K71" s="13" t="s">
        <v>29</v>
      </c>
      <c r="L71" s="13" t="s">
        <v>30</v>
      </c>
      <c r="M71" s="13" t="s">
        <v>31</v>
      </c>
      <c r="N71" s="13" t="s">
        <v>32</v>
      </c>
      <c r="O71" s="13" t="s">
        <v>33</v>
      </c>
      <c r="P71" s="13" t="s">
        <v>34</v>
      </c>
      <c r="Q71" s="13" t="s">
        <v>35</v>
      </c>
      <c r="R71" s="13" t="s">
        <v>36</v>
      </c>
      <c r="S71" s="13" t="s">
        <v>37</v>
      </c>
      <c r="T71" s="13" t="s">
        <v>38</v>
      </c>
      <c r="U71" s="13" t="s">
        <v>39</v>
      </c>
      <c r="V71" s="13" t="s">
        <v>40</v>
      </c>
      <c r="W71" s="13" t="s">
        <v>501</v>
      </c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13" t="s">
        <v>536</v>
      </c>
      <c r="D72" s="89" t="s">
        <v>537</v>
      </c>
      <c r="E72" s="89" t="s">
        <v>538</v>
      </c>
      <c r="F72" s="89" t="s">
        <v>539</v>
      </c>
      <c r="G72" s="89" t="s">
        <v>540</v>
      </c>
      <c r="H72" s="89" t="s">
        <v>541</v>
      </c>
      <c r="I72" s="89" t="s">
        <v>542</v>
      </c>
      <c r="J72" s="89" t="s">
        <v>543</v>
      </c>
      <c r="K72" s="89" t="s">
        <v>544</v>
      </c>
      <c r="L72" s="89" t="s">
        <v>545</v>
      </c>
      <c r="M72" s="89" t="s">
        <v>546</v>
      </c>
      <c r="N72" s="89" t="s">
        <v>547</v>
      </c>
      <c r="O72" s="89" t="s">
        <v>548</v>
      </c>
      <c r="P72" s="89" t="s">
        <v>549</v>
      </c>
      <c r="Q72" s="89" t="s">
        <v>550</v>
      </c>
      <c r="R72" s="89" t="s">
        <v>551</v>
      </c>
      <c r="S72" s="89" t="s">
        <v>552</v>
      </c>
      <c r="T72" s="89" t="s">
        <v>553</v>
      </c>
      <c r="U72" s="89" t="s">
        <v>554</v>
      </c>
      <c r="V72" s="89" t="s">
        <v>555</v>
      </c>
      <c r="W72" s="1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13" t="s">
        <v>556</v>
      </c>
      <c r="D73" s="89" t="s">
        <v>557</v>
      </c>
      <c r="E73" s="89" t="s">
        <v>558</v>
      </c>
      <c r="F73" s="89" t="s">
        <v>559</v>
      </c>
      <c r="G73" s="89" t="s">
        <v>560</v>
      </c>
      <c r="H73" s="89" t="s">
        <v>561</v>
      </c>
      <c r="I73" s="89" t="s">
        <v>562</v>
      </c>
      <c r="J73" s="89" t="s">
        <v>563</v>
      </c>
      <c r="K73" s="89" t="s">
        <v>564</v>
      </c>
      <c r="L73" s="89" t="s">
        <v>565</v>
      </c>
      <c r="M73" s="89" t="s">
        <v>566</v>
      </c>
      <c r="N73" s="89" t="s">
        <v>567</v>
      </c>
      <c r="O73" s="89" t="s">
        <v>568</v>
      </c>
      <c r="P73" s="89" t="s">
        <v>569</v>
      </c>
      <c r="Q73" s="89" t="s">
        <v>570</v>
      </c>
      <c r="R73" s="89" t="s">
        <v>571</v>
      </c>
      <c r="S73" s="89" t="s">
        <v>572</v>
      </c>
      <c r="T73" s="89" t="s">
        <v>573</v>
      </c>
      <c r="U73" s="89" t="s">
        <v>574</v>
      </c>
      <c r="V73" s="89" t="s">
        <v>575</v>
      </c>
      <c r="W73" s="1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13" t="s">
        <v>576</v>
      </c>
      <c r="D74" s="85" t="s">
        <v>577</v>
      </c>
      <c r="E74" s="85" t="s">
        <v>578</v>
      </c>
      <c r="F74" s="85" t="s">
        <v>579</v>
      </c>
      <c r="G74" s="85" t="s">
        <v>580</v>
      </c>
      <c r="H74" s="85" t="s">
        <v>581</v>
      </c>
      <c r="I74" s="85" t="s">
        <v>582</v>
      </c>
      <c r="J74" s="85" t="s">
        <v>583</v>
      </c>
      <c r="K74" s="85" t="s">
        <v>584</v>
      </c>
      <c r="L74" s="85" t="s">
        <v>585</v>
      </c>
      <c r="M74" s="85" t="s">
        <v>586</v>
      </c>
      <c r="N74" s="85" t="s">
        <v>587</v>
      </c>
      <c r="O74" s="85" t="s">
        <v>588</v>
      </c>
      <c r="P74" s="85" t="s">
        <v>589</v>
      </c>
      <c r="Q74" s="85" t="s">
        <v>590</v>
      </c>
      <c r="R74" s="85" t="s">
        <v>591</v>
      </c>
      <c r="S74" s="85" t="s">
        <v>592</v>
      </c>
      <c r="T74" s="85" t="s">
        <v>593</v>
      </c>
      <c r="U74" s="85" t="s">
        <v>594</v>
      </c>
      <c r="V74" s="85" t="s">
        <v>595</v>
      </c>
      <c r="W74" s="85" t="s">
        <v>596</v>
      </c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 t="s">
        <v>597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91" t="s">
        <v>598</v>
      </c>
      <c r="C77" s="91" t="s">
        <v>599</v>
      </c>
      <c r="D77" s="91" t="s">
        <v>22</v>
      </c>
      <c r="E77" s="91" t="s">
        <v>23</v>
      </c>
      <c r="F77" s="91" t="s">
        <v>24</v>
      </c>
      <c r="G77" s="91" t="s">
        <v>25</v>
      </c>
      <c r="H77" s="91" t="s">
        <v>26</v>
      </c>
      <c r="I77" s="91" t="s">
        <v>27</v>
      </c>
      <c r="J77" s="91" t="s">
        <v>28</v>
      </c>
      <c r="K77" s="91" t="s">
        <v>29</v>
      </c>
      <c r="L77" s="91" t="s">
        <v>30</v>
      </c>
      <c r="M77" s="91" t="s">
        <v>31</v>
      </c>
      <c r="N77" s="91" t="s">
        <v>32</v>
      </c>
      <c r="O77" s="91" t="s">
        <v>33</v>
      </c>
      <c r="P77" s="91" t="s">
        <v>34</v>
      </c>
      <c r="Q77" s="91" t="s">
        <v>35</v>
      </c>
      <c r="R77" s="91" t="s">
        <v>36</v>
      </c>
      <c r="S77" s="91" t="s">
        <v>37</v>
      </c>
      <c r="T77" s="91" t="s">
        <v>38</v>
      </c>
      <c r="U77" s="91" t="s">
        <v>39</v>
      </c>
      <c r="V77" s="91" t="s">
        <v>40</v>
      </c>
      <c r="W77" s="91" t="s">
        <v>501</v>
      </c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13" t="s">
        <v>388</v>
      </c>
      <c r="C78" s="13" t="s">
        <v>600</v>
      </c>
      <c r="D78" s="85" t="s">
        <v>601</v>
      </c>
      <c r="E78" s="85" t="s">
        <v>602</v>
      </c>
      <c r="F78" s="85" t="s">
        <v>603</v>
      </c>
      <c r="G78" s="85" t="s">
        <v>604</v>
      </c>
      <c r="H78" s="85" t="s">
        <v>605</v>
      </c>
      <c r="I78" s="85" t="s">
        <v>606</v>
      </c>
      <c r="J78" s="85" t="s">
        <v>607</v>
      </c>
      <c r="K78" s="85" t="s">
        <v>608</v>
      </c>
      <c r="L78" s="85" t="s">
        <v>609</v>
      </c>
      <c r="M78" s="85" t="s">
        <v>610</v>
      </c>
      <c r="N78" s="85" t="s">
        <v>611</v>
      </c>
      <c r="O78" s="85" t="s">
        <v>612</v>
      </c>
      <c r="P78" s="85" t="s">
        <v>613</v>
      </c>
      <c r="Q78" s="85" t="s">
        <v>614</v>
      </c>
      <c r="R78" s="85" t="s">
        <v>615</v>
      </c>
      <c r="S78" s="85" t="s">
        <v>616</v>
      </c>
      <c r="T78" s="85" t="s">
        <v>617</v>
      </c>
      <c r="U78" s="85" t="s">
        <v>618</v>
      </c>
      <c r="V78" s="85" t="s">
        <v>619</v>
      </c>
      <c r="W78" s="86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13"/>
      <c r="C79" s="13" t="s">
        <v>620</v>
      </c>
      <c r="D79" s="85" t="s">
        <v>621</v>
      </c>
      <c r="E79" s="85" t="s">
        <v>622</v>
      </c>
      <c r="F79" s="85" t="s">
        <v>623</v>
      </c>
      <c r="G79" s="85" t="s">
        <v>624</v>
      </c>
      <c r="H79" s="85" t="s">
        <v>625</v>
      </c>
      <c r="I79" s="85" t="s">
        <v>626</v>
      </c>
      <c r="J79" s="85" t="s">
        <v>627</v>
      </c>
      <c r="K79" s="85" t="s">
        <v>628</v>
      </c>
      <c r="L79" s="85" t="s">
        <v>629</v>
      </c>
      <c r="M79" s="85" t="s">
        <v>630</v>
      </c>
      <c r="N79" s="85" t="s">
        <v>631</v>
      </c>
      <c r="O79" s="85" t="s">
        <v>632</v>
      </c>
      <c r="P79" s="85" t="s">
        <v>633</v>
      </c>
      <c r="Q79" s="85" t="s">
        <v>634</v>
      </c>
      <c r="R79" s="85" t="s">
        <v>635</v>
      </c>
      <c r="S79" s="85" t="s">
        <v>636</v>
      </c>
      <c r="T79" s="85" t="s">
        <v>637</v>
      </c>
      <c r="U79" s="85" t="s">
        <v>638</v>
      </c>
      <c r="V79" s="85" t="s">
        <v>639</v>
      </c>
      <c r="W79" s="85" t="s">
        <v>640</v>
      </c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13"/>
      <c r="C80" s="13" t="s">
        <v>641</v>
      </c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5" t="s">
        <v>642</v>
      </c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13" t="s">
        <v>409</v>
      </c>
      <c r="C81" s="13" t="s">
        <v>600</v>
      </c>
      <c r="D81" s="85" t="s">
        <v>643</v>
      </c>
      <c r="E81" s="85" t="s">
        <v>644</v>
      </c>
      <c r="F81" s="85" t="s">
        <v>645</v>
      </c>
      <c r="G81" s="85" t="s">
        <v>646</v>
      </c>
      <c r="H81" s="85" t="s">
        <v>647</v>
      </c>
      <c r="I81" s="85" t="s">
        <v>648</v>
      </c>
      <c r="J81" s="85" t="s">
        <v>649</v>
      </c>
      <c r="K81" s="85" t="s">
        <v>650</v>
      </c>
      <c r="L81" s="85" t="s">
        <v>651</v>
      </c>
      <c r="M81" s="85" t="s">
        <v>652</v>
      </c>
      <c r="N81" s="85" t="s">
        <v>653</v>
      </c>
      <c r="O81" s="85" t="s">
        <v>654</v>
      </c>
      <c r="P81" s="85" t="s">
        <v>655</v>
      </c>
      <c r="Q81" s="85" t="s">
        <v>656</v>
      </c>
      <c r="R81" s="85" t="s">
        <v>657</v>
      </c>
      <c r="S81" s="85" t="s">
        <v>658</v>
      </c>
      <c r="T81" s="85" t="s">
        <v>659</v>
      </c>
      <c r="U81" s="85" t="s">
        <v>660</v>
      </c>
      <c r="V81" s="85" t="s">
        <v>661</v>
      </c>
      <c r="W81" s="86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13"/>
      <c r="C82" s="13" t="s">
        <v>620</v>
      </c>
      <c r="D82" s="85" t="s">
        <v>662</v>
      </c>
      <c r="E82" s="85" t="s">
        <v>663</v>
      </c>
      <c r="F82" s="85" t="s">
        <v>664</v>
      </c>
      <c r="G82" s="85" t="s">
        <v>665</v>
      </c>
      <c r="H82" s="85" t="s">
        <v>666</v>
      </c>
      <c r="I82" s="85" t="s">
        <v>667</v>
      </c>
      <c r="J82" s="85" t="s">
        <v>668</v>
      </c>
      <c r="K82" s="85" t="s">
        <v>669</v>
      </c>
      <c r="L82" s="85" t="s">
        <v>670</v>
      </c>
      <c r="M82" s="85" t="s">
        <v>671</v>
      </c>
      <c r="N82" s="85" t="s">
        <v>672</v>
      </c>
      <c r="O82" s="85" t="s">
        <v>673</v>
      </c>
      <c r="P82" s="85" t="s">
        <v>674</v>
      </c>
      <c r="Q82" s="85" t="s">
        <v>675</v>
      </c>
      <c r="R82" s="85" t="s">
        <v>676</v>
      </c>
      <c r="S82" s="85" t="s">
        <v>677</v>
      </c>
      <c r="T82" s="85" t="s">
        <v>678</v>
      </c>
      <c r="U82" s="85" t="s">
        <v>679</v>
      </c>
      <c r="V82" s="85" t="s">
        <v>680</v>
      </c>
      <c r="W82" s="85" t="s">
        <v>681</v>
      </c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13"/>
      <c r="C83" s="13" t="s">
        <v>641</v>
      </c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5" t="s">
        <v>682</v>
      </c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13" t="s">
        <v>415</v>
      </c>
      <c r="C84" s="13" t="s">
        <v>600</v>
      </c>
      <c r="D84" s="85" t="s">
        <v>683</v>
      </c>
      <c r="E84" s="85" t="s">
        <v>684</v>
      </c>
      <c r="F84" s="85" t="s">
        <v>685</v>
      </c>
      <c r="G84" s="85" t="s">
        <v>686</v>
      </c>
      <c r="H84" s="85" t="s">
        <v>687</v>
      </c>
      <c r="I84" s="85" t="s">
        <v>688</v>
      </c>
      <c r="J84" s="85" t="s">
        <v>689</v>
      </c>
      <c r="K84" s="85" t="s">
        <v>690</v>
      </c>
      <c r="L84" s="85" t="s">
        <v>691</v>
      </c>
      <c r="M84" s="85" t="s">
        <v>692</v>
      </c>
      <c r="N84" s="85" t="s">
        <v>693</v>
      </c>
      <c r="O84" s="85" t="s">
        <v>694</v>
      </c>
      <c r="P84" s="85" t="s">
        <v>695</v>
      </c>
      <c r="Q84" s="85" t="s">
        <v>696</v>
      </c>
      <c r="R84" s="85" t="s">
        <v>697</v>
      </c>
      <c r="S84" s="85" t="s">
        <v>698</v>
      </c>
      <c r="T84" s="85" t="s">
        <v>699</v>
      </c>
      <c r="U84" s="85" t="s">
        <v>700</v>
      </c>
      <c r="V84" s="85" t="s">
        <v>701</v>
      </c>
      <c r="W84" s="86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13"/>
      <c r="C85" s="13" t="s">
        <v>620</v>
      </c>
      <c r="D85" s="85" t="s">
        <v>702</v>
      </c>
      <c r="E85" s="85" t="s">
        <v>703</v>
      </c>
      <c r="F85" s="85" t="s">
        <v>704</v>
      </c>
      <c r="G85" s="85" t="s">
        <v>705</v>
      </c>
      <c r="H85" s="85" t="s">
        <v>706</v>
      </c>
      <c r="I85" s="85" t="s">
        <v>707</v>
      </c>
      <c r="J85" s="85" t="s">
        <v>708</v>
      </c>
      <c r="K85" s="85" t="s">
        <v>709</v>
      </c>
      <c r="L85" s="85" t="s">
        <v>710</v>
      </c>
      <c r="M85" s="85" t="s">
        <v>711</v>
      </c>
      <c r="N85" s="85" t="s">
        <v>712</v>
      </c>
      <c r="O85" s="85" t="s">
        <v>713</v>
      </c>
      <c r="P85" s="85" t="s">
        <v>714</v>
      </c>
      <c r="Q85" s="85" t="s">
        <v>715</v>
      </c>
      <c r="R85" s="85" t="s">
        <v>716</v>
      </c>
      <c r="S85" s="85" t="s">
        <v>717</v>
      </c>
      <c r="T85" s="85" t="s">
        <v>718</v>
      </c>
      <c r="U85" s="85" t="s">
        <v>719</v>
      </c>
      <c r="V85" s="85" t="s">
        <v>720</v>
      </c>
      <c r="W85" s="85" t="s">
        <v>721</v>
      </c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13"/>
      <c r="C86" s="13" t="s">
        <v>641</v>
      </c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5" t="s">
        <v>722</v>
      </c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13" t="s">
        <v>436</v>
      </c>
      <c r="C87" s="13" t="s">
        <v>600</v>
      </c>
      <c r="D87" s="85" t="s">
        <v>723</v>
      </c>
      <c r="E87" s="85" t="s">
        <v>724</v>
      </c>
      <c r="F87" s="85" t="s">
        <v>725</v>
      </c>
      <c r="G87" s="85" t="s">
        <v>726</v>
      </c>
      <c r="H87" s="85" t="s">
        <v>727</v>
      </c>
      <c r="I87" s="85" t="s">
        <v>728</v>
      </c>
      <c r="J87" s="85" t="s">
        <v>729</v>
      </c>
      <c r="K87" s="85" t="s">
        <v>730</v>
      </c>
      <c r="L87" s="85" t="s">
        <v>731</v>
      </c>
      <c r="M87" s="85" t="s">
        <v>732</v>
      </c>
      <c r="N87" s="85" t="s">
        <v>733</v>
      </c>
      <c r="O87" s="85" t="s">
        <v>734</v>
      </c>
      <c r="P87" s="85" t="s">
        <v>735</v>
      </c>
      <c r="Q87" s="85" t="s">
        <v>736</v>
      </c>
      <c r="R87" s="85" t="s">
        <v>737</v>
      </c>
      <c r="S87" s="85" t="s">
        <v>738</v>
      </c>
      <c r="T87" s="85" t="s">
        <v>739</v>
      </c>
      <c r="U87" s="85" t="s">
        <v>740</v>
      </c>
      <c r="V87" s="85" t="s">
        <v>741</v>
      </c>
      <c r="W87" s="86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13"/>
      <c r="C88" s="13" t="s">
        <v>620</v>
      </c>
      <c r="D88" s="85" t="s">
        <v>742</v>
      </c>
      <c r="E88" s="85" t="s">
        <v>743</v>
      </c>
      <c r="F88" s="85" t="s">
        <v>744</v>
      </c>
      <c r="G88" s="85" t="s">
        <v>745</v>
      </c>
      <c r="H88" s="85" t="s">
        <v>746</v>
      </c>
      <c r="I88" s="85" t="s">
        <v>747</v>
      </c>
      <c r="J88" s="85" t="s">
        <v>748</v>
      </c>
      <c r="K88" s="85" t="s">
        <v>749</v>
      </c>
      <c r="L88" s="85" t="s">
        <v>750</v>
      </c>
      <c r="M88" s="85" t="s">
        <v>751</v>
      </c>
      <c r="N88" s="85" t="s">
        <v>752</v>
      </c>
      <c r="O88" s="85" t="s">
        <v>753</v>
      </c>
      <c r="P88" s="85" t="s">
        <v>754</v>
      </c>
      <c r="Q88" s="85" t="s">
        <v>755</v>
      </c>
      <c r="R88" s="85" t="s">
        <v>756</v>
      </c>
      <c r="S88" s="85" t="s">
        <v>757</v>
      </c>
      <c r="T88" s="85" t="s">
        <v>758</v>
      </c>
      <c r="U88" s="85" t="s">
        <v>759</v>
      </c>
      <c r="V88" s="85" t="s">
        <v>760</v>
      </c>
      <c r="W88" s="85" t="s">
        <v>761</v>
      </c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13"/>
      <c r="C89" s="13" t="s">
        <v>641</v>
      </c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5" t="s">
        <v>762</v>
      </c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13" t="s">
        <v>457</v>
      </c>
      <c r="C90" s="13" t="s">
        <v>600</v>
      </c>
      <c r="D90" s="85" t="s">
        <v>763</v>
      </c>
      <c r="E90" s="85" t="s">
        <v>764</v>
      </c>
      <c r="F90" s="85" t="s">
        <v>765</v>
      </c>
      <c r="G90" s="85" t="s">
        <v>766</v>
      </c>
      <c r="H90" s="85" t="s">
        <v>767</v>
      </c>
      <c r="I90" s="85" t="s">
        <v>768</v>
      </c>
      <c r="J90" s="85" t="s">
        <v>769</v>
      </c>
      <c r="K90" s="85" t="s">
        <v>770</v>
      </c>
      <c r="L90" s="85" t="s">
        <v>771</v>
      </c>
      <c r="M90" s="85" t="s">
        <v>772</v>
      </c>
      <c r="N90" s="85" t="s">
        <v>773</v>
      </c>
      <c r="O90" s="85" t="s">
        <v>774</v>
      </c>
      <c r="P90" s="85" t="s">
        <v>775</v>
      </c>
      <c r="Q90" s="85" t="s">
        <v>776</v>
      </c>
      <c r="R90" s="85" t="s">
        <v>777</v>
      </c>
      <c r="S90" s="85" t="s">
        <v>778</v>
      </c>
      <c r="T90" s="85" t="s">
        <v>779</v>
      </c>
      <c r="U90" s="85" t="s">
        <v>780</v>
      </c>
      <c r="V90" s="85" t="s">
        <v>781</v>
      </c>
      <c r="W90" s="86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13"/>
      <c r="C91" s="13" t="s">
        <v>620</v>
      </c>
      <c r="D91" s="85" t="s">
        <v>782</v>
      </c>
      <c r="E91" s="85" t="s">
        <v>783</v>
      </c>
      <c r="F91" s="85" t="s">
        <v>784</v>
      </c>
      <c r="G91" s="85" t="s">
        <v>785</v>
      </c>
      <c r="H91" s="85" t="s">
        <v>786</v>
      </c>
      <c r="I91" s="85" t="s">
        <v>787</v>
      </c>
      <c r="J91" s="85" t="s">
        <v>788</v>
      </c>
      <c r="K91" s="85" t="s">
        <v>789</v>
      </c>
      <c r="L91" s="85" t="s">
        <v>790</v>
      </c>
      <c r="M91" s="85" t="s">
        <v>791</v>
      </c>
      <c r="N91" s="85" t="s">
        <v>792</v>
      </c>
      <c r="O91" s="85" t="s">
        <v>793</v>
      </c>
      <c r="P91" s="85" t="s">
        <v>794</v>
      </c>
      <c r="Q91" s="85" t="s">
        <v>795</v>
      </c>
      <c r="R91" s="85" t="s">
        <v>796</v>
      </c>
      <c r="S91" s="85" t="s">
        <v>797</v>
      </c>
      <c r="T91" s="85" t="s">
        <v>798</v>
      </c>
      <c r="U91" s="85" t="s">
        <v>799</v>
      </c>
      <c r="V91" s="85" t="s">
        <v>800</v>
      </c>
      <c r="W91" s="85" t="s">
        <v>801</v>
      </c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13"/>
      <c r="C92" s="13" t="s">
        <v>641</v>
      </c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5" t="s">
        <v>802</v>
      </c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13" t="s">
        <v>478</v>
      </c>
      <c r="C93" s="13" t="s">
        <v>600</v>
      </c>
      <c r="D93" s="85" t="s">
        <v>803</v>
      </c>
      <c r="E93" s="85" t="s">
        <v>804</v>
      </c>
      <c r="F93" s="85" t="s">
        <v>805</v>
      </c>
      <c r="G93" s="85" t="s">
        <v>806</v>
      </c>
      <c r="H93" s="85" t="s">
        <v>807</v>
      </c>
      <c r="I93" s="85" t="s">
        <v>808</v>
      </c>
      <c r="J93" s="85" t="s">
        <v>809</v>
      </c>
      <c r="K93" s="85" t="s">
        <v>810</v>
      </c>
      <c r="L93" s="85" t="s">
        <v>811</v>
      </c>
      <c r="M93" s="85" t="s">
        <v>812</v>
      </c>
      <c r="N93" s="85" t="s">
        <v>813</v>
      </c>
      <c r="O93" s="85" t="s">
        <v>814</v>
      </c>
      <c r="P93" s="85" t="s">
        <v>815</v>
      </c>
      <c r="Q93" s="85" t="s">
        <v>816</v>
      </c>
      <c r="R93" s="85" t="s">
        <v>817</v>
      </c>
      <c r="S93" s="85" t="s">
        <v>818</v>
      </c>
      <c r="T93" s="85" t="s">
        <v>819</v>
      </c>
      <c r="U93" s="85" t="s">
        <v>820</v>
      </c>
      <c r="V93" s="85" t="s">
        <v>821</v>
      </c>
      <c r="W93" s="86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13"/>
      <c r="C94" s="13" t="s">
        <v>620</v>
      </c>
      <c r="D94" s="85" t="s">
        <v>822</v>
      </c>
      <c r="E94" s="85" t="s">
        <v>823</v>
      </c>
      <c r="F94" s="85" t="s">
        <v>824</v>
      </c>
      <c r="G94" s="85" t="s">
        <v>825</v>
      </c>
      <c r="H94" s="85" t="s">
        <v>826</v>
      </c>
      <c r="I94" s="85" t="s">
        <v>827</v>
      </c>
      <c r="J94" s="85" t="s">
        <v>828</v>
      </c>
      <c r="K94" s="85" t="s">
        <v>829</v>
      </c>
      <c r="L94" s="85" t="s">
        <v>830</v>
      </c>
      <c r="M94" s="85" t="s">
        <v>831</v>
      </c>
      <c r="N94" s="85" t="s">
        <v>832</v>
      </c>
      <c r="O94" s="85" t="s">
        <v>833</v>
      </c>
      <c r="P94" s="85" t="s">
        <v>834</v>
      </c>
      <c r="Q94" s="85" t="s">
        <v>835</v>
      </c>
      <c r="R94" s="85" t="s">
        <v>836</v>
      </c>
      <c r="S94" s="85" t="s">
        <v>837</v>
      </c>
      <c r="T94" s="85" t="s">
        <v>838</v>
      </c>
      <c r="U94" s="85" t="s">
        <v>839</v>
      </c>
      <c r="V94" s="85" t="s">
        <v>840</v>
      </c>
      <c r="W94" s="85" t="s">
        <v>841</v>
      </c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13"/>
      <c r="C95" s="13" t="s">
        <v>641</v>
      </c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5" t="s">
        <v>842</v>
      </c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92" t="s">
        <v>843</v>
      </c>
      <c r="C97" s="9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13" t="s">
        <v>641</v>
      </c>
      <c r="C98" s="87" t="s">
        <v>844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13" t="s">
        <v>845</v>
      </c>
      <c r="C99" s="94" t="s">
        <v>846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13" t="s">
        <v>847</v>
      </c>
      <c r="C100" s="90" t="s">
        <v>848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2" t="s">
        <v>849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95" t="s">
        <v>850</v>
      </c>
      <c r="B104" s="96" t="s">
        <v>851</v>
      </c>
      <c r="C104" s="96" t="s">
        <v>852</v>
      </c>
      <c r="D104" s="96" t="s">
        <v>853</v>
      </c>
      <c r="E104" s="96" t="s">
        <v>854</v>
      </c>
      <c r="F104" s="96" t="s">
        <v>855</v>
      </c>
      <c r="G104" s="96" t="s">
        <v>856</v>
      </c>
      <c r="H104" s="96" t="s">
        <v>857</v>
      </c>
      <c r="I104" s="96" t="s">
        <v>858</v>
      </c>
      <c r="J104" s="96" t="s">
        <v>859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75.75" customHeight="1">
      <c r="A105" s="97">
        <v>1.0</v>
      </c>
      <c r="B105" s="97" t="s">
        <v>860</v>
      </c>
      <c r="C105" s="98" t="s">
        <v>861</v>
      </c>
      <c r="D105" s="98" t="s">
        <v>862</v>
      </c>
      <c r="E105" s="98" t="s">
        <v>863</v>
      </c>
      <c r="F105" s="98" t="s">
        <v>864</v>
      </c>
      <c r="G105" s="99" t="s">
        <v>865</v>
      </c>
      <c r="H105" s="97"/>
      <c r="I105" s="97"/>
      <c r="J105" s="98"/>
      <c r="K105" s="3"/>
      <c r="L105" s="10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57.75" customHeight="1">
      <c r="A106" s="97">
        <v>2.0</v>
      </c>
      <c r="B106" s="97" t="s">
        <v>866</v>
      </c>
      <c r="C106" s="98" t="s">
        <v>867</v>
      </c>
      <c r="D106" s="98" t="s">
        <v>868</v>
      </c>
      <c r="E106" s="98" t="s">
        <v>869</v>
      </c>
      <c r="F106" s="98" t="s">
        <v>870</v>
      </c>
      <c r="G106" s="99" t="s">
        <v>871</v>
      </c>
      <c r="H106" s="97"/>
      <c r="I106" s="97"/>
      <c r="J106" s="98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71.25" customHeight="1">
      <c r="A107" s="97">
        <v>3.0</v>
      </c>
      <c r="B107" s="97" t="s">
        <v>872</v>
      </c>
      <c r="C107" s="98" t="s">
        <v>873</v>
      </c>
      <c r="D107" s="101" t="s">
        <v>874</v>
      </c>
      <c r="E107" s="98" t="s">
        <v>875</v>
      </c>
      <c r="F107" s="98" t="s">
        <v>876</v>
      </c>
      <c r="G107" s="99" t="s">
        <v>877</v>
      </c>
      <c r="H107" s="97"/>
      <c r="I107" s="97"/>
      <c r="J107" s="98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70.5" customHeight="1">
      <c r="A108" s="97"/>
      <c r="B108" s="97" t="s">
        <v>878</v>
      </c>
      <c r="C108" s="97"/>
      <c r="D108" s="97"/>
      <c r="E108" s="97"/>
      <c r="F108" s="97"/>
      <c r="G108" s="97"/>
      <c r="H108" s="97"/>
      <c r="I108" s="97"/>
      <c r="J108" s="9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102" t="s">
        <v>879</v>
      </c>
      <c r="C111" s="102" t="s">
        <v>880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66" t="s">
        <v>881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32.25" customHeight="1">
      <c r="A114" s="3"/>
      <c r="B114" s="103" t="s">
        <v>882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79" t="s">
        <v>883</v>
      </c>
      <c r="C115" s="79" t="s">
        <v>884</v>
      </c>
      <c r="D115" s="79" t="s">
        <v>885</v>
      </c>
      <c r="E115" s="10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20">
        <v>1.0</v>
      </c>
      <c r="C116" s="13" t="s">
        <v>886</v>
      </c>
      <c r="D116" s="105" t="s">
        <v>887</v>
      </c>
      <c r="E116" s="10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20">
        <v>2.0</v>
      </c>
      <c r="C117" s="13" t="s">
        <v>888</v>
      </c>
      <c r="D117" s="83" t="s">
        <v>889</v>
      </c>
      <c r="E117" s="10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20">
        <v>3.0</v>
      </c>
      <c r="C118" s="13" t="s">
        <v>890</v>
      </c>
      <c r="D118" s="83" t="s">
        <v>891</v>
      </c>
      <c r="E118" s="10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mergeCells count="1">
    <mergeCell ref="B97:C9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5.43"/>
    <col customWidth="1" min="3" max="3" width="42.0"/>
    <col customWidth="1" min="4" max="4" width="42.14"/>
    <col customWidth="1" min="5" max="9" width="35.43"/>
    <col customWidth="1" min="10" max="10" width="36.29"/>
    <col customWidth="1" min="11" max="11" width="34.71"/>
    <col customWidth="1" min="12" max="16" width="9.14"/>
    <col customWidth="1" min="17" max="26" width="8.71"/>
  </cols>
  <sheetData>
    <row r="1" ht="27.0" customHeight="1">
      <c r="A1" s="108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108" t="s">
        <v>892</v>
      </c>
      <c r="B2" s="3"/>
      <c r="C2" s="3" t="s">
        <v>20</v>
      </c>
      <c r="D2" s="3" t="s">
        <v>21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7</v>
      </c>
      <c r="J2" s="3" t="s">
        <v>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 t="s">
        <v>41</v>
      </c>
      <c r="D3" s="4" t="s">
        <v>42</v>
      </c>
      <c r="E3" s="4" t="s">
        <v>23</v>
      </c>
      <c r="F3" s="4" t="s">
        <v>24</v>
      </c>
      <c r="G3" s="4" t="s">
        <v>25</v>
      </c>
      <c r="H3" s="4" t="s">
        <v>893</v>
      </c>
      <c r="I3" s="4" t="s">
        <v>894</v>
      </c>
      <c r="J3" s="4" t="s">
        <v>895</v>
      </c>
      <c r="K3" s="4" t="s">
        <v>43</v>
      </c>
      <c r="L3" s="3"/>
      <c r="M3" s="3"/>
      <c r="N3" s="3"/>
      <c r="O3" s="6"/>
      <c r="P3" s="6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8" t="s">
        <v>46</v>
      </c>
      <c r="C4" s="10"/>
      <c r="D4" s="10"/>
      <c r="E4" s="10"/>
      <c r="F4" s="10"/>
      <c r="G4" s="10"/>
      <c r="H4" s="10"/>
      <c r="I4" s="10"/>
      <c r="J4" s="10"/>
      <c r="K4" s="10"/>
      <c r="L4" s="3"/>
      <c r="M4" s="3"/>
      <c r="N4" s="3"/>
      <c r="O4" s="6"/>
      <c r="P4" s="6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>
      <c r="A5" s="14" t="s">
        <v>9</v>
      </c>
      <c r="B5" s="15" t="s">
        <v>47</v>
      </c>
      <c r="C5" s="16"/>
      <c r="D5" s="18" t="s">
        <v>896</v>
      </c>
      <c r="E5" s="16"/>
      <c r="F5" s="17"/>
      <c r="G5" s="16"/>
      <c r="H5" s="16"/>
      <c r="I5" s="16"/>
      <c r="J5" s="16"/>
      <c r="K5" s="19" t="s">
        <v>897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9.25" customHeight="1">
      <c r="A6" s="21" t="s">
        <v>50</v>
      </c>
      <c r="B6" s="22" t="s">
        <v>51</v>
      </c>
      <c r="C6" s="16"/>
      <c r="D6" s="18" t="s">
        <v>898</v>
      </c>
      <c r="E6" s="3"/>
      <c r="F6" s="17"/>
      <c r="G6" s="16"/>
      <c r="H6" s="16"/>
      <c r="I6" s="16"/>
      <c r="J6" s="16"/>
      <c r="K6" s="19" t="s">
        <v>899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221.25" customHeight="1">
      <c r="A7" s="21" t="s">
        <v>54</v>
      </c>
      <c r="B7" s="22" t="s">
        <v>55</v>
      </c>
      <c r="C7" s="24" t="s">
        <v>900</v>
      </c>
      <c r="D7" s="109"/>
      <c r="E7" s="24" t="s">
        <v>901</v>
      </c>
      <c r="F7" s="24" t="s">
        <v>902</v>
      </c>
      <c r="G7" s="24" t="s">
        <v>903</v>
      </c>
      <c r="H7" s="24" t="s">
        <v>904</v>
      </c>
      <c r="I7" s="24" t="s">
        <v>905</v>
      </c>
      <c r="J7" s="24" t="s">
        <v>906</v>
      </c>
      <c r="K7" s="19" t="s">
        <v>907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66.0" customHeight="1">
      <c r="A8" s="21" t="s">
        <v>77</v>
      </c>
      <c r="B8" s="22" t="s">
        <v>78</v>
      </c>
      <c r="C8" s="110"/>
      <c r="D8" s="110"/>
      <c r="E8" s="27"/>
      <c r="F8" s="27"/>
      <c r="G8" s="27"/>
      <c r="H8" s="27"/>
      <c r="I8" s="27"/>
      <c r="J8" s="27"/>
      <c r="K8" s="19" t="s">
        <v>908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63.0" customHeight="1">
      <c r="A9" s="21" t="s">
        <v>80</v>
      </c>
      <c r="B9" s="22" t="s">
        <v>81</v>
      </c>
      <c r="C9" s="110"/>
      <c r="D9" s="110"/>
      <c r="E9" s="27"/>
      <c r="F9" s="27"/>
      <c r="G9" s="27"/>
      <c r="H9" s="27"/>
      <c r="I9" s="27"/>
      <c r="J9" s="27"/>
      <c r="K9" s="19" t="s">
        <v>909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7.0" customHeight="1">
      <c r="A10" s="29" t="s">
        <v>83</v>
      </c>
      <c r="B10" s="30" t="s">
        <v>910</v>
      </c>
      <c r="C10" s="31" t="s">
        <v>911</v>
      </c>
      <c r="D10" s="111"/>
      <c r="E10" s="31" t="s">
        <v>912</v>
      </c>
      <c r="F10" s="31" t="s">
        <v>913</v>
      </c>
      <c r="G10" s="31" t="s">
        <v>914</v>
      </c>
      <c r="H10" s="31" t="s">
        <v>915</v>
      </c>
      <c r="I10" s="31" t="s">
        <v>916</v>
      </c>
      <c r="J10" s="31" t="s">
        <v>917</v>
      </c>
      <c r="K10" s="19" t="s">
        <v>918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35.75" customHeight="1">
      <c r="A11" s="21" t="s">
        <v>106</v>
      </c>
      <c r="B11" s="22" t="s">
        <v>107</v>
      </c>
      <c r="C11" s="26" t="s">
        <v>919</v>
      </c>
      <c r="D11" s="26" t="s">
        <v>124</v>
      </c>
      <c r="E11" s="26" t="s">
        <v>920</v>
      </c>
      <c r="F11" s="26" t="s">
        <v>921</v>
      </c>
      <c r="G11" s="26" t="s">
        <v>922</v>
      </c>
      <c r="H11" s="26" t="s">
        <v>923</v>
      </c>
      <c r="I11" s="26" t="s">
        <v>924</v>
      </c>
      <c r="J11" s="26" t="s">
        <v>925</v>
      </c>
      <c r="K11" s="19" t="s">
        <v>926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17.0" customHeight="1">
      <c r="A12" s="21" t="s">
        <v>126</v>
      </c>
      <c r="B12" s="22" t="s">
        <v>127</v>
      </c>
      <c r="C12" s="19" t="s">
        <v>128</v>
      </c>
      <c r="D12" s="18" t="s">
        <v>927</v>
      </c>
      <c r="E12" s="16"/>
      <c r="F12" s="17"/>
      <c r="G12" s="16"/>
      <c r="H12" s="16"/>
      <c r="I12" s="16"/>
      <c r="J12" s="16"/>
      <c r="K12" s="19" t="s">
        <v>928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8.25" customHeight="1">
      <c r="A13" s="21" t="s">
        <v>131</v>
      </c>
      <c r="B13" s="22" t="s">
        <v>132</v>
      </c>
      <c r="C13" s="16"/>
      <c r="D13" s="18" t="s">
        <v>929</v>
      </c>
      <c r="E13" s="16"/>
      <c r="F13" s="17"/>
      <c r="G13" s="16"/>
      <c r="H13" s="16"/>
      <c r="I13" s="16"/>
      <c r="J13" s="16"/>
      <c r="K13" s="19" t="s">
        <v>930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87.25" customHeight="1">
      <c r="A14" s="21" t="s">
        <v>135</v>
      </c>
      <c r="B14" s="22" t="s">
        <v>136</v>
      </c>
      <c r="C14" s="33" t="s">
        <v>931</v>
      </c>
      <c r="D14" s="33" t="s">
        <v>932</v>
      </c>
      <c r="E14" s="27"/>
      <c r="F14" s="27"/>
      <c r="G14" s="27"/>
      <c r="H14" s="27"/>
      <c r="I14" s="27"/>
      <c r="J14" s="27"/>
      <c r="K14" s="19" t="s">
        <v>933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64.75" customHeight="1">
      <c r="A15" s="34" t="s">
        <v>140</v>
      </c>
      <c r="B15" s="35" t="s">
        <v>141</v>
      </c>
      <c r="C15" s="112" t="s">
        <v>934</v>
      </c>
      <c r="D15" s="112" t="s">
        <v>935</v>
      </c>
      <c r="E15" s="36"/>
      <c r="F15" s="36"/>
      <c r="G15" s="36"/>
      <c r="H15" s="36"/>
      <c r="I15" s="36"/>
      <c r="J15" s="36"/>
      <c r="K15" s="3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/>
      <c r="B16" s="8" t="s">
        <v>144</v>
      </c>
      <c r="C16" s="39" t="s">
        <v>145</v>
      </c>
      <c r="D16" s="39" t="s">
        <v>936</v>
      </c>
      <c r="E16" s="39" t="s">
        <v>937</v>
      </c>
      <c r="F16" s="39" t="s">
        <v>938</v>
      </c>
      <c r="G16" s="39" t="s">
        <v>939</v>
      </c>
      <c r="H16" s="39" t="s">
        <v>940</v>
      </c>
      <c r="I16" s="39" t="s">
        <v>941</v>
      </c>
      <c r="J16" s="39" t="s">
        <v>152</v>
      </c>
      <c r="K16" s="40" t="s">
        <v>942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0" customHeight="1">
      <c r="A17" s="42"/>
      <c r="B17" s="43" t="s">
        <v>167</v>
      </c>
      <c r="C17" s="16"/>
      <c r="D17" s="16"/>
      <c r="E17" s="16"/>
      <c r="F17" s="17"/>
      <c r="G17" s="16"/>
      <c r="H17" s="16"/>
      <c r="I17" s="16"/>
      <c r="J17" s="16"/>
      <c r="K17" s="16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205.5" customHeight="1">
      <c r="A18" s="21" t="s">
        <v>9</v>
      </c>
      <c r="B18" s="22" t="s">
        <v>168</v>
      </c>
      <c r="C18" s="31" t="s">
        <v>943</v>
      </c>
      <c r="D18" s="16"/>
      <c r="E18" s="31" t="s">
        <v>944</v>
      </c>
      <c r="F18" s="31" t="s">
        <v>945</v>
      </c>
      <c r="G18" s="31" t="s">
        <v>946</v>
      </c>
      <c r="H18" s="31" t="s">
        <v>947</v>
      </c>
      <c r="I18" s="31" t="s">
        <v>948</v>
      </c>
      <c r="J18" s="31" t="s">
        <v>949</v>
      </c>
      <c r="K18" s="52" t="s">
        <v>950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42.75" customHeight="1">
      <c r="A19" s="29" t="s">
        <v>50</v>
      </c>
      <c r="B19" s="30" t="s">
        <v>190</v>
      </c>
      <c r="C19" s="16"/>
      <c r="D19" s="16"/>
      <c r="E19" s="16"/>
      <c r="F19" s="16"/>
      <c r="G19" s="16"/>
      <c r="H19" s="16"/>
      <c r="I19" s="16"/>
      <c r="J19" s="16"/>
      <c r="K19" s="16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08.0" customHeight="1">
      <c r="A20" s="29" t="s">
        <v>191</v>
      </c>
      <c r="B20" s="30" t="s">
        <v>192</v>
      </c>
      <c r="C20" s="16"/>
      <c r="D20" s="3"/>
      <c r="E20" s="113" t="s">
        <v>951</v>
      </c>
      <c r="F20" s="17"/>
      <c r="G20" s="16"/>
      <c r="H20" s="17"/>
      <c r="I20" s="16"/>
      <c r="J20" s="16"/>
      <c r="K20" s="52" t="s">
        <v>952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06.5" customHeight="1">
      <c r="A21" s="29" t="s">
        <v>191</v>
      </c>
      <c r="B21" s="30" t="s">
        <v>195</v>
      </c>
      <c r="C21" s="54" t="s">
        <v>953</v>
      </c>
      <c r="D21" s="16"/>
      <c r="E21" s="54" t="s">
        <v>954</v>
      </c>
      <c r="F21" s="54" t="s">
        <v>955</v>
      </c>
      <c r="G21" s="54" t="s">
        <v>956</v>
      </c>
      <c r="H21" s="53" t="s">
        <v>957</v>
      </c>
      <c r="I21" s="53" t="s">
        <v>958</v>
      </c>
      <c r="J21" s="53" t="s">
        <v>959</v>
      </c>
      <c r="K21" s="52" t="s">
        <v>960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38.25" customHeight="1">
      <c r="A22" s="29" t="s">
        <v>54</v>
      </c>
      <c r="B22" s="30" t="s">
        <v>217</v>
      </c>
      <c r="C22" s="16"/>
      <c r="D22" s="16"/>
      <c r="E22" s="55"/>
      <c r="F22" s="55"/>
      <c r="G22" s="55"/>
      <c r="H22" s="55"/>
      <c r="I22" s="55"/>
      <c r="J22" s="55"/>
      <c r="K22" s="52" t="s">
        <v>961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41.25" customHeight="1">
      <c r="A23" s="29" t="s">
        <v>77</v>
      </c>
      <c r="B23" s="30" t="s">
        <v>220</v>
      </c>
      <c r="C23" s="16"/>
      <c r="D23" s="16"/>
      <c r="E23" s="27"/>
      <c r="F23" s="27"/>
      <c r="G23" s="27"/>
      <c r="H23" s="27"/>
      <c r="I23" s="27"/>
      <c r="J23" s="27"/>
      <c r="K23" s="52" t="s">
        <v>962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57.0" customHeight="1">
      <c r="A24" s="29" t="s">
        <v>80</v>
      </c>
      <c r="B24" s="30" t="s">
        <v>222</v>
      </c>
      <c r="C24" s="16"/>
      <c r="D24" s="16"/>
      <c r="E24" s="57"/>
      <c r="F24" s="57"/>
      <c r="G24" s="57"/>
      <c r="H24" s="57"/>
      <c r="I24" s="57"/>
      <c r="J24" s="57"/>
      <c r="K24" s="52" t="s">
        <v>963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310.5" customHeight="1">
      <c r="A25" s="29" t="s">
        <v>83</v>
      </c>
      <c r="B25" s="30" t="s">
        <v>224</v>
      </c>
      <c r="C25" s="109" t="s">
        <v>964</v>
      </c>
      <c r="D25" s="58" t="s">
        <v>965</v>
      </c>
      <c r="E25" s="16"/>
      <c r="F25" s="16"/>
      <c r="G25" s="16"/>
      <c r="H25" s="16"/>
      <c r="I25" s="16"/>
      <c r="J25" s="16"/>
      <c r="K25" s="52" t="s">
        <v>966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300.0" customHeight="1">
      <c r="A26" s="59" t="s">
        <v>106</v>
      </c>
      <c r="B26" s="60" t="s">
        <v>228</v>
      </c>
      <c r="C26" s="112" t="s">
        <v>967</v>
      </c>
      <c r="D26" s="37" t="s">
        <v>968</v>
      </c>
      <c r="E26" s="36"/>
      <c r="F26" s="36"/>
      <c r="G26" s="36"/>
      <c r="H26" s="36"/>
      <c r="I26" s="36"/>
      <c r="J26" s="36"/>
      <c r="K26" s="114" t="s">
        <v>969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3"/>
      <c r="B27" s="64" t="s">
        <v>231</v>
      </c>
      <c r="C27" s="65" t="s">
        <v>232</v>
      </c>
      <c r="D27" s="65" t="s">
        <v>233</v>
      </c>
      <c r="E27" s="65" t="s">
        <v>970</v>
      </c>
      <c r="F27" s="65" t="s">
        <v>971</v>
      </c>
      <c r="G27" s="65" t="s">
        <v>972</v>
      </c>
      <c r="H27" s="65" t="s">
        <v>973</v>
      </c>
      <c r="I27" s="65" t="s">
        <v>974</v>
      </c>
      <c r="J27" s="65" t="s">
        <v>975</v>
      </c>
      <c r="K27" s="39" t="s">
        <v>976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85.5" customHeight="1">
      <c r="A28" s="67"/>
      <c r="B28" s="64" t="s">
        <v>254</v>
      </c>
      <c r="C28" s="69" t="s">
        <v>255</v>
      </c>
      <c r="D28" s="69" t="s">
        <v>977</v>
      </c>
      <c r="E28" s="69" t="s">
        <v>978</v>
      </c>
      <c r="F28" s="69" t="s">
        <v>258</v>
      </c>
      <c r="G28" s="69" t="s">
        <v>259</v>
      </c>
      <c r="H28" s="69" t="s">
        <v>260</v>
      </c>
      <c r="I28" s="69" t="s">
        <v>261</v>
      </c>
      <c r="J28" s="69" t="s">
        <v>262</v>
      </c>
      <c r="K28" s="39" t="s">
        <v>979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73.5" customHeight="1">
      <c r="A29" s="70"/>
      <c r="B29" s="64" t="s">
        <v>277</v>
      </c>
      <c r="C29" s="72"/>
      <c r="D29" s="73"/>
      <c r="E29" s="72"/>
      <c r="F29" s="72"/>
      <c r="G29" s="72"/>
      <c r="H29" s="72"/>
      <c r="I29" s="72"/>
      <c r="J29" s="72"/>
      <c r="K29" s="7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4.75" customHeight="1">
      <c r="A30" s="115"/>
      <c r="B30" s="116" t="s">
        <v>279</v>
      </c>
      <c r="C30" s="69" t="s">
        <v>980</v>
      </c>
      <c r="D30" s="69" t="s">
        <v>981</v>
      </c>
      <c r="E30" s="69" t="s">
        <v>982</v>
      </c>
      <c r="F30" s="69" t="s">
        <v>283</v>
      </c>
      <c r="G30" s="69" t="s">
        <v>284</v>
      </c>
      <c r="H30" s="69" t="s">
        <v>285</v>
      </c>
      <c r="I30" s="69" t="s">
        <v>286</v>
      </c>
      <c r="J30" s="69" t="s">
        <v>287</v>
      </c>
      <c r="K30" s="39" t="s">
        <v>983</v>
      </c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5.75" customHeight="1">
      <c r="A31" s="118"/>
      <c r="B31" s="119" t="s">
        <v>302</v>
      </c>
      <c r="C31" s="78" t="s">
        <v>303</v>
      </c>
      <c r="D31" s="78" t="s">
        <v>304</v>
      </c>
      <c r="E31" s="78" t="s">
        <v>984</v>
      </c>
      <c r="F31" s="78" t="s">
        <v>985</v>
      </c>
      <c r="G31" s="78" t="s">
        <v>986</v>
      </c>
      <c r="H31" s="78" t="s">
        <v>987</v>
      </c>
      <c r="I31" s="78" t="s">
        <v>988</v>
      </c>
      <c r="J31" s="78" t="s">
        <v>989</v>
      </c>
      <c r="K31" s="78" t="s">
        <v>990</v>
      </c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5.75" customHeight="1">
      <c r="A32" s="3"/>
      <c r="B32" s="3"/>
      <c r="C32" s="3"/>
      <c r="D32" s="120"/>
      <c r="E32" s="120"/>
      <c r="F32" s="120"/>
      <c r="G32" s="120"/>
      <c r="H32" s="120"/>
      <c r="I32" s="120"/>
      <c r="J32" s="120"/>
      <c r="K32" s="12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2025-07-22T08:15:46Z</dcterms:created>
  <dc:creator>Tran Nguyen. Nhu Hang</dc:creator>
</cp:coreProperties>
</file>